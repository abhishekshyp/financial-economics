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59F353EE-D336-4173-A0B2-FF8CB1394862}" xr6:coauthVersionLast="47" xr6:coauthVersionMax="47" xr10:uidLastSave="{00000000-0000-0000-0000-000000000000}"/>
  <bookViews>
    <workbookView xWindow="28680" yWindow="-120" windowWidth="29040" windowHeight="15720" activeTab="4" xr2:uid="{B0474EDD-3276-4DD7-8537-512E4C8FA836}"/>
  </bookViews>
  <sheets>
    <sheet name="Daily" sheetId="1" r:id="rId1"/>
    <sheet name="Weekly" sheetId="4" r:id="rId2"/>
    <sheet name="Monthly" sheetId="5" r:id="rId3"/>
    <sheet name="Data" sheetId="6" r:id="rId4"/>
    <sheet name="Portfolio" sheetId="7" r:id="rId5"/>
  </sheets>
  <definedNames>
    <definedName name="_xlchart.v1.0" hidden="1">Daily!$C$1</definedName>
    <definedName name="_xlchart.v1.1" hidden="1">Daily!$C$2:$C$730</definedName>
    <definedName name="_xlchart.v1.2" hidden="1">Daily!$C$1</definedName>
    <definedName name="_xlchart.v1.3" hidden="1">Daily!$C$2:$C$730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7" l="1"/>
  <c r="H2" i="7"/>
  <c r="D3" i="7"/>
  <c r="E3" i="7"/>
  <c r="F3" i="7"/>
  <c r="C3" i="7"/>
  <c r="F3" i="5"/>
  <c r="F2" i="5" s="1"/>
  <c r="F3" i="4"/>
  <c r="F2" i="4" s="1"/>
  <c r="A2" i="5" a="1"/>
  <c r="A2" i="4" a="1"/>
  <c r="G3" i="7" l="1"/>
  <c r="H527" i="7" s="1"/>
  <c r="H671" i="7"/>
  <c r="H661" i="7"/>
  <c r="H647" i="7"/>
  <c r="H503" i="7"/>
  <c r="H479" i="7"/>
  <c r="H448" i="7"/>
  <c r="H423" i="7"/>
  <c r="H388" i="7"/>
  <c r="H340" i="7"/>
  <c r="H599" i="7"/>
  <c r="H292" i="7"/>
  <c r="H637" i="7"/>
  <c r="H64" i="7"/>
  <c r="H4" i="7"/>
  <c r="H589" i="7"/>
  <c r="H220" i="7"/>
  <c r="H541" i="7"/>
  <c r="H575" i="7"/>
  <c r="H148" i="7"/>
  <c r="H623" i="7"/>
  <c r="H76" i="7"/>
  <c r="H613" i="7"/>
  <c r="H709" i="7"/>
  <c r="H695" i="7"/>
  <c r="H551" i="7"/>
  <c r="H719" i="7"/>
  <c r="H565" i="7"/>
  <c r="H685" i="7"/>
  <c r="H712" i="7"/>
  <c r="H688" i="7"/>
  <c r="H664" i="7"/>
  <c r="H640" i="7"/>
  <c r="H616" i="7"/>
  <c r="H592" i="7"/>
  <c r="H568" i="7"/>
  <c r="H544" i="7"/>
  <c r="H520" i="7"/>
  <c r="H496" i="7"/>
  <c r="H472" i="7"/>
  <c r="H447" i="7"/>
  <c r="H422" i="7"/>
  <c r="H387" i="7"/>
  <c r="H339" i="7"/>
  <c r="H291" i="7"/>
  <c r="H219" i="7"/>
  <c r="H147" i="7"/>
  <c r="H75" i="7"/>
  <c r="H711" i="7"/>
  <c r="H663" i="7"/>
  <c r="H639" i="7"/>
  <c r="H615" i="7"/>
  <c r="H591" i="7"/>
  <c r="H567" i="7"/>
  <c r="H543" i="7"/>
  <c r="H519" i="7"/>
  <c r="H495" i="7"/>
  <c r="H471" i="7"/>
  <c r="H446" i="7"/>
  <c r="H421" i="7"/>
  <c r="H386" i="7"/>
  <c r="H338" i="7"/>
  <c r="H280" i="7"/>
  <c r="H208" i="7"/>
  <c r="H136" i="7"/>
  <c r="H212" i="7"/>
  <c r="H272" i="7"/>
  <c r="H320" i="7"/>
  <c r="H368" i="7"/>
  <c r="H404" i="7"/>
  <c r="H440" i="7"/>
  <c r="H488" i="7"/>
  <c r="H536" i="7"/>
  <c r="H584" i="7"/>
  <c r="H620" i="7"/>
  <c r="H668" i="7"/>
  <c r="H716" i="7"/>
  <c r="H645" i="7"/>
  <c r="H693" i="7"/>
  <c r="H200" i="7"/>
  <c r="H260" i="7"/>
  <c r="H296" i="7"/>
  <c r="H332" i="7"/>
  <c r="H380" i="7"/>
  <c r="H428" i="7"/>
  <c r="H476" i="7"/>
  <c r="H512" i="7"/>
  <c r="H560" i="7"/>
  <c r="H608" i="7"/>
  <c r="H656" i="7"/>
  <c r="H692" i="7"/>
  <c r="H681" i="7"/>
  <c r="H610" i="7"/>
  <c r="H670" i="7"/>
  <c r="H730" i="7"/>
  <c r="H236" i="7"/>
  <c r="H284" i="7"/>
  <c r="H344" i="7"/>
  <c r="H392" i="7"/>
  <c r="H452" i="7"/>
  <c r="H500" i="7"/>
  <c r="H548" i="7"/>
  <c r="H596" i="7"/>
  <c r="H644" i="7"/>
  <c r="H704" i="7"/>
  <c r="H657" i="7"/>
  <c r="H717" i="7"/>
  <c r="H634" i="7"/>
  <c r="H682" i="7"/>
  <c r="H224" i="7"/>
  <c r="H248" i="7"/>
  <c r="H308" i="7"/>
  <c r="H356" i="7"/>
  <c r="H416" i="7"/>
  <c r="H464" i="7"/>
  <c r="H524" i="7"/>
  <c r="H572" i="7"/>
  <c r="H632" i="7"/>
  <c r="H680" i="7"/>
  <c r="H728" i="7"/>
  <c r="H705" i="7"/>
  <c r="H646" i="7"/>
  <c r="H718" i="7"/>
  <c r="H431" i="7"/>
  <c r="H489" i="7"/>
  <c r="H501" i="7"/>
  <c r="H513" i="7"/>
  <c r="H525" i="7"/>
  <c r="H537" i="7"/>
  <c r="H549" i="7"/>
  <c r="H561" i="7"/>
  <c r="H573" i="7"/>
  <c r="H585" i="7"/>
  <c r="H597" i="7"/>
  <c r="H609" i="7"/>
  <c r="H621" i="7"/>
  <c r="H633" i="7"/>
  <c r="H669" i="7"/>
  <c r="H729" i="7"/>
  <c r="H658" i="7"/>
  <c r="H694" i="7"/>
  <c r="H395" i="7"/>
  <c r="H418" i="7"/>
  <c r="H430" i="7"/>
  <c r="H442" i="7"/>
  <c r="H454" i="7"/>
  <c r="H466" i="7"/>
  <c r="H478" i="7"/>
  <c r="H490" i="7"/>
  <c r="H502" i="7"/>
  <c r="H514" i="7"/>
  <c r="H526" i="7"/>
  <c r="H538" i="7"/>
  <c r="H550" i="7"/>
  <c r="H562" i="7"/>
  <c r="H574" i="7"/>
  <c r="H586" i="7"/>
  <c r="H598" i="7"/>
  <c r="H622" i="7"/>
  <c r="H706" i="7"/>
  <c r="H407" i="7"/>
  <c r="H455" i="7"/>
  <c r="H191" i="7"/>
  <c r="H203" i="7"/>
  <c r="H215" i="7"/>
  <c r="H227" i="7"/>
  <c r="H239" i="7"/>
  <c r="H251" i="7"/>
  <c r="H263" i="7"/>
  <c r="H275" i="7"/>
  <c r="H287" i="7"/>
  <c r="H299" i="7"/>
  <c r="H311" i="7"/>
  <c r="H323" i="7"/>
  <c r="H335" i="7"/>
  <c r="H347" i="7"/>
  <c r="H359" i="7"/>
  <c r="H371" i="7"/>
  <c r="H383" i="7"/>
  <c r="H419" i="7"/>
  <c r="H192" i="7"/>
  <c r="H204" i="7"/>
  <c r="H216" i="7"/>
  <c r="H228" i="7"/>
  <c r="H240" i="7"/>
  <c r="H252" i="7"/>
  <c r="H264" i="7"/>
  <c r="H276" i="7"/>
  <c r="H288" i="7"/>
  <c r="H300" i="7"/>
  <c r="H312" i="7"/>
  <c r="H324" i="7"/>
  <c r="H336" i="7"/>
  <c r="H348" i="7"/>
  <c r="H360" i="7"/>
  <c r="H372" i="7"/>
  <c r="H384" i="7"/>
  <c r="H396" i="7"/>
  <c r="H193" i="7"/>
  <c r="H205" i="7"/>
  <c r="H217" i="7"/>
  <c r="H229" i="7"/>
  <c r="H241" i="7"/>
  <c r="H253" i="7"/>
  <c r="H265" i="7"/>
  <c r="H277" i="7"/>
  <c r="H289" i="7"/>
  <c r="H301" i="7"/>
  <c r="H313" i="7"/>
  <c r="H325" i="7"/>
  <c r="H337" i="7"/>
  <c r="H349" i="7"/>
  <c r="H361" i="7"/>
  <c r="H373" i="7"/>
  <c r="H385" i="7"/>
  <c r="H397" i="7"/>
  <c r="H38" i="7"/>
  <c r="H50" i="7"/>
  <c r="H62" i="7"/>
  <c r="H74" i="7"/>
  <c r="H86" i="7"/>
  <c r="H98" i="7"/>
  <c r="H110" i="7"/>
  <c r="H122" i="7"/>
  <c r="H134" i="7"/>
  <c r="H146" i="7"/>
  <c r="H158" i="7"/>
  <c r="H170" i="7"/>
  <c r="H182" i="7"/>
  <c r="H194" i="7"/>
  <c r="H206" i="7"/>
  <c r="H218" i="7"/>
  <c r="H230" i="7"/>
  <c r="H242" i="7"/>
  <c r="H254" i="7"/>
  <c r="H266" i="7"/>
  <c r="H278" i="7"/>
  <c r="H290" i="7"/>
  <c r="H687" i="7"/>
  <c r="H710" i="7"/>
  <c r="H686" i="7"/>
  <c r="H662" i="7"/>
  <c r="H638" i="7"/>
  <c r="H614" i="7"/>
  <c r="H590" i="7"/>
  <c r="H566" i="7"/>
  <c r="H542" i="7"/>
  <c r="H518" i="7"/>
  <c r="H494" i="7"/>
  <c r="H470" i="7"/>
  <c r="H445" i="7"/>
  <c r="H420" i="7"/>
  <c r="H376" i="7"/>
  <c r="H328" i="7"/>
  <c r="H279" i="7"/>
  <c r="H207" i="7"/>
  <c r="H135" i="7"/>
  <c r="H63" i="7"/>
  <c r="H267" i="7"/>
  <c r="H195" i="7"/>
  <c r="H123" i="7"/>
  <c r="H51" i="7"/>
  <c r="H517" i="7"/>
  <c r="H375" i="7"/>
  <c r="H52" i="7"/>
  <c r="H660" i="7"/>
  <c r="H564" i="7"/>
  <c r="H492" i="7"/>
  <c r="H374" i="7"/>
  <c r="H707" i="7"/>
  <c r="H683" i="7"/>
  <c r="H659" i="7"/>
  <c r="H635" i="7"/>
  <c r="H611" i="7"/>
  <c r="H587" i="7"/>
  <c r="H563" i="7"/>
  <c r="H539" i="7"/>
  <c r="H515" i="7"/>
  <c r="H491" i="7"/>
  <c r="H467" i="7"/>
  <c r="H436" i="7"/>
  <c r="H410" i="7"/>
  <c r="H364" i="7"/>
  <c r="H316" i="7"/>
  <c r="H256" i="7"/>
  <c r="H184" i="7"/>
  <c r="H112" i="7"/>
  <c r="H40" i="7"/>
  <c r="H469" i="7"/>
  <c r="H268" i="7"/>
  <c r="H708" i="7"/>
  <c r="H636" i="7"/>
  <c r="H540" i="7"/>
  <c r="H468" i="7"/>
  <c r="H326" i="7"/>
  <c r="H724" i="7"/>
  <c r="H700" i="7"/>
  <c r="H676" i="7"/>
  <c r="H652" i="7"/>
  <c r="H628" i="7"/>
  <c r="H604" i="7"/>
  <c r="H580" i="7"/>
  <c r="H556" i="7"/>
  <c r="H532" i="7"/>
  <c r="H508" i="7"/>
  <c r="H484" i="7"/>
  <c r="H460" i="7"/>
  <c r="H435" i="7"/>
  <c r="H409" i="7"/>
  <c r="H363" i="7"/>
  <c r="H315" i="7"/>
  <c r="H255" i="7"/>
  <c r="H183" i="7"/>
  <c r="H111" i="7"/>
  <c r="H39" i="7"/>
  <c r="H412" i="7"/>
  <c r="H124" i="7"/>
  <c r="H612" i="7"/>
  <c r="H443" i="7"/>
  <c r="H723" i="7"/>
  <c r="H651" i="7"/>
  <c r="H627" i="7"/>
  <c r="H603" i="7"/>
  <c r="H579" i="7"/>
  <c r="H555" i="7"/>
  <c r="H531" i="7"/>
  <c r="H507" i="7"/>
  <c r="H483" i="7"/>
  <c r="H459" i="7"/>
  <c r="H434" i="7"/>
  <c r="H408" i="7"/>
  <c r="H362" i="7"/>
  <c r="H314" i="7"/>
  <c r="H244" i="7"/>
  <c r="H172" i="7"/>
  <c r="H100" i="7"/>
  <c r="H28" i="7"/>
  <c r="H674" i="7"/>
  <c r="H650" i="7"/>
  <c r="H626" i="7"/>
  <c r="H602" i="7"/>
  <c r="H578" i="7"/>
  <c r="H554" i="7"/>
  <c r="H530" i="7"/>
  <c r="H506" i="7"/>
  <c r="H482" i="7"/>
  <c r="H458" i="7"/>
  <c r="H433" i="7"/>
  <c r="H400" i="7"/>
  <c r="H352" i="7"/>
  <c r="H304" i="7"/>
  <c r="H243" i="7"/>
  <c r="H171" i="7"/>
  <c r="H99" i="7"/>
  <c r="H27" i="7"/>
  <c r="H493" i="7"/>
  <c r="H196" i="7"/>
  <c r="H684" i="7"/>
  <c r="H675" i="7"/>
  <c r="H698" i="7"/>
  <c r="H721" i="7"/>
  <c r="H697" i="7"/>
  <c r="H673" i="7"/>
  <c r="H649" i="7"/>
  <c r="H625" i="7"/>
  <c r="H601" i="7"/>
  <c r="H577" i="7"/>
  <c r="H553" i="7"/>
  <c r="H529" i="7"/>
  <c r="H505" i="7"/>
  <c r="H481" i="7"/>
  <c r="H457" i="7"/>
  <c r="H432" i="7"/>
  <c r="H399" i="7"/>
  <c r="H351" i="7"/>
  <c r="H303" i="7"/>
  <c r="H232" i="7"/>
  <c r="H160" i="7"/>
  <c r="H88" i="7"/>
  <c r="H16" i="7"/>
  <c r="H444" i="7"/>
  <c r="H327" i="7"/>
  <c r="H732" i="7"/>
  <c r="H588" i="7"/>
  <c r="H516" i="7"/>
  <c r="H411" i="7"/>
  <c r="H731" i="7"/>
  <c r="H699" i="7"/>
  <c r="H722" i="7"/>
  <c r="H5" i="7"/>
  <c r="H720" i="7"/>
  <c r="H696" i="7"/>
  <c r="H672" i="7"/>
  <c r="H648" i="7"/>
  <c r="H624" i="7"/>
  <c r="H600" i="7"/>
  <c r="H576" i="7"/>
  <c r="H552" i="7"/>
  <c r="H528" i="7"/>
  <c r="H504" i="7"/>
  <c r="H480" i="7"/>
  <c r="H456" i="7"/>
  <c r="H424" i="7"/>
  <c r="H398" i="7"/>
  <c r="H350" i="7"/>
  <c r="H302" i="7"/>
  <c r="H231" i="7"/>
  <c r="H159" i="7"/>
  <c r="H87" i="7"/>
  <c r="H15" i="7"/>
  <c r="H26" i="7"/>
  <c r="H14" i="7"/>
  <c r="H181" i="7"/>
  <c r="H169" i="7"/>
  <c r="H157" i="7"/>
  <c r="H145" i="7"/>
  <c r="H133" i="7"/>
  <c r="H121" i="7"/>
  <c r="H109" i="7"/>
  <c r="H97" i="7"/>
  <c r="H85" i="7"/>
  <c r="H73" i="7"/>
  <c r="H61" i="7"/>
  <c r="H49" i="7"/>
  <c r="H37" i="7"/>
  <c r="H25" i="7"/>
  <c r="H13" i="7"/>
  <c r="H180" i="7"/>
  <c r="H168" i="7"/>
  <c r="H156" i="7"/>
  <c r="H144" i="7"/>
  <c r="H132" i="7"/>
  <c r="H120" i="7"/>
  <c r="H108" i="7"/>
  <c r="H96" i="7"/>
  <c r="H84" i="7"/>
  <c r="H72" i="7"/>
  <c r="H60" i="7"/>
  <c r="H48" i="7"/>
  <c r="H36" i="7"/>
  <c r="H24" i="7"/>
  <c r="H12" i="7"/>
  <c r="H179" i="7"/>
  <c r="H167" i="7"/>
  <c r="H155" i="7"/>
  <c r="H143" i="7"/>
  <c r="H131" i="7"/>
  <c r="H119" i="7"/>
  <c r="H107" i="7"/>
  <c r="H95" i="7"/>
  <c r="H83" i="7"/>
  <c r="H71" i="7"/>
  <c r="H59" i="7"/>
  <c r="H47" i="7"/>
  <c r="H35" i="7"/>
  <c r="H23" i="7"/>
  <c r="H11" i="7"/>
  <c r="H406" i="7"/>
  <c r="H394" i="7"/>
  <c r="H382" i="7"/>
  <c r="H370" i="7"/>
  <c r="H358" i="7"/>
  <c r="H346" i="7"/>
  <c r="H334" i="7"/>
  <c r="H322" i="7"/>
  <c r="H310" i="7"/>
  <c r="H298" i="7"/>
  <c r="H286" i="7"/>
  <c r="H274" i="7"/>
  <c r="H262" i="7"/>
  <c r="H250" i="7"/>
  <c r="H238" i="7"/>
  <c r="H226" i="7"/>
  <c r="H214" i="7"/>
  <c r="H202" i="7"/>
  <c r="H190" i="7"/>
  <c r="H178" i="7"/>
  <c r="H166" i="7"/>
  <c r="H154" i="7"/>
  <c r="H142" i="7"/>
  <c r="H130" i="7"/>
  <c r="H118" i="7"/>
  <c r="H106" i="7"/>
  <c r="H94" i="7"/>
  <c r="H82" i="7"/>
  <c r="H70" i="7"/>
  <c r="H58" i="7"/>
  <c r="H46" i="7"/>
  <c r="H34" i="7"/>
  <c r="H22" i="7"/>
  <c r="H10" i="7"/>
  <c r="H477" i="7"/>
  <c r="H465" i="7"/>
  <c r="H453" i="7"/>
  <c r="H441" i="7"/>
  <c r="H429" i="7"/>
  <c r="H417" i="7"/>
  <c r="H405" i="7"/>
  <c r="H393" i="7"/>
  <c r="H381" i="7"/>
  <c r="H369" i="7"/>
  <c r="H357" i="7"/>
  <c r="H345" i="7"/>
  <c r="H333" i="7"/>
  <c r="H321" i="7"/>
  <c r="H309" i="7"/>
  <c r="H297" i="7"/>
  <c r="H285" i="7"/>
  <c r="H273" i="7"/>
  <c r="H261" i="7"/>
  <c r="H249" i="7"/>
  <c r="H237" i="7"/>
  <c r="H225" i="7"/>
  <c r="H213" i="7"/>
  <c r="H201" i="7"/>
  <c r="H189" i="7"/>
  <c r="H177" i="7"/>
  <c r="H165" i="7"/>
  <c r="H153" i="7"/>
  <c r="H141" i="7"/>
  <c r="H129" i="7"/>
  <c r="H117" i="7"/>
  <c r="H105" i="7"/>
  <c r="H93" i="7"/>
  <c r="H81" i="7"/>
  <c r="H69" i="7"/>
  <c r="H57" i="7"/>
  <c r="H45" i="7"/>
  <c r="H33" i="7"/>
  <c r="H21" i="7"/>
  <c r="H9" i="7"/>
  <c r="H188" i="7"/>
  <c r="H176" i="7"/>
  <c r="H164" i="7"/>
  <c r="H152" i="7"/>
  <c r="H140" i="7"/>
  <c r="H128" i="7"/>
  <c r="H116" i="7"/>
  <c r="H104" i="7"/>
  <c r="H92" i="7"/>
  <c r="H80" i="7"/>
  <c r="H68" i="7"/>
  <c r="H56" i="7"/>
  <c r="H44" i="7"/>
  <c r="H32" i="7"/>
  <c r="H20" i="7"/>
  <c r="H8" i="7"/>
  <c r="H727" i="7"/>
  <c r="H679" i="7"/>
  <c r="H631" i="7"/>
  <c r="H595" i="7"/>
  <c r="H559" i="7"/>
  <c r="H523" i="7"/>
  <c r="H463" i="7"/>
  <c r="H451" i="7"/>
  <c r="H439" i="7"/>
  <c r="H427" i="7"/>
  <c r="H415" i="7"/>
  <c r="H403" i="7"/>
  <c r="H391" i="7"/>
  <c r="H379" i="7"/>
  <c r="H367" i="7"/>
  <c r="H355" i="7"/>
  <c r="H343" i="7"/>
  <c r="H331" i="7"/>
  <c r="H319" i="7"/>
  <c r="H307" i="7"/>
  <c r="H295" i="7"/>
  <c r="H283" i="7"/>
  <c r="H271" i="7"/>
  <c r="H259" i="7"/>
  <c r="H247" i="7"/>
  <c r="H235" i="7"/>
  <c r="H223" i="7"/>
  <c r="H211" i="7"/>
  <c r="H199" i="7"/>
  <c r="H187" i="7"/>
  <c r="H175" i="7"/>
  <c r="H163" i="7"/>
  <c r="H151" i="7"/>
  <c r="H139" i="7"/>
  <c r="H127" i="7"/>
  <c r="H115" i="7"/>
  <c r="H103" i="7"/>
  <c r="H91" i="7"/>
  <c r="H79" i="7"/>
  <c r="H67" i="7"/>
  <c r="H55" i="7"/>
  <c r="H43" i="7"/>
  <c r="H31" i="7"/>
  <c r="H19" i="7"/>
  <c r="H7" i="7"/>
  <c r="H715" i="7"/>
  <c r="H667" i="7"/>
  <c r="H643" i="7"/>
  <c r="H607" i="7"/>
  <c r="H583" i="7"/>
  <c r="H547" i="7"/>
  <c r="H511" i="7"/>
  <c r="H487" i="7"/>
  <c r="H726" i="7"/>
  <c r="H714" i="7"/>
  <c r="H702" i="7"/>
  <c r="H690" i="7"/>
  <c r="H678" i="7"/>
  <c r="H666" i="7"/>
  <c r="H654" i="7"/>
  <c r="H642" i="7"/>
  <c r="H630" i="7"/>
  <c r="H618" i="7"/>
  <c r="H606" i="7"/>
  <c r="H594" i="7"/>
  <c r="H582" i="7"/>
  <c r="H570" i="7"/>
  <c r="H558" i="7"/>
  <c r="H546" i="7"/>
  <c r="H534" i="7"/>
  <c r="H522" i="7"/>
  <c r="H510" i="7"/>
  <c r="H498" i="7"/>
  <c r="H486" i="7"/>
  <c r="H474" i="7"/>
  <c r="H462" i="7"/>
  <c r="H450" i="7"/>
  <c r="H438" i="7"/>
  <c r="H426" i="7"/>
  <c r="H414" i="7"/>
  <c r="H402" i="7"/>
  <c r="H390" i="7"/>
  <c r="H378" i="7"/>
  <c r="H366" i="7"/>
  <c r="H354" i="7"/>
  <c r="H342" i="7"/>
  <c r="H330" i="7"/>
  <c r="H318" i="7"/>
  <c r="H306" i="7"/>
  <c r="H294" i="7"/>
  <c r="H282" i="7"/>
  <c r="H270" i="7"/>
  <c r="H258" i="7"/>
  <c r="H246" i="7"/>
  <c r="H234" i="7"/>
  <c r="H222" i="7"/>
  <c r="H210" i="7"/>
  <c r="H198" i="7"/>
  <c r="H186" i="7"/>
  <c r="H174" i="7"/>
  <c r="H162" i="7"/>
  <c r="H150" i="7"/>
  <c r="H138" i="7"/>
  <c r="H126" i="7"/>
  <c r="H114" i="7"/>
  <c r="H102" i="7"/>
  <c r="H90" i="7"/>
  <c r="H78" i="7"/>
  <c r="H66" i="7"/>
  <c r="H54" i="7"/>
  <c r="H42" i="7"/>
  <c r="H30" i="7"/>
  <c r="H18" i="7"/>
  <c r="H6" i="7"/>
  <c r="H703" i="7"/>
  <c r="H691" i="7"/>
  <c r="H655" i="7"/>
  <c r="H619" i="7"/>
  <c r="H571" i="7"/>
  <c r="H535" i="7"/>
  <c r="H499" i="7"/>
  <c r="H475" i="7"/>
  <c r="H725" i="7"/>
  <c r="H713" i="7"/>
  <c r="H701" i="7"/>
  <c r="H689" i="7"/>
  <c r="H677" i="7"/>
  <c r="H665" i="7"/>
  <c r="H653" i="7"/>
  <c r="H641" i="7"/>
  <c r="H629" i="7"/>
  <c r="H617" i="7"/>
  <c r="H605" i="7"/>
  <c r="H593" i="7"/>
  <c r="H581" i="7"/>
  <c r="H569" i="7"/>
  <c r="H557" i="7"/>
  <c r="H545" i="7"/>
  <c r="H533" i="7"/>
  <c r="H521" i="7"/>
  <c r="H509" i="7"/>
  <c r="H497" i="7"/>
  <c r="H485" i="7"/>
  <c r="H473" i="7"/>
  <c r="H461" i="7"/>
  <c r="H449" i="7"/>
  <c r="H437" i="7"/>
  <c r="H425" i="7"/>
  <c r="H413" i="7"/>
  <c r="H401" i="7"/>
  <c r="H389" i="7"/>
  <c r="H377" i="7"/>
  <c r="H365" i="7"/>
  <c r="H353" i="7"/>
  <c r="H341" i="7"/>
  <c r="H329" i="7"/>
  <c r="H317" i="7"/>
  <c r="H305" i="7"/>
  <c r="H293" i="7"/>
  <c r="H281" i="7"/>
  <c r="H269" i="7"/>
  <c r="H257" i="7"/>
  <c r="H245" i="7"/>
  <c r="H233" i="7"/>
  <c r="H221" i="7"/>
  <c r="H209" i="7"/>
  <c r="H197" i="7"/>
  <c r="H185" i="7"/>
  <c r="H173" i="7"/>
  <c r="H161" i="7"/>
  <c r="H149" i="7"/>
  <c r="H137" i="7"/>
  <c r="H125" i="7"/>
  <c r="H113" i="7"/>
  <c r="H101" i="7"/>
  <c r="H89" i="7"/>
  <c r="H77" i="7"/>
  <c r="H65" i="7"/>
  <c r="H53" i="7"/>
  <c r="H41" i="7"/>
  <c r="H29" i="7"/>
  <c r="H17" i="7"/>
  <c r="A2" i="5"/>
  <c r="C36" i="5"/>
  <c r="C24" i="5"/>
  <c r="C7" i="5"/>
  <c r="C10" i="5"/>
  <c r="C3" i="5"/>
  <c r="C37" i="5"/>
  <c r="C35" i="5"/>
  <c r="C23" i="5"/>
  <c r="C13" i="5"/>
  <c r="C34" i="5"/>
  <c r="C22" i="5"/>
  <c r="C8" i="5"/>
  <c r="C33" i="5"/>
  <c r="C21" i="5"/>
  <c r="C6" i="5"/>
  <c r="C32" i="5"/>
  <c r="C20" i="5"/>
  <c r="C12" i="5"/>
  <c r="C19" i="5"/>
  <c r="C31" i="5"/>
  <c r="C30" i="5"/>
  <c r="C18" i="5"/>
  <c r="C5" i="5"/>
  <c r="C17" i="5"/>
  <c r="C4" i="5"/>
  <c r="C28" i="5"/>
  <c r="C9" i="5"/>
  <c r="C26" i="5"/>
  <c r="C25" i="5"/>
  <c r="C29" i="5"/>
  <c r="C11" i="5"/>
  <c r="C16" i="5"/>
  <c r="C27" i="5"/>
  <c r="C15" i="5"/>
  <c r="C38" i="5"/>
  <c r="C14" i="5"/>
  <c r="A2" i="4"/>
  <c r="C154" i="4"/>
  <c r="C142" i="4"/>
  <c r="C130" i="4"/>
  <c r="C118" i="4"/>
  <c r="C106" i="4"/>
  <c r="C94" i="4"/>
  <c r="C82" i="4"/>
  <c r="C70" i="4"/>
  <c r="C58" i="4"/>
  <c r="C46" i="4"/>
  <c r="C34" i="4"/>
  <c r="C22" i="4"/>
  <c r="C8" i="4"/>
  <c r="C145" i="4"/>
  <c r="C37" i="4"/>
  <c r="C48" i="4"/>
  <c r="C153" i="4"/>
  <c r="C141" i="4"/>
  <c r="C129" i="4"/>
  <c r="C117" i="4"/>
  <c r="C105" i="4"/>
  <c r="C93" i="4"/>
  <c r="C81" i="4"/>
  <c r="C69" i="4"/>
  <c r="C57" i="4"/>
  <c r="C45" i="4"/>
  <c r="C33" i="4"/>
  <c r="C21" i="4"/>
  <c r="C6" i="4"/>
  <c r="C127" i="4"/>
  <c r="C91" i="4"/>
  <c r="C43" i="4"/>
  <c r="C86" i="4"/>
  <c r="C14" i="4"/>
  <c r="C85" i="4"/>
  <c r="C7" i="4"/>
  <c r="C152" i="4"/>
  <c r="C140" i="4"/>
  <c r="C128" i="4"/>
  <c r="C116" i="4"/>
  <c r="C104" i="4"/>
  <c r="C92" i="4"/>
  <c r="C80" i="4"/>
  <c r="C68" i="4"/>
  <c r="C56" i="4"/>
  <c r="C44" i="4"/>
  <c r="C32" i="4"/>
  <c r="C20" i="4"/>
  <c r="C12" i="4"/>
  <c r="C139" i="4"/>
  <c r="C115" i="4"/>
  <c r="C79" i="4"/>
  <c r="C55" i="4"/>
  <c r="C19" i="4"/>
  <c r="C134" i="4"/>
  <c r="C62" i="4"/>
  <c r="C121" i="4"/>
  <c r="C151" i="4"/>
  <c r="C103" i="4"/>
  <c r="C67" i="4"/>
  <c r="C31" i="4"/>
  <c r="C49" i="4"/>
  <c r="C143" i="4"/>
  <c r="C150" i="4"/>
  <c r="C138" i="4"/>
  <c r="C126" i="4"/>
  <c r="C114" i="4"/>
  <c r="C102" i="4"/>
  <c r="C90" i="4"/>
  <c r="C78" i="4"/>
  <c r="C66" i="4"/>
  <c r="C54" i="4"/>
  <c r="C42" i="4"/>
  <c r="C30" i="4"/>
  <c r="C18" i="4"/>
  <c r="C5" i="4"/>
  <c r="C17" i="4"/>
  <c r="C98" i="4"/>
  <c r="C38" i="4"/>
  <c r="C73" i="4"/>
  <c r="C72" i="4"/>
  <c r="C131" i="4"/>
  <c r="C149" i="4"/>
  <c r="C137" i="4"/>
  <c r="C125" i="4"/>
  <c r="C113" i="4"/>
  <c r="C101" i="4"/>
  <c r="C89" i="4"/>
  <c r="C77" i="4"/>
  <c r="C65" i="4"/>
  <c r="C53" i="4"/>
  <c r="C41" i="4"/>
  <c r="C29" i="4"/>
  <c r="C11" i="4"/>
  <c r="C4" i="4"/>
  <c r="C146" i="4"/>
  <c r="C74" i="4"/>
  <c r="C148" i="4"/>
  <c r="C136" i="4"/>
  <c r="C124" i="4"/>
  <c r="C112" i="4"/>
  <c r="C100" i="4"/>
  <c r="C88" i="4"/>
  <c r="C76" i="4"/>
  <c r="C64" i="4"/>
  <c r="C52" i="4"/>
  <c r="C40" i="4"/>
  <c r="C28" i="4"/>
  <c r="C16" i="4"/>
  <c r="C10" i="4"/>
  <c r="C133" i="4"/>
  <c r="C25" i="4"/>
  <c r="C36" i="4"/>
  <c r="C147" i="4"/>
  <c r="C135" i="4"/>
  <c r="C123" i="4"/>
  <c r="C111" i="4"/>
  <c r="C99" i="4"/>
  <c r="C87" i="4"/>
  <c r="C75" i="4"/>
  <c r="C63" i="4"/>
  <c r="C51" i="4"/>
  <c r="C39" i="4"/>
  <c r="C27" i="4"/>
  <c r="C15" i="4"/>
  <c r="C9" i="4"/>
  <c r="C3" i="4"/>
  <c r="C122" i="4"/>
  <c r="C50" i="4"/>
  <c r="C61" i="4"/>
  <c r="C60" i="4"/>
  <c r="C110" i="4"/>
  <c r="C26" i="4"/>
  <c r="C97" i="4"/>
  <c r="C24" i="4"/>
  <c r="C109" i="4"/>
  <c r="C155" i="4"/>
  <c r="C156" i="4"/>
  <c r="C144" i="4"/>
  <c r="C132" i="4"/>
  <c r="C120" i="4"/>
  <c r="C108" i="4"/>
  <c r="C96" i="4"/>
  <c r="C84" i="4"/>
  <c r="C119" i="4"/>
  <c r="C95" i="4"/>
  <c r="C71" i="4"/>
  <c r="C47" i="4"/>
  <c r="C23" i="4"/>
  <c r="C107" i="4"/>
  <c r="C83" i="4"/>
  <c r="C59" i="4"/>
  <c r="C35" i="4"/>
  <c r="C13" i="4"/>
  <c r="I6" i="5" l="1"/>
  <c r="J6" i="5" s="1"/>
  <c r="I5" i="5"/>
  <c r="J5" i="5" s="1"/>
  <c r="I6" i="4"/>
  <c r="J6" i="4" s="1"/>
  <c r="I5" i="4"/>
  <c r="J5" i="4" s="1"/>
  <c r="I13" i="5" l="1"/>
  <c r="J11" i="5"/>
  <c r="J12" i="5"/>
  <c r="I12" i="5"/>
  <c r="J7" i="5"/>
  <c r="J13" i="5"/>
  <c r="I11" i="5"/>
  <c r="J12" i="4"/>
  <c r="I12" i="4"/>
  <c r="J11" i="4"/>
  <c r="J7" i="4"/>
  <c r="J13" i="4"/>
  <c r="I13" i="4"/>
  <c r="I11" i="4"/>
  <c r="F3" i="1"/>
  <c r="F2" i="1" s="1"/>
  <c r="A2" i="1" a="1"/>
  <c r="C4" i="1" l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412" i="1"/>
  <c r="C424" i="1"/>
  <c r="C436" i="1"/>
  <c r="C448" i="1"/>
  <c r="C460" i="1"/>
  <c r="C472" i="1"/>
  <c r="C484" i="1"/>
  <c r="C496" i="1"/>
  <c r="C508" i="1"/>
  <c r="C520" i="1"/>
  <c r="C532" i="1"/>
  <c r="C544" i="1"/>
  <c r="C556" i="1"/>
  <c r="C568" i="1"/>
  <c r="C580" i="1"/>
  <c r="C592" i="1"/>
  <c r="C604" i="1"/>
  <c r="C616" i="1"/>
  <c r="C628" i="1"/>
  <c r="C640" i="1"/>
  <c r="C652" i="1"/>
  <c r="C664" i="1"/>
  <c r="C676" i="1"/>
  <c r="C688" i="1"/>
  <c r="C700" i="1"/>
  <c r="C712" i="1"/>
  <c r="C724" i="1"/>
  <c r="C423" i="1"/>
  <c r="C615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401" i="1"/>
  <c r="C413" i="1"/>
  <c r="C425" i="1"/>
  <c r="C437" i="1"/>
  <c r="C449" i="1"/>
  <c r="C461" i="1"/>
  <c r="C473" i="1"/>
  <c r="C485" i="1"/>
  <c r="C497" i="1"/>
  <c r="C509" i="1"/>
  <c r="C521" i="1"/>
  <c r="C533" i="1"/>
  <c r="C545" i="1"/>
  <c r="C557" i="1"/>
  <c r="C569" i="1"/>
  <c r="C581" i="1"/>
  <c r="C593" i="1"/>
  <c r="C605" i="1"/>
  <c r="C617" i="1"/>
  <c r="C629" i="1"/>
  <c r="C641" i="1"/>
  <c r="C653" i="1"/>
  <c r="C665" i="1"/>
  <c r="C677" i="1"/>
  <c r="C689" i="1"/>
  <c r="C701" i="1"/>
  <c r="C713" i="1"/>
  <c r="C725" i="1"/>
  <c r="C351" i="1"/>
  <c r="C507" i="1"/>
  <c r="C603" i="1"/>
  <c r="C687" i="1"/>
  <c r="C6" i="1"/>
  <c r="C18" i="1"/>
  <c r="C30" i="1"/>
  <c r="C42" i="1"/>
  <c r="C54" i="1"/>
  <c r="C66" i="1"/>
  <c r="C78" i="1"/>
  <c r="C90" i="1"/>
  <c r="C102" i="1"/>
  <c r="C114" i="1"/>
  <c r="C126" i="1"/>
  <c r="C138" i="1"/>
  <c r="C150" i="1"/>
  <c r="C162" i="1"/>
  <c r="C174" i="1"/>
  <c r="C186" i="1"/>
  <c r="C198" i="1"/>
  <c r="C210" i="1"/>
  <c r="C222" i="1"/>
  <c r="C234" i="1"/>
  <c r="C246" i="1"/>
  <c r="C258" i="1"/>
  <c r="C270" i="1"/>
  <c r="C282" i="1"/>
  <c r="C294" i="1"/>
  <c r="C306" i="1"/>
  <c r="C318" i="1"/>
  <c r="C330" i="1"/>
  <c r="C342" i="1"/>
  <c r="C354" i="1"/>
  <c r="C366" i="1"/>
  <c r="C378" i="1"/>
  <c r="C390" i="1"/>
  <c r="C402" i="1"/>
  <c r="C414" i="1"/>
  <c r="C426" i="1"/>
  <c r="C438" i="1"/>
  <c r="C450" i="1"/>
  <c r="C462" i="1"/>
  <c r="C474" i="1"/>
  <c r="C486" i="1"/>
  <c r="C498" i="1"/>
  <c r="C510" i="1"/>
  <c r="C522" i="1"/>
  <c r="C534" i="1"/>
  <c r="C546" i="1"/>
  <c r="C558" i="1"/>
  <c r="C570" i="1"/>
  <c r="C582" i="1"/>
  <c r="C594" i="1"/>
  <c r="C606" i="1"/>
  <c r="C618" i="1"/>
  <c r="C630" i="1"/>
  <c r="C642" i="1"/>
  <c r="C654" i="1"/>
  <c r="C666" i="1"/>
  <c r="C678" i="1"/>
  <c r="C690" i="1"/>
  <c r="C702" i="1"/>
  <c r="C714" i="1"/>
  <c r="C726" i="1"/>
  <c r="C363" i="1"/>
  <c r="C567" i="1"/>
  <c r="C675" i="1"/>
  <c r="C7" i="1"/>
  <c r="C19" i="1"/>
  <c r="C31" i="1"/>
  <c r="C43" i="1"/>
  <c r="C55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403" i="1"/>
  <c r="C415" i="1"/>
  <c r="C427" i="1"/>
  <c r="C439" i="1"/>
  <c r="C451" i="1"/>
  <c r="C463" i="1"/>
  <c r="C475" i="1"/>
  <c r="C487" i="1"/>
  <c r="C499" i="1"/>
  <c r="C511" i="1"/>
  <c r="C523" i="1"/>
  <c r="C535" i="1"/>
  <c r="C547" i="1"/>
  <c r="C559" i="1"/>
  <c r="C571" i="1"/>
  <c r="C583" i="1"/>
  <c r="C595" i="1"/>
  <c r="C607" i="1"/>
  <c r="C619" i="1"/>
  <c r="C631" i="1"/>
  <c r="C643" i="1"/>
  <c r="C655" i="1"/>
  <c r="C667" i="1"/>
  <c r="C679" i="1"/>
  <c r="C691" i="1"/>
  <c r="C703" i="1"/>
  <c r="C715" i="1"/>
  <c r="C727" i="1"/>
  <c r="C611" i="1"/>
  <c r="C375" i="1"/>
  <c r="C531" i="1"/>
  <c r="C627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500" i="1"/>
  <c r="C512" i="1"/>
  <c r="C524" i="1"/>
  <c r="C536" i="1"/>
  <c r="C548" i="1"/>
  <c r="C560" i="1"/>
  <c r="C572" i="1"/>
  <c r="C584" i="1"/>
  <c r="C596" i="1"/>
  <c r="C608" i="1"/>
  <c r="C620" i="1"/>
  <c r="C632" i="1"/>
  <c r="C644" i="1"/>
  <c r="C656" i="1"/>
  <c r="C668" i="1"/>
  <c r="C680" i="1"/>
  <c r="C692" i="1"/>
  <c r="C704" i="1"/>
  <c r="C716" i="1"/>
  <c r="C728" i="1"/>
  <c r="C587" i="1"/>
  <c r="C399" i="1"/>
  <c r="C699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225" i="1"/>
  <c r="C237" i="1"/>
  <c r="C249" i="1"/>
  <c r="C261" i="1"/>
  <c r="C273" i="1"/>
  <c r="C285" i="1"/>
  <c r="C297" i="1"/>
  <c r="C309" i="1"/>
  <c r="C321" i="1"/>
  <c r="C333" i="1"/>
  <c r="C345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501" i="1"/>
  <c r="C513" i="1"/>
  <c r="C525" i="1"/>
  <c r="C537" i="1"/>
  <c r="C549" i="1"/>
  <c r="C561" i="1"/>
  <c r="C573" i="1"/>
  <c r="C585" i="1"/>
  <c r="C597" i="1"/>
  <c r="C609" i="1"/>
  <c r="C621" i="1"/>
  <c r="C633" i="1"/>
  <c r="C645" i="1"/>
  <c r="C657" i="1"/>
  <c r="C669" i="1"/>
  <c r="C681" i="1"/>
  <c r="C693" i="1"/>
  <c r="C705" i="1"/>
  <c r="C717" i="1"/>
  <c r="C729" i="1"/>
  <c r="C563" i="1"/>
  <c r="C327" i="1"/>
  <c r="C435" i="1"/>
  <c r="C447" i="1"/>
  <c r="C459" i="1"/>
  <c r="C471" i="1"/>
  <c r="C495" i="1"/>
  <c r="C519" i="1"/>
  <c r="C543" i="1"/>
  <c r="C579" i="1"/>
  <c r="C663" i="1"/>
  <c r="C723" i="1"/>
  <c r="C10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202" i="1"/>
  <c r="C214" i="1"/>
  <c r="C226" i="1"/>
  <c r="C238" i="1"/>
  <c r="C250" i="1"/>
  <c r="C262" i="1"/>
  <c r="C274" i="1"/>
  <c r="C286" i="1"/>
  <c r="C298" i="1"/>
  <c r="C310" i="1"/>
  <c r="C322" i="1"/>
  <c r="C334" i="1"/>
  <c r="C346" i="1"/>
  <c r="C358" i="1"/>
  <c r="C370" i="1"/>
  <c r="C382" i="1"/>
  <c r="C394" i="1"/>
  <c r="C406" i="1"/>
  <c r="C418" i="1"/>
  <c r="C430" i="1"/>
  <c r="C442" i="1"/>
  <c r="C454" i="1"/>
  <c r="C466" i="1"/>
  <c r="C478" i="1"/>
  <c r="C490" i="1"/>
  <c r="C502" i="1"/>
  <c r="C514" i="1"/>
  <c r="C526" i="1"/>
  <c r="C538" i="1"/>
  <c r="C550" i="1"/>
  <c r="C562" i="1"/>
  <c r="C574" i="1"/>
  <c r="C586" i="1"/>
  <c r="C598" i="1"/>
  <c r="C610" i="1"/>
  <c r="C622" i="1"/>
  <c r="C634" i="1"/>
  <c r="C646" i="1"/>
  <c r="C658" i="1"/>
  <c r="C670" i="1"/>
  <c r="C682" i="1"/>
  <c r="C694" i="1"/>
  <c r="C706" i="1"/>
  <c r="C718" i="1"/>
  <c r="C730" i="1"/>
  <c r="C455" i="1"/>
  <c r="C695" i="1"/>
  <c r="C411" i="1"/>
  <c r="C639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03" i="1"/>
  <c r="C215" i="1"/>
  <c r="C227" i="1"/>
  <c r="C239" i="1"/>
  <c r="C251" i="1"/>
  <c r="C263" i="1"/>
  <c r="C275" i="1"/>
  <c r="C287" i="1"/>
  <c r="C299" i="1"/>
  <c r="C311" i="1"/>
  <c r="C323" i="1"/>
  <c r="C335" i="1"/>
  <c r="C347" i="1"/>
  <c r="C359" i="1"/>
  <c r="C371" i="1"/>
  <c r="C383" i="1"/>
  <c r="C395" i="1"/>
  <c r="C407" i="1"/>
  <c r="C419" i="1"/>
  <c r="C431" i="1"/>
  <c r="C443" i="1"/>
  <c r="C467" i="1"/>
  <c r="C479" i="1"/>
  <c r="C491" i="1"/>
  <c r="C503" i="1"/>
  <c r="C515" i="1"/>
  <c r="C527" i="1"/>
  <c r="C539" i="1"/>
  <c r="C551" i="1"/>
  <c r="C575" i="1"/>
  <c r="C599" i="1"/>
  <c r="C623" i="1"/>
  <c r="C635" i="1"/>
  <c r="C647" i="1"/>
  <c r="C659" i="1"/>
  <c r="C671" i="1"/>
  <c r="C683" i="1"/>
  <c r="C707" i="1"/>
  <c r="C719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204" i="1"/>
  <c r="C216" i="1"/>
  <c r="C228" i="1"/>
  <c r="C240" i="1"/>
  <c r="C252" i="1"/>
  <c r="C264" i="1"/>
  <c r="C276" i="1"/>
  <c r="C288" i="1"/>
  <c r="C300" i="1"/>
  <c r="C312" i="1"/>
  <c r="C324" i="1"/>
  <c r="C336" i="1"/>
  <c r="C348" i="1"/>
  <c r="C360" i="1"/>
  <c r="C372" i="1"/>
  <c r="C384" i="1"/>
  <c r="C396" i="1"/>
  <c r="C408" i="1"/>
  <c r="C420" i="1"/>
  <c r="C432" i="1"/>
  <c r="C444" i="1"/>
  <c r="C456" i="1"/>
  <c r="C468" i="1"/>
  <c r="C480" i="1"/>
  <c r="C492" i="1"/>
  <c r="C504" i="1"/>
  <c r="C516" i="1"/>
  <c r="C528" i="1"/>
  <c r="C540" i="1"/>
  <c r="C552" i="1"/>
  <c r="C564" i="1"/>
  <c r="C576" i="1"/>
  <c r="C588" i="1"/>
  <c r="C600" i="1"/>
  <c r="C612" i="1"/>
  <c r="C624" i="1"/>
  <c r="C636" i="1"/>
  <c r="C648" i="1"/>
  <c r="C660" i="1"/>
  <c r="C672" i="1"/>
  <c r="C684" i="1"/>
  <c r="C696" i="1"/>
  <c r="C708" i="1"/>
  <c r="C720" i="1"/>
  <c r="C387" i="1"/>
  <c r="C591" i="1"/>
  <c r="C711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C505" i="1"/>
  <c r="C517" i="1"/>
  <c r="C529" i="1"/>
  <c r="C541" i="1"/>
  <c r="C553" i="1"/>
  <c r="C565" i="1"/>
  <c r="C577" i="1"/>
  <c r="C589" i="1"/>
  <c r="C601" i="1"/>
  <c r="C613" i="1"/>
  <c r="C625" i="1"/>
  <c r="C637" i="1"/>
  <c r="C649" i="1"/>
  <c r="C661" i="1"/>
  <c r="C673" i="1"/>
  <c r="C685" i="1"/>
  <c r="C697" i="1"/>
  <c r="C709" i="1"/>
  <c r="C721" i="1"/>
  <c r="C339" i="1"/>
  <c r="C483" i="1"/>
  <c r="C555" i="1"/>
  <c r="C651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506" i="1"/>
  <c r="C518" i="1"/>
  <c r="C530" i="1"/>
  <c r="C542" i="1"/>
  <c r="C554" i="1"/>
  <c r="C566" i="1"/>
  <c r="C578" i="1"/>
  <c r="C590" i="1"/>
  <c r="C602" i="1"/>
  <c r="C614" i="1"/>
  <c r="C626" i="1"/>
  <c r="C638" i="1"/>
  <c r="C650" i="1"/>
  <c r="C662" i="1"/>
  <c r="C674" i="1"/>
  <c r="C686" i="1"/>
  <c r="C698" i="1"/>
  <c r="C710" i="1"/>
  <c r="C722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" i="1"/>
  <c r="A2" i="1"/>
  <c r="I5" i="1" l="1"/>
  <c r="I6" i="1"/>
  <c r="J6" i="1" s="1"/>
  <c r="I13" i="1" l="1"/>
  <c r="I12" i="1"/>
  <c r="I11" i="1"/>
  <c r="J11" i="1"/>
  <c r="J12" i="1"/>
  <c r="J13" i="1"/>
  <c r="J5" i="1"/>
  <c r="J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18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</futureMetadata>
  <cellMetadata count="1">
    <bk>
      <rc t="1" v="0"/>
    </bk>
  </cellMetadata>
  <valueMetadata count="491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</valueMetadata>
</metadata>
</file>

<file path=xl/sharedStrings.xml><?xml version="1.0" encoding="utf-8"?>
<sst xmlns="http://schemas.openxmlformats.org/spreadsheetml/2006/main" count="112" uniqueCount="44">
  <si>
    <t>Nifty 50</t>
  </si>
  <si>
    <t>Date</t>
  </si>
  <si>
    <t>Start date</t>
  </si>
  <si>
    <t>End date</t>
  </si>
  <si>
    <t>Returns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</si>
  <si>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</si>
  <si>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</si>
  <si>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</si>
  <si>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</si>
  <si>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</si>
  <si>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</si>
  <si>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</si>
  <si>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</si>
  <si>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</si>
  <si>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</si>
  <si>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</si>
  <si>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</si>
  <si>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</si>
  <si>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Annualised</t>
  </si>
  <si>
    <t>Daily</t>
  </si>
  <si>
    <t>Average Return</t>
  </si>
  <si>
    <t>Return/Risk</t>
  </si>
  <si>
    <t>Stdv</t>
  </si>
  <si>
    <t>Downside</t>
  </si>
  <si>
    <t>Upside</t>
  </si>
  <si>
    <t>Confidence Interval</t>
  </si>
  <si>
    <t>ETERNAL</t>
  </si>
  <si>
    <t>GOLDBEES</t>
  </si>
  <si>
    <t>NIFTY 50</t>
  </si>
  <si>
    <t>SBILIFE</t>
  </si>
  <si>
    <t>NESTLEIND</t>
  </si>
  <si>
    <t>EICHERMOT</t>
  </si>
  <si>
    <t>Return/Stdv</t>
  </si>
  <si>
    <t>Weight</t>
  </si>
  <si>
    <t>Quantity</t>
  </si>
  <si>
    <t>Initial Investment</t>
  </si>
  <si>
    <t>Portfolio</t>
  </si>
  <si>
    <t>PORTFOLIO</t>
  </si>
  <si>
    <t>Expected Return</t>
  </si>
  <si>
    <t>Portfolio Final Value</t>
  </si>
  <si>
    <t>Annualised Return</t>
  </si>
  <si>
    <t>Annualised Stdv</t>
  </si>
  <si>
    <t>EWP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</si>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</sst>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&quot;Stdv&quot;"/>
    <numFmt numFmtId="171" formatCode="&quot;₹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0" xfId="0" applyFont="1"/>
    <xf numFmtId="14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0" fontId="4" fillId="0" borderId="2" xfId="0" applyFont="1" applyFill="1" applyBorder="1" applyAlignment="1">
      <alignment horizontal="centerContinuous"/>
    </xf>
    <xf numFmtId="0" fontId="0" fillId="0" borderId="0" xfId="0" applyFont="1" applyFill="1" applyBorder="1" applyAlignment="1"/>
    <xf numFmtId="0" fontId="0" fillId="0" borderId="1" xfId="0" applyFont="1" applyFill="1" applyBorder="1" applyAlignment="1"/>
    <xf numFmtId="10" fontId="0" fillId="0" borderId="0" xfId="0" applyNumberFormat="1"/>
    <xf numFmtId="167" fontId="2" fillId="0" borderId="0" xfId="0" applyNumberFormat="1" applyFont="1"/>
    <xf numFmtId="0" fontId="0" fillId="2" borderId="0" xfId="0" applyFill="1" applyBorder="1"/>
    <xf numFmtId="9" fontId="0" fillId="3" borderId="0" xfId="0" applyNumberFormat="1" applyFill="1"/>
    <xf numFmtId="9" fontId="0" fillId="4" borderId="0" xfId="0" applyNumberFormat="1" applyFill="1"/>
    <xf numFmtId="9" fontId="0" fillId="5" borderId="0" xfId="0" applyNumberFormat="1" applyFill="1"/>
    <xf numFmtId="0" fontId="0" fillId="0" borderId="0" xfId="0" applyFill="1" applyBorder="1"/>
    <xf numFmtId="0" fontId="0" fillId="0" borderId="0" xfId="0" applyFill="1"/>
    <xf numFmtId="9" fontId="0" fillId="0" borderId="0" xfId="0" applyNumberFormat="1" applyFill="1"/>
    <xf numFmtId="171" fontId="0" fillId="0" borderId="0" xfId="0" applyNumberFormat="1"/>
    <xf numFmtId="9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71" fontId="0" fillId="0" borderId="0" xfId="0" applyNumberFormat="1" applyFill="1"/>
    <xf numFmtId="9" fontId="1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8A15A0EF-4776-42CD-8637-7CCD9B033171}">
          <cx:tx>
            <cx:txData>
              <cx:f>_xlchart.v1.0</cx:f>
              <cx:v>Returns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000" sourceLinked="0"/>
      </cx:axis>
      <cx:axis id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457199</xdr:colOff>
      <xdr:row>3</xdr:row>
      <xdr:rowOff>135255</xdr:rowOff>
    </xdr:from>
    <xdr:to>
      <xdr:col>17</xdr:col>
      <xdr:colOff>352425</xdr:colOff>
      <xdr:row>19</xdr:row>
      <xdr:rowOff>97155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91E6A2-2BA8-9716-16F6-85F8F8756D27}"/>
            </a:ext>
          </a:extLst>
        </xdr:cNvPr>
        <xdr:cNvSpPr/>
      </xdr:nvSpPr>
      <xdr:spPr>
        <a:xfrm>
          <a:off x="16135349" y="678180"/>
          <a:ext cx="3152776" cy="287655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891541</xdr:colOff>
      <xdr:row>3</xdr:row>
      <xdr:rowOff>135255</xdr:rowOff>
    </xdr:from>
    <xdr:to>
      <xdr:col>16</xdr:col>
      <xdr:colOff>809625</xdr:colOff>
      <xdr:row>19</xdr:row>
      <xdr:rowOff>97155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B595FD-179D-4DBB-999C-D700E4245D1F}"/>
            </a:ext>
          </a:extLst>
        </xdr:cNvPr>
        <xdr:cNvSpPr/>
      </xdr:nvSpPr>
      <xdr:spPr>
        <a:xfrm>
          <a:off x="16569691" y="678180"/>
          <a:ext cx="2089784" cy="28765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358141</xdr:colOff>
      <xdr:row>3</xdr:row>
      <xdr:rowOff>135255</xdr:rowOff>
    </xdr:from>
    <xdr:to>
      <xdr:col>16</xdr:col>
      <xdr:colOff>285751</xdr:colOff>
      <xdr:row>19</xdr:row>
      <xdr:rowOff>97155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391B802-0E93-4CA6-A81F-31B778C8013D}"/>
            </a:ext>
          </a:extLst>
        </xdr:cNvPr>
        <xdr:cNvSpPr/>
      </xdr:nvSpPr>
      <xdr:spPr>
        <a:xfrm>
          <a:off x="17122141" y="678180"/>
          <a:ext cx="1013460" cy="2876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18</xdr:col>
      <xdr:colOff>215265</xdr:colOff>
      <xdr:row>25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A2160AB-F6E1-41F3-8E8B-062D01071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5950" y="542925"/>
              <a:ext cx="6730365" cy="4005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16</xdr:col>
      <xdr:colOff>901065</xdr:colOff>
      <xdr:row>4</xdr:row>
      <xdr:rowOff>43815</xdr:rowOff>
    </xdr:from>
    <xdr:ext cx="43377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1BDA3C-45C9-DFA7-B76E-678696C29805}"/>
            </a:ext>
          </a:extLst>
        </xdr:cNvPr>
        <xdr:cNvSpPr txBox="1"/>
      </xdr:nvSpPr>
      <xdr:spPr>
        <a:xfrm>
          <a:off x="18750915" y="777240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99%</a:t>
          </a:r>
        </a:p>
      </xdr:txBody>
    </xdr:sp>
    <xdr:clientData/>
  </xdr:oneCellAnchor>
  <xdr:oneCellAnchor>
    <xdr:from>
      <xdr:col>16</xdr:col>
      <xdr:colOff>344805</xdr:colOff>
      <xdr:row>4</xdr:row>
      <xdr:rowOff>49530</xdr:rowOff>
    </xdr:from>
    <xdr:ext cx="433773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95707B-CA43-4589-BDF1-25BE55D5E62D}"/>
            </a:ext>
          </a:extLst>
        </xdr:cNvPr>
        <xdr:cNvSpPr txBox="1"/>
      </xdr:nvSpPr>
      <xdr:spPr>
        <a:xfrm>
          <a:off x="18194655" y="782955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95%</a:t>
          </a:r>
        </a:p>
      </xdr:txBody>
    </xdr:sp>
    <xdr:clientData/>
  </xdr:oneCellAnchor>
  <xdr:oneCellAnchor>
    <xdr:from>
      <xdr:col>15</xdr:col>
      <xdr:colOff>706755</xdr:colOff>
      <xdr:row>4</xdr:row>
      <xdr:rowOff>53340</xdr:rowOff>
    </xdr:from>
    <xdr:ext cx="43377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F9FADC-B66B-4CF7-9AEF-7CDB35DFE906}"/>
            </a:ext>
          </a:extLst>
        </xdr:cNvPr>
        <xdr:cNvSpPr txBox="1"/>
      </xdr:nvSpPr>
      <xdr:spPr>
        <a:xfrm>
          <a:off x="17470755" y="786765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68%</a:t>
          </a:r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6">
  <a r="1" c="729">
    <v t="i">0</v>
    <v t="i">1</v>
    <v t="i">4</v>
    <v t="i">5</v>
    <v t="i">6</v>
    <v t="i">7</v>
    <v t="i">8</v>
    <v t="i">11</v>
    <v t="i">12</v>
    <v t="i">13</v>
    <v t="i">14</v>
    <v t="i">15</v>
    <v t="i">18</v>
    <v t="i">20</v>
    <v t="i">21</v>
    <v t="i">22</v>
    <v t="i">25</v>
    <v t="i">26</v>
    <v t="i">27</v>
    <v t="i">28</v>
    <v t="i">29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55</v>
    <v t="i">56</v>
    <v t="i">57</v>
    <v t="i">60</v>
    <v t="i">61</v>
    <v t="i">62</v>
    <v t="i">63</v>
    <v t="i">64</v>
    <v t="i">67</v>
    <v t="i">68</v>
    <v t="i">69</v>
    <v t="i">70</v>
    <v t="i">71</v>
    <v t="i">73</v>
    <v t="i">74</v>
    <v t="i">76</v>
    <v t="i">77</v>
    <v t="i">78</v>
    <v t="i">81</v>
    <v t="i">82</v>
    <v t="i">83</v>
    <v t="i">84</v>
    <v t="i">85</v>
    <v t="i">89</v>
    <v t="i">90</v>
    <v t="i">91</v>
    <v t="i">92</v>
    <v t="i">95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140</v>
    <v t="i">141</v>
    <v t="i">142</v>
    <v t="i">145</v>
    <v t="i">146</v>
    <v t="i">147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184</v>
    <v t="i">186</v>
    <v t="i">187</v>
    <v t="i">188</v>
    <v t="i">189</v>
    <v t="i">193</v>
    <v t="i">194</v>
    <v t="i">195</v>
    <v t="i">196</v>
    <v t="i">197</v>
    <v t="i">200</v>
    <v t="i">201</v>
    <v t="i">202</v>
    <v t="i">203</v>
    <v t="i">204</v>
    <v t="i">208</v>
    <v t="i">209</v>
    <v t="i">210</v>
    <v t="i">214</v>
    <v t="i">215</v>
    <v t="i">216</v>
    <v t="i">217</v>
    <v t="i">218</v>
    <v t="i">221</v>
    <v t="i">222</v>
    <v t="i">223</v>
    <v t="i">225</v>
    <v t="i">228</v>
    <v t="i">229</v>
    <v t="i">231</v>
    <v t="i">232</v>
    <v t="i">235</v>
    <v t="i">236</v>
    <v t="i">237</v>
    <v t="i">238</v>
    <v t="i">239</v>
    <v t="i">242</v>
    <v t="i">243</v>
    <v t="i">245</v>
    <v t="i">246</v>
    <v t="i">249</v>
    <v t="i">250</v>
    <v t="i">251</v>
    <v t="i">252</v>
    <v t="i">253</v>
    <v t="i">256</v>
    <v t="i">257</v>
    <v t="i">258</v>
    <v t="i">259</v>
    <v t="i">260</v>
    <v t="i">261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351</v>
    <v t="i">354</v>
    <v t="i">355</v>
    <v t="i">356</v>
    <v t="i">357</v>
    <v t="i">358</v>
    <v t="i">361</v>
    <v t="i">362</v>
    <v t="i">363</v>
    <v t="i">364</v>
    <v t="i">365</v>
    <v t="i">368</v>
    <v t="i">369</v>
    <v t="i">370</v>
    <v t="i">371</v>
    <v t="i">372</v>
    <v t="i">375</v>
    <v t="i">376</v>
    <v t="i">377</v>
    <v t="i">378</v>
    <v t="i">379</v>
    <v t="i">382</v>
    <v t="i">383</v>
    <v t="i">384</v>
    <v t="i">385</v>
    <v t="i">386</v>
    <v t="i">389</v>
    <v t="i">390</v>
    <v t="i">391</v>
    <v t="i">392</v>
    <v t="i">393</v>
    <v t="i">396</v>
    <v t="i">397</v>
    <v t="i">399</v>
    <v t="i">400</v>
    <v t="i">403</v>
    <v t="i">404</v>
    <v t="i">405</v>
    <v t="i">406</v>
    <v t="i">407</v>
    <v t="i">410</v>
    <v t="i">411</v>
    <v t="i">412</v>
    <v t="i">413</v>
    <v t="i">414</v>
    <v t="i">417</v>
    <v t="i">418</v>
    <v t="i">419</v>
    <v t="i">420</v>
    <v t="i">421</v>
    <v t="i">424</v>
    <v t="i">425</v>
    <v t="i">426</v>
    <v t="i">427</v>
    <v t="i">428</v>
    <v t="i">431</v>
    <v t="i">432</v>
    <v t="i">433</v>
    <v t="i">434</v>
    <v t="i">435</v>
    <v t="i">438</v>
    <v t="i">439</v>
    <v t="i">440</v>
    <v t="i">441</v>
    <v t="i">445</v>
    <v t="i">446</v>
    <v t="i">448</v>
    <v t="i">449</v>
    <v t="i">452</v>
    <v t="i">453</v>
    <v t="i">454</v>
    <v t="i">455</v>
    <v t="i">456</v>
    <v t="i">459</v>
    <v t="i">460</v>
    <v t="i">461</v>
    <v t="i">462</v>
    <v t="i">463</v>
    <v t="i">466</v>
    <v t="i">467</v>
    <v t="i">468</v>
    <v t="i">469</v>
    <v t="i">470</v>
    <v t="i">473</v>
    <v t="i">474</v>
    <v t="i">475</v>
    <v t="i">476</v>
    <v t="i">477</v>
    <v t="i">480</v>
    <v t="i">481</v>
    <v t="i">483</v>
    <v t="i">484</v>
    <v t="i">487</v>
    <v t="i">488</v>
    <v t="i">489</v>
    <v t="i">490</v>
    <v t="i">491</v>
    <v t="i">494</v>
    <v t="i">495</v>
    <v t="i">496</v>
    <v t="i">497</v>
    <v t="i">498</v>
    <v t="i">501</v>
    <v t="i">502</v>
    <v t="i">503</v>
    <v t="i">504</v>
    <v t="i">505</v>
    <v t="i">508</v>
    <v t="i">509</v>
    <v t="i">510</v>
    <v t="i">511</v>
    <v t="i">512</v>
    <v t="i">515</v>
    <v t="i">516</v>
    <v t="i">517</v>
    <v t="i">518</v>
    <v t="i">519</v>
    <v t="i">520</v>
    <v t="i">522</v>
    <v t="i">523</v>
    <v t="i">524</v>
    <v t="i">525</v>
    <v t="i">526</v>
    <v t="i">529</v>
    <v t="i">530</v>
    <v t="i">531</v>
    <v t="i">532</v>
    <v t="i">533</v>
    <v t="i">536</v>
    <v t="i">537</v>
    <v t="i">538</v>
    <v t="i">539</v>
    <v t="i">540</v>
    <v t="i">543</v>
    <v t="i">544</v>
    <v t="i">546</v>
    <v t="i">547</v>
    <v t="i">550</v>
    <v t="i">551</v>
    <v t="i">552</v>
    <v t="i">553</v>
    <v t="i">554</v>
    <v t="i">557</v>
    <v t="i">558</v>
    <v t="i">559</v>
    <v t="i">560</v>
    <v t="i">564</v>
    <v t="i">565</v>
    <v t="i">566</v>
    <v t="i">567</v>
    <v t="i">568</v>
    <v t="i">571</v>
    <v t="i">572</v>
    <v t="i">573</v>
    <v t="i">574</v>
    <v t="i">575</v>
    <v t="i">579</v>
    <v t="i">580</v>
    <v t="i">581</v>
    <v t="i">582</v>
    <v t="i">585</v>
    <v t="i">586</v>
    <v t="i">587</v>
    <v t="i">589</v>
    <v t="i">593</v>
    <v t="i">594</v>
    <v t="i">595</v>
    <v t="i">599</v>
    <v t="i">600</v>
    <v t="i">601</v>
    <v t="i">602</v>
    <v t="i">603</v>
    <v t="i">606</v>
    <v t="i">607</v>
    <v t="i">608</v>
    <v t="i">610</v>
    <v t="i">613</v>
    <v t="i">614</v>
    <v t="i">615</v>
    <v t="i">616</v>
    <v t="i">617</v>
    <v t="i">620</v>
    <v t="i">621</v>
    <v t="i">622</v>
    <v t="i">623</v>
    <v t="i">624</v>
    <v t="i">627</v>
    <v t="i">628</v>
    <v t="i">629</v>
    <v t="i">630</v>
    <v t="i">631</v>
    <v t="i">634</v>
    <v t="i">635</v>
    <v t="i">636</v>
    <v t="i">637</v>
    <v t="i">638</v>
    <v t="i">641</v>
    <v t="i">642</v>
    <v t="i">643</v>
    <v t="i">644</v>
    <v t="i">645</v>
    <v t="i">648</v>
    <v t="i">649</v>
    <v t="i">650</v>
    <v t="i">651</v>
    <v t="i">652</v>
    <v t="i">655</v>
    <v t="i">656</v>
    <v t="i">657</v>
    <v t="i">658</v>
    <v t="i">659</v>
    <v t="i">662</v>
    <v t="i">663</v>
    <v t="i">664</v>
    <v t="i">665</v>
    <v t="i">666</v>
    <v t="i">669</v>
    <v t="i">670</v>
    <v t="i">671</v>
    <v t="i">672</v>
    <v t="i">673</v>
    <v t="i">676</v>
    <v t="i">677</v>
    <v t="i">678</v>
    <v t="i">679</v>
    <v t="i">680</v>
    <v t="i">683</v>
    <v t="i">684</v>
    <v t="i">685</v>
    <v t="i">686</v>
    <v t="i">687</v>
    <v t="i">690</v>
    <v t="i">691</v>
    <v t="i">692</v>
    <v t="i">693</v>
    <v t="i">694</v>
    <v t="i">697</v>
    <v t="i">698</v>
    <v t="i">699</v>
    <v t="i">700</v>
    <v t="i">701</v>
    <v t="i">704</v>
    <v t="i">705</v>
    <v t="i">706</v>
    <v t="i">707</v>
    <v t="i">708</v>
    <v t="i">711</v>
    <v t="i">712</v>
    <v t="i">713</v>
    <v t="i">714</v>
    <v t="i">718</v>
    <v t="i">719</v>
    <v t="i">720</v>
    <v t="i">721</v>
    <v t="i">722</v>
    <v t="i">725</v>
    <v t="i">726</v>
    <v t="i">728</v>
    <v t="i">729</v>
    <v t="i">732</v>
    <v t="i">733</v>
    <v t="i">734</v>
    <v t="i">735</v>
    <v t="i">736</v>
    <v t="i">739</v>
    <v t="i">740</v>
    <v t="i">741</v>
    <v t="i">742</v>
    <v t="i">743</v>
    <v t="i">746</v>
    <v t="i">747</v>
    <v t="i">748</v>
    <v t="i">749</v>
    <v t="i">750</v>
    <v t="i">753</v>
    <v t="i">754</v>
    <v t="i">755</v>
    <v t="i">756</v>
    <v t="i">757</v>
    <v t="i">760</v>
    <v t="i">761</v>
    <v t="i">762</v>
    <v t="i">764</v>
    <v t="i">767</v>
    <v t="i">768</v>
    <v t="i">769</v>
    <v t="i">770</v>
    <v t="i">771</v>
    <v t="i">774</v>
    <v t="i">775</v>
    <v t="i">776</v>
    <v t="i">777</v>
    <v t="i">778</v>
    <v t="i">781</v>
    <v t="i">782</v>
    <v t="i">784</v>
    <v t="i">785</v>
    <v t="i">788</v>
    <v t="i">789</v>
    <v t="i">790</v>
    <v t="i">791</v>
    <v t="i">792</v>
    <v t="i">795</v>
    <v t="i">796</v>
    <v t="i">798</v>
    <v t="i">799</v>
    <v t="i">802</v>
    <v t="i">803</v>
    <v t="i">804</v>
    <v t="i">805</v>
    <v t="i">806</v>
    <v t="i">809</v>
    <v t="i">810</v>
    <v t="i">811</v>
    <v t="i">812</v>
    <v t="i">813</v>
    <v t="i">816</v>
    <v t="i">817</v>
    <v t="i">818</v>
    <v t="i">819</v>
    <v t="i">820</v>
    <v t="i">823</v>
    <v t="i">824</v>
    <v t="i">825</v>
    <v t="i">826</v>
    <v t="i">827</v>
    <v t="i">830</v>
    <v t="i">831</v>
    <v t="i">832</v>
    <v t="i">833</v>
    <v t="i">834</v>
    <v t="i">837</v>
    <v t="i">838</v>
    <v t="i">839</v>
    <v t="i">840</v>
    <v t="i">841</v>
    <v t="i">844</v>
    <v t="i">845</v>
    <v t="i">846</v>
    <v t="i">848</v>
    <v t="i">851</v>
    <v t="i">852</v>
    <v t="i">853</v>
    <v t="i">854</v>
    <v t="i">855</v>
    <v t="i">858</v>
    <v t="i">859</v>
    <v t="i">860</v>
    <v t="i">861</v>
    <v t="i">862</v>
    <v t="i">865</v>
    <v t="i">866</v>
    <v t="i">867</v>
    <v t="i">869</v>
    <v t="i">872</v>
    <v t="i">873</v>
    <v t="i">874</v>
    <v t="i">875</v>
    <v t="i">876</v>
    <v t="i">880</v>
    <v t="i">881</v>
    <v t="i">882</v>
    <v t="i">883</v>
    <v t="i">885</v>
    <v t="i">886</v>
    <v t="i">887</v>
    <v t="i">888</v>
    <v t="i">889</v>
    <v t="i">890</v>
    <v t="i">893</v>
    <v t="i">894</v>
    <v t="i">895</v>
    <v t="i">896</v>
    <v t="i">897</v>
    <v t="i">900</v>
    <v t="i">901</v>
    <v t="i">902</v>
    <v t="i">903</v>
    <v t="i">904</v>
    <v t="i">907</v>
    <v t="i">908</v>
    <v t="i">909</v>
    <v t="i">910</v>
    <v t="i">911</v>
    <v t="i">914</v>
    <v t="i">916</v>
    <v t="i">917</v>
    <v t="i">918</v>
    <v t="i">921</v>
    <v t="i">922</v>
    <v t="i">923</v>
    <v t="i">924</v>
    <v t="i">925</v>
    <v t="i">928</v>
    <v t="i">929</v>
    <v t="i">930</v>
    <v t="i">931</v>
    <v t="i">932</v>
    <v t="i">935</v>
    <v t="i">936</v>
    <v t="i">937</v>
    <v t="i">939</v>
    <v t="i">942</v>
    <v t="i">944</v>
    <v t="i">945</v>
    <v t="i">949</v>
    <v t="i">950</v>
    <v t="i">951</v>
    <v t="i">952</v>
    <v t="i">953</v>
    <v t="i">956</v>
    <v t="i">958</v>
    <v t="i">959</v>
    <v t="i">960</v>
    <v t="i">963</v>
    <v t="i">964</v>
    <v t="i">965</v>
    <v t="i">966</v>
    <v t="i">967</v>
    <v t="i">970</v>
    <v t="i">971</v>
    <v t="i">972</v>
    <v t="i">973</v>
    <v t="i">977</v>
    <v t="i">978</v>
    <v t="i">979</v>
    <v t="i">980</v>
    <v t="i">981</v>
    <v t="i">984</v>
    <v t="i">985</v>
    <v t="i">986</v>
    <v t="i">987</v>
    <v t="i">988</v>
    <v t="i">991</v>
    <v t="i">992</v>
    <v t="i">993</v>
    <v t="i">994</v>
    <v t="i">995</v>
    <v t="i">998</v>
    <v t="i">999</v>
    <v t="i">1000</v>
    <v t="i">1002</v>
    <v t="i">1005</v>
    <v t="i">1006</v>
    <v t="i">1007</v>
    <v t="i">1008</v>
    <v t="i">1009</v>
    <v t="i">1012</v>
    <v t="i">1013</v>
    <v t="i">1014</v>
    <v t="i">1015</v>
    <v t="i">1016</v>
    <v t="i">1019</v>
    <v t="i">1020</v>
    <v t="i">1021</v>
    <v t="i">1022</v>
    <v t="i">1023</v>
    <v t="i">1026</v>
    <v t="i">1027</v>
    <v t="i">1028</v>
    <v t="i">1029</v>
    <v t="i">1033</v>
    <v t="i">1034</v>
    <v t="i">1035</v>
    <v t="i">1036</v>
    <v t="i">1037</v>
    <v t="i">1040</v>
    <v t="i">1041</v>
    <v t="i">1042</v>
    <v t="i">1043</v>
    <v t="i">1044</v>
    <v t="i">1047</v>
    <v t="i">1048</v>
    <v t="i">1049</v>
    <v t="i">1050</v>
    <v t="i">1051</v>
    <v t="i">1054</v>
    <v t="i">1055</v>
    <v t="i">1056</v>
    <v t="i">1057</v>
    <v t="i">1058</v>
    <v t="i">1061</v>
    <v t="i">1062</v>
    <v t="i">1063</v>
    <v t="i">1064</v>
    <v t="i">1065</v>
    <v t="i">1068</v>
    <v t="i">1069</v>
    <v t="i">1070</v>
    <v t="i">1071</v>
    <v t="i">1072</v>
    <v t="i">1075</v>
  </a>
  <a r="1" c="729">
    <v>19253.8</v>
    <v>19435.3</v>
    <v>19528.8</v>
    <v>19574.900000000001</v>
    <v>19611.05</v>
    <v>19727.05</v>
    <v>19819.95</v>
    <v>19996.349999999999</v>
    <v>19993.2</v>
    <v>20070</v>
    <v>20103.099999999999</v>
    <v>20192.349999999999</v>
    <v>20133.3</v>
    <v>19901.400000000001</v>
    <v>19742.349999999999</v>
    <v>19674.25</v>
    <v>19674.55</v>
    <v>19664.7</v>
    <v>19716.45</v>
    <v>19523.55</v>
    <v>19638.3</v>
    <v>19528.75</v>
    <v>19436.099999999999</v>
    <v>19545.75</v>
    <v>19653.5</v>
    <v>19512.349999999999</v>
    <v>19689.849999999999</v>
    <v>19811.349999999999</v>
    <v>19794</v>
    <v>19751.05</v>
    <v>19731.75</v>
    <v>19811.5</v>
    <v>19671.099999999999</v>
    <v>19624.7</v>
    <v>19542.650000000001</v>
    <v>19281.75</v>
    <v>19122.150000000001</v>
    <v>18857.25</v>
    <v>19047.25</v>
    <v>19140.900000000001</v>
    <v>19079.599999999999</v>
    <v>18989.150000000001</v>
    <v>19133.25</v>
    <v>19230.599999999999</v>
    <v>19411.75</v>
    <v>19406.7</v>
    <v>19443.5</v>
    <v>19395.3</v>
    <v>19425.349999999999</v>
    <v>19525.55</v>
    <v>19443.55</v>
    <v>19675.45</v>
    <v>19765.2</v>
    <v>19731.8</v>
    <v>19694</v>
    <v>19783.400000000001</v>
    <v>19811.849999999999</v>
    <v>19802</v>
    <v>19794.7</v>
    <v>19889.7</v>
    <v>20096.599999999999</v>
    <v>20133.150000000001</v>
    <v>20267.900000000001</v>
    <v>20686.8</v>
    <v>20855.099999999999</v>
    <v>20937.7</v>
    <v>20901.150000000001</v>
    <v>20969.400000000001</v>
    <v>20997.1</v>
    <v>20906.400000000001</v>
    <v>20926.349999999999</v>
    <v>21182.7</v>
    <v>21456.65</v>
    <v>21418.65</v>
    <v>21453.1</v>
    <v>21150.15</v>
    <v>21255.05</v>
    <v>21349.4</v>
    <v>21441.35</v>
    <v>21654.75</v>
    <v>21778.7</v>
    <v>21731.4</v>
    <v>21741.9</v>
    <v>21665.8</v>
    <v>21517.35</v>
    <v>21658.6</v>
    <v>21710.799999999999</v>
    <v>21513</v>
    <v>21544.85</v>
    <v>21618.7</v>
    <v>21647.200000000001</v>
    <v>21894.55</v>
    <v>22097.45</v>
    <v>22032.3</v>
    <v>21571.95</v>
    <v>21462.25</v>
    <v>21622.400000000001</v>
    <v>21571.8</v>
    <v>21238.799999999999</v>
    <v>21453.95</v>
    <v>21352.6</v>
    <v>21737.599999999999</v>
    <v>21522.1</v>
    <v>21725.7</v>
    <v>21697.45</v>
    <v>21853.8</v>
    <v>21771.7</v>
    <v>21929.4</v>
    <v>21930.5</v>
    <v>21717.95</v>
    <v>21782.5</v>
    <v>21616.05</v>
    <v>21743.25</v>
    <v>21840.05</v>
    <v>21910.75</v>
    <v>22040.7</v>
    <v>22122.25</v>
    <v>22196.95</v>
    <v>22055.05</v>
    <v>22217.45</v>
    <v>22212.7</v>
    <v>22122.05</v>
    <v>22198.35</v>
    <v>21951.15</v>
    <v>21982.799999999999</v>
    <v>22338.75</v>
    <v>22378.400000000001</v>
    <v>22405.599999999999</v>
    <v>22356.3</v>
    <v>22474.05</v>
    <v>22493.55</v>
    <v>22332.65</v>
    <v>22335.7</v>
    <v>21997.7</v>
    <v>22146.65</v>
    <v>22023.35</v>
    <v>22055.7</v>
    <v>21817.45</v>
    <v>21839.1</v>
    <v>22011.95</v>
    <v>22096.75</v>
    <v>22004.7</v>
    <v>22123.65</v>
    <v>22326.9</v>
    <v>22462</v>
    <v>22453.3</v>
    <v>22434.65</v>
    <v>22514.65</v>
    <v>22513.7</v>
    <v>22666.3</v>
    <v>22642.75</v>
    <v>22753.8</v>
    <v>22519.4</v>
    <v>22272.5</v>
    <v>22147.9</v>
    <v>21995.85</v>
    <v>22147</v>
    <v>22336.400000000001</v>
    <v>22368</v>
    <v>22402.400000000001</v>
    <v>22570.35</v>
    <v>22419.95</v>
    <v>22643.4</v>
    <v>22604.85</v>
    <v>22648.2</v>
    <v>22475.85</v>
    <v>22442.7</v>
    <v>22302.5</v>
    <v>22302.5</v>
    <v>21957.5</v>
    <v>22055.200000000001</v>
    <v>22104.05</v>
    <v>22217.85</v>
    <v>22200.55</v>
    <v>22403.85</v>
    <v>22466.1</v>
    <v>22502</v>
    <v>22529.05</v>
    <v>22597.8</v>
    <v>22967.65</v>
    <v>22957.1</v>
    <v>22932.45</v>
    <v>22888.15</v>
    <v>22704.7</v>
    <v>22488.65</v>
    <v>22530.7</v>
    <v>23263.9</v>
    <v>21884.5</v>
    <v>22620.35</v>
    <v>22821.4</v>
    <v>23290.15</v>
    <v>23259.200000000001</v>
    <v>23264.85</v>
    <v>23322.95</v>
    <v>23398.9</v>
    <v>23465.599999999999</v>
    <v>23557.9</v>
    <v>23516</v>
    <v>23567</v>
    <v>23501.1</v>
    <v>23537.85</v>
    <v>23721.3</v>
    <v>23868.799999999999</v>
    <v>24044.5</v>
    <v>24010.6</v>
    <v>24141.95</v>
    <v>24123.85</v>
    <v>24286.5</v>
    <v>24302.15</v>
    <v>24323.85</v>
    <v>24320.55</v>
    <v>24433.200000000001</v>
    <v>24324.45</v>
    <v>24315.95</v>
    <v>24502.15</v>
    <v>24586.7</v>
    <v>24613</v>
    <v>24800.85</v>
    <v>24530.9</v>
    <v>24509.25</v>
    <v>24479.05</v>
    <v>24413.5</v>
    <v>24406.1</v>
    <v>24834.85</v>
    <v>24836.1</v>
    <v>24857.3</v>
    <v>24951.15</v>
    <v>25010.9</v>
    <v>24717.7</v>
    <v>24055.599999999999</v>
    <v>23992.55</v>
    <v>24297.5</v>
    <v>24117</v>
    <v>24367.5</v>
    <v>24347</v>
    <v>24139</v>
    <v>24143.75</v>
    <v>24541.15</v>
    <v>24572.65</v>
    <v>24698.85</v>
    <v>24770.2</v>
    <v>24811.5</v>
    <v>24823.15</v>
    <v>25010.6</v>
    <v>25017.75</v>
    <v>25052.35</v>
    <v>25151.95</v>
    <v>25235.9</v>
    <v>25278.7</v>
    <v>25279.85</v>
    <v>25198.7</v>
    <v>25145.1</v>
    <v>24852.15</v>
    <v>24936.400000000001</v>
    <v>25041.1</v>
    <v>24918.45</v>
    <v>25388.9</v>
    <v>25356.5</v>
    <v>25383.75</v>
    <v>25418.55</v>
    <v>25377.55</v>
    <v>25415.8</v>
    <v>25790.95</v>
    <v>25939.05</v>
    <v>25940.400000000001</v>
    <v>26004.15</v>
    <v>26216.05</v>
    <v>26178.95</v>
    <v>25810.85</v>
    <v>25796.9</v>
    <v>25250.1</v>
    <v>25014.6</v>
    <v>24795.75</v>
    <v>25013.15</v>
    <v>24981.95</v>
    <v>24998.45</v>
    <v>24964.25</v>
    <v>25127.95</v>
    <v>25057.35</v>
    <v>24971.3</v>
    <v>24749.85</v>
    <v>24854.05</v>
    <v>24781.1</v>
    <v>24472.1</v>
    <v>24435.5</v>
    <v>24399.4</v>
    <v>24180.799999999999</v>
    <v>24339.15</v>
    <v>24466.85</v>
    <v>24340.85</v>
    <v>24205.35</v>
    <v>24304.35</v>
    <v>23995.35</v>
    <v>24213.3</v>
    <v>24484.05</v>
    <v>24199.35</v>
    <v>24148.2</v>
    <v>24141.3</v>
    <v>23883.45</v>
    <v>23559.05</v>
    <v>23532.7</v>
    <v>23453.8</v>
    <v>23518.5</v>
    <v>23349.9</v>
    <v>23907.25</v>
    <v>24221.9</v>
    <v>24194.5</v>
    <v>24274.9</v>
    <v>23914.15</v>
    <v>24131.1</v>
    <v>24276.05</v>
    <v>24457.15</v>
    <v>24467.45</v>
    <v>24708.400000000001</v>
    <v>24677.8</v>
    <v>24619</v>
    <v>24610.05</v>
    <v>24641.8</v>
    <v>24548.7</v>
    <v>24768.3</v>
    <v>24668.25</v>
    <v>24336</v>
    <v>24198.85</v>
    <v>23951.7</v>
    <v>23587.5</v>
    <v>23753.45</v>
    <v>23727.65</v>
    <v>23750.2</v>
    <v>23813.4</v>
    <v>23644.9</v>
    <v>23644.799999999999</v>
    <v>23742.9</v>
    <v>24188.65</v>
    <v>24004.75</v>
    <v>23616.05</v>
    <v>23707.9</v>
    <v>23688.95</v>
    <v>23526.5</v>
    <v>23431.5</v>
    <v>23085.95</v>
    <v>23176.05</v>
    <v>23213.200000000001</v>
    <v>23311.8</v>
    <v>23203.200000000001</v>
    <v>23344.75</v>
    <v>23024.65</v>
    <v>23155.35</v>
    <v>23205.35</v>
    <v>23092.2</v>
    <v>22829.15</v>
    <v>22957.25</v>
    <v>23163.1</v>
    <v>23249.5</v>
    <v>23508.400000000001</v>
    <v>23482.15</v>
    <v>23361.05</v>
    <v>23739.25</v>
    <v>23696.3</v>
    <v>23603.35</v>
    <v>23559.95</v>
    <v>23381.599999999999</v>
    <v>23071.8</v>
    <v>23045.25</v>
    <v>23031.4</v>
    <v>22929.25</v>
    <v>22959.5</v>
    <v>22945.3</v>
    <v>22932.9</v>
    <v>22913.15</v>
    <v>22795.9</v>
    <v>22553.35</v>
    <v>22547.55</v>
    <v>22545.05</v>
    <v>22124.7</v>
    <v>22119.3</v>
    <v>22082.65</v>
    <v>22337.3</v>
    <v>22544.7</v>
    <v>22552.5</v>
    <v>22460.3</v>
    <v>22497.9</v>
    <v>22470.5</v>
    <v>22397.200000000001</v>
    <v>22508.75</v>
    <v>22834.3</v>
    <v>22907.599999999999</v>
    <v>23190.65</v>
    <v>23350.400000000001</v>
    <v>23658.35</v>
    <v>23668.65</v>
    <v>23486.85</v>
    <v>23591.95</v>
    <v>23519.35</v>
    <v>23165.7</v>
    <v>23332.35</v>
    <v>23250.1</v>
    <v>22904.45</v>
    <v>22161.599999999999</v>
    <v>22535.85</v>
    <v>22399.15</v>
    <v>22828.55</v>
    <v>23328.55</v>
    <v>23437.200000000001</v>
    <v>23851.65</v>
    <v>24125.55</v>
    <v>24167.25</v>
    <v>24328.95</v>
    <v>24246.7</v>
    <v>24039.35</v>
    <v>24328.5</v>
    <v>24335.95</v>
    <v>24334.2</v>
    <v>24346.7</v>
    <v>24461.15</v>
    <v>24379.599999999999</v>
    <v>24414.400000000001</v>
    <v>24273.8</v>
    <v>24008</v>
    <v>24924.7</v>
    <v>24578.35</v>
    <v>24666.9</v>
    <v>25062.1</v>
    <v>25019.8</v>
    <v>24945.45</v>
    <v>24683.9</v>
    <v>24813.45</v>
    <v>24609.7</v>
    <v>24853.15</v>
    <v>25001.15</v>
    <v>24826.2</v>
    <v>24752.45</v>
    <v>24833.599999999999</v>
    <v>24750.7</v>
    <v>24716.6</v>
    <v>24542.5</v>
    <v>24620.2</v>
    <v>24750.9</v>
    <v>25003.05</v>
    <v>25103.200000000001</v>
    <v>25104.25</v>
    <v>25141.4</v>
    <v>24888.2</v>
    <v>24718.6</v>
    <v>24946.5</v>
    <v>24853.4</v>
    <v>24812.05</v>
    <v>24793.25</v>
    <v>25112.400000000001</v>
    <v>24971.9</v>
    <v>25044.35</v>
    <v>25244.75</v>
    <v>25549</v>
    <v>25637.8</v>
    <v>25517.05</v>
    <v>25541.8</v>
    <v>25453.4</v>
    <v>25405.3</v>
    <v>25461</v>
    <v>25461.3</v>
    <v>25522.5</v>
    <v>25476.1</v>
    <v>25355.25</v>
    <v>25149.85</v>
    <v>25082.3</v>
    <v>25195.8</v>
    <v>25212.05</v>
    <v>25111.45</v>
    <v>24968.400000000001</v>
    <v>25090.7</v>
    <v>25060.9</v>
    <v>25219.9</v>
    <v>25062.1</v>
    <v>24837</v>
    <v>24680.9</v>
    <v>24821.1</v>
    <v>24855.05</v>
    <v>24768.35</v>
    <v>24565.35</v>
    <v>24722.75</v>
    <v>24649.55</v>
    <v>24574.2</v>
    <v>24596.15</v>
    <v>24363.3</v>
    <v>24585.05</v>
    <v>24487.4</v>
    <v>24619.35</v>
    <v>24631.3</v>
    <v>24876.95</v>
    <v>24980.65</v>
    <v>25050.55</v>
    <v>25083.75</v>
    <v>24870.1</v>
    <v>24967.75</v>
    <v>24712.05</v>
    <v>24500.9</v>
    <v>24426.85</v>
    <v>24625.05</v>
    <v>24579.599999999999</v>
    <v>24715.05</v>
    <v>24734.3</v>
    <v>24741</v>
    <v>24773.15</v>
    <v>24868.6</v>
    <v>24973.1</v>
    <v>25005.5</v>
    <v>25114</v>
    <v>25069.200000000001</v>
    <v>25239.1</v>
    <v>25330.25</v>
    <v>25423.599999999999</v>
    <v>25327.05</v>
    <v>25202.35</v>
    <v>25169.5</v>
    <v>25056.9</v>
    <v>24890.85</v>
    <v>24654.7</v>
    <v>24634.9</v>
    <v>24611.1</v>
    <v>24836.3</v>
    <v>24894.25</v>
    <v>25077.65</v>
    <v>25108.3</v>
    <v>25046.15</v>
    <v>25181.8</v>
    <v>25285.35</v>
    <v>25227.35</v>
    <v>25145.5</v>
    <v>25323.55</v>
    <v>25585.3</v>
    <v>25709.85</v>
    <v>25843.15</v>
    <v>25868.6</v>
    <v>25891.4</v>
    <v>25795.15</v>
    <v>25966.05</v>
    <v>25936.2</v>
    <v>26053.9</v>
    <v>25877.85</v>
    <v>25722.1</v>
    <v>25763.35</v>
    <v>25597.65</v>
    <v>25509.7</v>
    <v>25492.3</v>
    <v>25574.35</v>
    <v>25694.95</v>
    <v>25875.8</v>
    <v>25879.15</v>
    <v>25910.05</v>
    <v>26013.45</v>
    <v>25910.05</v>
    <v>26052.65</v>
    <v>26192.15</v>
    <v>26068.15</v>
    <v>25959.5</v>
    <v>25884.799999999999</v>
    <v>26205.3</v>
    <v>26215.55</v>
    <v>26202.95</v>
    <v>26175.75</v>
    <v>26032.2</v>
    <v>25986</v>
    <v>26033.75</v>
    <v>26186.45</v>
    <v>25960.55</v>
    <v>25839.65</v>
    <v>25758</v>
    <v>25898.55</v>
    <v>26046.95</v>
    <v>26027.3</v>
    <v>25860.1</v>
    <v>25818.55</v>
    <v>25815.55</v>
    <v>25966.400000000001</v>
    <v>26172.400000000001</v>
    <v>26177.15</v>
    <v>26142.1</v>
    <v>26042.3</v>
    <v>25942.1</v>
    <v>25938.85</v>
    <v>26129.599999999999</v>
    <v>26146.55</v>
    <v>26328.55</v>
    <v>26250.3</v>
    <v>26178.7</v>
    <v>26140.75</v>
    <v>25876.85</v>
    <v>25683.3</v>
    <v>25790.25</v>
    <v>25732.3</v>
    <v>25665.599999999999</v>
    <v>25694.35</v>
    <v>25585.5</v>
    <v>25232.5</v>
    <v>25157.5</v>
    <v>25289.9</v>
    <v>25048.65</v>
    <v>25175.4</v>
    <v>25342.75</v>
    <v>25418.9</v>
    <v>25320.65</v>
    <v>24825.45</v>
    <v>25088.400000000001</v>
    <v>25727.55</v>
    <v>25776</v>
    <v>25642.799999999999</v>
    <v>25693.7</v>
    <v>25867.3</v>
    <v>25935.15</v>
    <v>25953.85</v>
    <v>25807.200000000001</v>
    <v>25471.1</v>
    <v>25682.75</v>
    <v>25725.4</v>
    <v>25819.35</v>
    <v>25454.35</v>
    <v>25571.25</v>
    <v>25713</v>
    <v>25424.65</v>
    <v>25482.5</v>
    <v>25496.55</v>
    <v>25178.65</v>
    <v>24865.7</v>
    <v>24480.5</v>
    <v>24765.9</v>
    <v>24450.45</v>
    <v>24028.05</v>
    <v>24261.599999999999</v>
    <v>23866.85</v>
    <v>23639.15</v>
    <v>23151.1</v>
    <v>23408.799999999999</v>
    <v>23581.15</v>
    <v>23777.8</v>
    <v>23002.15</v>
    <v>23114.5</v>
    <v>22512.65</v>
    <v>22912.400000000001</v>
    <v>23306.45</v>
    <v>22819.599999999999</v>
    <v>22331.4</v>
    <v>22679.4</v>
    <v>22713.1</v>
    <v>22968.25</v>
    <v>23123.65</v>
    <v>23997.35</v>
    <v>23775.1</v>
    <v>24050.6</v>
    <v>23842.65</v>
    <v>24231.3</v>
    <v>24196.75</v>
    <v>24353.55</v>
    <v>24364.85</v>
    <v>24576.6</v>
    <v>24378.1</v>
    <v>24173.05</v>
    <v>23897.95</v>
    <v>24092.7</v>
    <v>23995.7</v>
    <v>24177.65</v>
    <v>23997.55</v>
    <v>24119.3</v>
    <v>24032.799999999999</v>
    <v>24330.95</v>
    <v>24326.65</v>
    <v>24176.15</v>
    <v>23815.85</v>
    <v>23379.55</v>
    <v>23412.6</v>
    <v>23689.599999999999</v>
    <v>23643.5</v>
    <v>23649.95</v>
    <v>23618</v>
    <v>23659</v>
    <v>23654.7</v>
    <v>23719.3</v>
    <v>24031.7</v>
    <v>23913.7</v>
    <v>23907.15</v>
    <v>23547.75</v>
    <v>23382.6</v>
    <v>23483.55</v>
    <v>23405.599999999999</v>
    <v>23416.55</v>
    <v>23366.7</v>
    <v>23123</v>
    <v>23242.1</v>
    <v>23214.95</v>
    <v>23161.599999999999</v>
    <v>23622.9</v>
    <v>23853.9</v>
    <v>23989.15</v>
    <v>24085.7</v>
    <v>24168</v>
    <v>24013.1</v>
    <v>24102.9</v>
    <v>23824.1</v>
    <v>24021.65</v>
    <v>24056</v>
    <v>23946.25</v>
    <v>23865.75</v>
    <v>24005.85</v>
    <v>24175.7</v>
    <v>24270.85</v>
    <v>24430.35</v>
    <v>24398.7</v>
    <v>23882.05</v>
    <v>23962.799999999999</v>
    <v>24206.9</v>
    <v>24211</v>
    <v>24052.05</v>
    <v>24078.5</v>
    <v>24072.75</v>
    <v>24334.3</v>
    <v>24238.5</v>
    <v>24187.7</v>
    <v>23996.25</v>
    <v>23869.599999999999</v>
    <v>23767.45</v>
    <v>23995.95</v>
    <v>23985.35</v>
    <v>24250.2</v>
    <v>24317.15</v>
    <v>24383.599999999999</v>
    <v>24774.3</v>
    <v>24614.9</v>
    <v>24624.65</v>
    <v>24636</v>
    <v>24570.65</v>
    <v>24583.8</v>
  </a>
  <a r="1" c="155">
    <v t="i">1</v>
    <v t="i">8</v>
    <v t="i">15</v>
    <v t="i">22</v>
    <v t="i">29</v>
    <v t="i">37</v>
    <v t="i">43</v>
    <v t="i">50</v>
    <v t="i">57</v>
    <v t="i">64</v>
    <v t="i">71</v>
    <v t="i">77</v>
    <v t="i">85</v>
    <v t="i">93</v>
    <v t="i">99</v>
    <v t="i">106</v>
    <v t="i">113</v>
    <v t="i">121</v>
    <v t="i">127</v>
    <v t="i">134</v>
    <v t="i">141</v>
    <v t="i">149</v>
    <v t="i">155</v>
    <v t="i">162</v>
    <v t="i">169</v>
    <v t="i">176</v>
    <v t="i">183</v>
    <v t="i">190</v>
    <v t="i">197</v>
    <v t="i">204</v>
    <v t="i">212</v>
    <v t="i">218</v>
    <v t="i">225</v>
    <v t="i">232</v>
    <v t="i">239</v>
    <v t="i">246</v>
    <v t="i">253</v>
    <v t="i">260</v>
    <v t="i">268</v>
    <v t="i">274</v>
    <v t="i">281</v>
    <v t="i">288</v>
    <v t="i">296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519</v>
    <v t="i">526</v>
    <v t="i">533</v>
    <v t="i">540</v>
    <v t="i">547</v>
    <v t="i">554</v>
    <v t="i">561</v>
    <v t="i">568</v>
    <v t="i">575</v>
    <v t="i">583</v>
    <v t="i">589</v>
    <v t="i">597</v>
    <v t="i">603</v>
    <v t="i">610</v>
    <v t="i">617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750</v>
    <v t="i">757</v>
    <v t="i">764</v>
    <v t="i">771</v>
    <v t="i">778</v>
    <v t="i">785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889</v>
    <v t="i">897</v>
    <v t="i">904</v>
    <v t="i">911</v>
    <v t="i">918</v>
    <v t="i">925</v>
    <v t="i">932</v>
    <v t="i">939</v>
    <v t="i">946</v>
    <v t="i">953</v>
    <v t="i">960</v>
    <v t="i">967</v>
    <v t="i">974</v>
    <v t="i">981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</a>
  <a r="1" c="155">
    <v>19435.3</v>
    <v>19819.95</v>
    <v>20192.349999999999</v>
    <v>19674.25</v>
    <v>19638.3</v>
    <v>19653.5</v>
    <v>19751.05</v>
    <v>19542.650000000001</v>
    <v>19047.25</v>
    <v>19230.599999999999</v>
    <v>19425.349999999999</v>
    <v>19731.8</v>
    <v>19794.7</v>
    <v>20267.900000000001</v>
    <v>20969.400000000001</v>
    <v>21456.65</v>
    <v>21349.4</v>
    <v>21731.4</v>
    <v>21710.799999999999</v>
    <v>21894.55</v>
    <v>21571.8</v>
    <v>21352.6</v>
    <v>21853.8</v>
    <v>21782.5</v>
    <v>22040.7</v>
    <v>22212.7</v>
    <v>22378.400000000001</v>
    <v>22493.55</v>
    <v>22023.35</v>
    <v>22096.75</v>
    <v>22326.9</v>
    <v>22513.7</v>
    <v>22519.4</v>
    <v>22147</v>
    <v>22419.95</v>
    <v>22475.85</v>
    <v>22055.200000000001</v>
    <v>22502</v>
    <v>22957.1</v>
    <v>22530.7</v>
    <v>23290.15</v>
    <v>23465.599999999999</v>
    <v>23501.1</v>
    <v>24010.6</v>
    <v>24323.85</v>
    <v>24502.15</v>
    <v>24530.9</v>
    <v>24834.85</v>
    <v>24717.7</v>
    <v>24367.5</v>
    <v>24541.15</v>
    <v>24823.15</v>
    <v>25235.9</v>
    <v>24852.15</v>
    <v>25356.5</v>
    <v>25790.95</v>
    <v>26178.95</v>
    <v>25014.6</v>
    <v>24964.25</v>
    <v>24854.05</v>
    <v>24180.799999999999</v>
    <v>24304.35</v>
    <v>24148.2</v>
    <v>23532.7</v>
    <v>23907.25</v>
    <v>24131.1</v>
    <v>24677.8</v>
    <v>24768.3</v>
    <v>23587.5</v>
    <v>23813.4</v>
    <v>24004.75</v>
    <v>23431.5</v>
    <v>23203.200000000001</v>
    <v>23092.2</v>
    <v>23482.15</v>
    <v>23559.95</v>
    <v>22929.25</v>
    <v>22795.9</v>
    <v>22124.7</v>
    <v>22552.5</v>
    <v>22397.200000000001</v>
    <v>23350.400000000001</v>
    <v>23519.35</v>
    <v>22904.45</v>
    <v>22828.55</v>
    <v>23851.65</v>
    <v>24039.35</v>
    <v>24346.7</v>
    <v>24008</v>
    <v>25019.8</v>
    <v>24853.15</v>
    <v>24750.7</v>
    <v>25003.05</v>
    <v>24718.6</v>
    <v>25112.400000000001</v>
    <v>25637.8</v>
    <v>25461</v>
    <v>25149.85</v>
    <v>24968.400000000001</v>
    <v>24837</v>
    <v>24565.35</v>
    <v>24363.3</v>
    <v>24631.3</v>
    <v>24870.1</v>
    <v>24426.85</v>
    <v>24741</v>
    <v>25114</v>
    <v>25327.05</v>
    <v>24654.7</v>
    <v>24894.25</v>
    <v>25285.35</v>
    <v>25709.85</v>
    <v>25795.15</v>
    <v>25722.1</v>
    <v>25492.3</v>
    <v>25910.05</v>
    <v>26068.15</v>
    <v>26202.95</v>
    <v>26186.45</v>
    <v>26046.95</v>
    <v>25966.400000000001</v>
    <v>26042.3</v>
    <v>26328.55</v>
    <v>25683.3</v>
    <v>25694.35</v>
    <v>25048.65</v>
    <v>25320.65</v>
    <v>25693.7</v>
    <v>25471.1</v>
    <v>25571.25</v>
    <v>25178.65</v>
    <v>24450.45</v>
    <v>23151.1</v>
    <v>23114.5</v>
    <v>22819.599999999999</v>
    <v>22713.1</v>
    <v>24050.6</v>
    <v>24353.55</v>
    <v>23897.95</v>
    <v>23997.55</v>
    <v>24176.15</v>
    <v>23643.5</v>
    <v>23719.3</v>
    <v>23547.75</v>
    <v>23366.7</v>
    <v>23622.9</v>
    <v>24013.1</v>
    <v>24056</v>
    <v>24270.85</v>
    <v>24206.9</v>
    <v>24334.3</v>
    <v>23767.45</v>
    <v>24383.599999999999</v>
    <v>24570.65</v>
    <v>24583.8</v>
  </a>
  <a r="1" c="37">
    <v t="i">0</v>
    <v t="i">31</v>
    <v t="i">61</v>
    <v t="i">92</v>
    <v t="i">122</v>
    <v t="i">153</v>
    <v t="i">184</v>
    <v t="i">213</v>
    <v t="i">244</v>
    <v t="i">274</v>
    <v t="i">305</v>
    <v t="i">335</v>
    <v t="i">366</v>
    <v t="i">397</v>
    <v t="i">427</v>
    <v t="i">458</v>
    <v t="i">488</v>
    <v t="i">519</v>
    <v t="i">550</v>
    <v t="i">578</v>
    <v t="i">609</v>
    <v t="i">639</v>
    <v t="i">670</v>
    <v t="i">700</v>
    <v t="i">731</v>
    <v t="i">762</v>
    <v t="i">792</v>
    <v t="i">823</v>
    <v t="i">853</v>
    <v t="i">884</v>
    <v t="i">915</v>
    <v t="i">943</v>
    <v t="i">974</v>
    <v t="i">1004</v>
    <v t="i">1035</v>
    <v t="i">1065</v>
    <v t="i">1096</v>
  </a>
  <a r="1" c="37">
    <v>19253.8</v>
    <v>19638.3</v>
    <v>19079.599999999999</v>
    <v>20133.150000000001</v>
    <v>21731.4</v>
    <v>21725.7</v>
    <v>21982.799999999999</v>
    <v>22326.9</v>
    <v>22604.85</v>
    <v>22530.7</v>
    <v>24010.6</v>
    <v>24951.15</v>
    <v>25235.9</v>
    <v>25810.85</v>
    <v>24205.35</v>
    <v>24131.1</v>
    <v>23644.799999999999</v>
    <v>23508.400000000001</v>
    <v>22124.7</v>
    <v>23519.35</v>
    <v>24334.2</v>
    <v>24750.7</v>
    <v>25517.05</v>
    <v>24768.35</v>
    <v>24426.85</v>
    <v>24611.1</v>
    <v>25722.1</v>
    <v>26202.95</v>
    <v>26129.599999999999</v>
    <v>25320.65</v>
    <v>25178.65</v>
    <v>22331.4</v>
    <v>23997.55</v>
    <v>23547.75</v>
    <v>23865.75</v>
    <v>24383.599999999999</v>
    <v>24583.8</v>
  </a>
</arrayData>
</file>

<file path=xl/richData/rdrichvalue.xml><?xml version="1.0" encoding="utf-8"?>
<rvData xmlns="http://schemas.microsoft.com/office/spreadsheetml/2017/richdata" count="4923">
  <rv s="0">
    <v>https://www.bing.com/financeapi/forcetrigger?t=ahkqww&amp;q=NIFTY+50&amp;form=skydnc</v>
    <v>Learn more on Bing</v>
  </rv>
  <rv s="1">
    <v>en-IN</v>
    <v>ahkqww</v>
    <v>268435456</v>
    <v>1</v>
    <v>Powered by Refinitiv</v>
    <v>0</v>
    <v>NIFTY 50</v>
    <v>2</v>
    <v>3</v>
    <v>Finance</v>
    <v>4</v>
    <v>26373.200000000001</v>
    <v>22182.55</v>
    <v>-112.1</v>
    <v>-4.5599999999999998E-3</v>
    <v>IN</v>
    <v>24576.85</v>
    <v>Index</v>
    <v>0</v>
    <v>24429.25</v>
    <v>NIFTY 50</v>
    <v>24575.1</v>
    <v>24583.8</v>
    <v>24471.7</v>
    <v>NIFTY</v>
    <v>NIFTY 50</v>
  </rv>
  <rv s="2">
    <v>1</v>
  </rv>
  <rv s="3">
    <fb>45169</fb>
    <v>5</v>
  </rv>
  <rv s="3">
    <fb>19253.8</fb>
    <v>6</v>
  </rv>
  <rv s="3">
    <fb>45170</fb>
    <v>5</v>
  </rv>
  <rv s="3">
    <fb>19435.3</fb>
    <v>6</v>
  </rv>
  <rv s="3">
    <fb>45173</fb>
    <v>5</v>
  </rv>
  <rv s="3">
    <fb>19528.8</fb>
    <v>6</v>
  </rv>
  <rv s="3">
    <fb>45174</fb>
    <v>5</v>
  </rv>
  <rv s="3">
    <fb>19574.900000000001</fb>
    <v>6</v>
  </rv>
  <rv s="3">
    <fb>45175</fb>
    <v>5</v>
  </rv>
  <rv s="3">
    <fb>19611.05</fb>
    <v>6</v>
  </rv>
  <rv s="3">
    <fb>45176</fb>
    <v>5</v>
  </rv>
  <rv s="3">
    <fb>19727.05</fb>
    <v>6</v>
  </rv>
  <rv s="3">
    <fb>45177</fb>
    <v>5</v>
  </rv>
  <rv s="3">
    <fb>19819.95</fb>
    <v>6</v>
  </rv>
  <rv s="3">
    <fb>45180</fb>
    <v>5</v>
  </rv>
  <rv s="3">
    <fb>19996.349999999999</fb>
    <v>6</v>
  </rv>
  <rv s="3">
    <fb>45181</fb>
    <v>5</v>
  </rv>
  <rv s="3">
    <fb>19993.2</fb>
    <v>6</v>
  </rv>
  <rv s="3">
    <fb>45182</fb>
    <v>5</v>
  </rv>
  <rv s="3">
    <fb>20070</fb>
    <v>6</v>
  </rv>
  <rv s="3">
    <fb>45183</fb>
    <v>5</v>
  </rv>
  <rv s="3">
    <fb>20103.099999999999</fb>
    <v>6</v>
  </rv>
  <rv s="3">
    <fb>45184</fb>
    <v>5</v>
  </rv>
  <rv s="3">
    <fb>20192.349999999999</fb>
    <v>6</v>
  </rv>
  <rv s="3">
    <fb>45187</fb>
    <v>5</v>
  </rv>
  <rv s="3">
    <fb>20133.3</fb>
    <v>6</v>
  </rv>
  <rv s="3">
    <fb>45189</fb>
    <v>5</v>
  </rv>
  <rv s="3">
    <fb>19901.400000000001</fb>
    <v>6</v>
  </rv>
  <rv s="3">
    <fb>45190</fb>
    <v>5</v>
  </rv>
  <rv s="3">
    <fb>19742.349999999999</fb>
    <v>6</v>
  </rv>
  <rv s="3">
    <fb>45191</fb>
    <v>5</v>
  </rv>
  <rv s="3">
    <fb>19674.25</fb>
    <v>6</v>
  </rv>
  <rv s="3">
    <fb>45194</fb>
    <v>5</v>
  </rv>
  <rv s="3">
    <fb>19674.55</fb>
    <v>6</v>
  </rv>
  <rv s="3">
    <fb>45195</fb>
    <v>5</v>
  </rv>
  <rv s="3">
    <fb>19664.7</fb>
    <v>6</v>
  </rv>
  <rv s="3">
    <fb>45196</fb>
    <v>5</v>
  </rv>
  <rv s="3">
    <fb>19716.45</fb>
    <v>6</v>
  </rv>
  <rv s="3">
    <fb>45197</fb>
    <v>5</v>
  </rv>
  <rv s="3">
    <fb>19523.55</fb>
    <v>6</v>
  </rv>
  <rv s="3">
    <fb>45198</fb>
    <v>5</v>
  </rv>
  <rv s="3">
    <fb>19638.3</fb>
    <v>6</v>
  </rv>
  <rv s="3">
    <fb>45202</fb>
    <v>5</v>
  </rv>
  <rv s="3">
    <fb>19528.75</fb>
    <v>6</v>
  </rv>
  <rv s="3">
    <fb>45203</fb>
    <v>5</v>
  </rv>
  <rv s="3">
    <fb>19436.099999999999</fb>
    <v>6</v>
  </rv>
  <rv s="3">
    <fb>45204</fb>
    <v>5</v>
  </rv>
  <rv s="3">
    <fb>19545.75</fb>
    <v>6</v>
  </rv>
  <rv s="3">
    <fb>45205</fb>
    <v>5</v>
  </rv>
  <rv s="3">
    <fb>19653.5</fb>
    <v>6</v>
  </rv>
  <rv s="3">
    <fb>45208</fb>
    <v>5</v>
  </rv>
  <rv s="3">
    <fb>19512.349999999999</fb>
    <v>6</v>
  </rv>
  <rv s="3">
    <fb>45209</fb>
    <v>5</v>
  </rv>
  <rv s="3">
    <fb>19689.849999999999</fb>
    <v>6</v>
  </rv>
  <rv s="3">
    <fb>45210</fb>
    <v>5</v>
  </rv>
  <rv s="3">
    <fb>19811.349999999999</fb>
    <v>6</v>
  </rv>
  <rv s="3">
    <fb>45211</fb>
    <v>5</v>
  </rv>
  <rv s="3">
    <fb>19794</fb>
    <v>6</v>
  </rv>
  <rv s="3">
    <fb>45212</fb>
    <v>5</v>
  </rv>
  <rv s="3">
    <fb>19751.05</fb>
    <v>6</v>
  </rv>
  <rv s="3">
    <fb>45215</fb>
    <v>5</v>
  </rv>
  <rv s="3">
    <fb>19731.75</fb>
    <v>6</v>
  </rv>
  <rv s="3">
    <fb>45216</fb>
    <v>5</v>
  </rv>
  <rv s="3">
    <fb>19811.5</fb>
    <v>6</v>
  </rv>
  <rv s="3">
    <fb>45217</fb>
    <v>5</v>
  </rv>
  <rv s="3">
    <fb>19671.099999999999</fb>
    <v>6</v>
  </rv>
  <rv s="3">
    <fb>45218</fb>
    <v>5</v>
  </rv>
  <rv s="3">
    <fb>19624.7</fb>
    <v>6</v>
  </rv>
  <rv s="3">
    <fb>45219</fb>
    <v>5</v>
  </rv>
  <rv s="3">
    <fb>19542.650000000001</fb>
    <v>6</v>
  </rv>
  <rv s="3">
    <fb>45222</fb>
    <v>5</v>
  </rv>
  <rv s="3">
    <fb>19281.75</fb>
    <v>6</v>
  </rv>
  <rv s="3">
    <fb>45224</fb>
    <v>5</v>
  </rv>
  <rv s="3">
    <fb>19122.150000000001</fb>
    <v>6</v>
  </rv>
  <rv s="3">
    <fb>45225</fb>
    <v>5</v>
  </rv>
  <rv s="3">
    <fb>18857.25</fb>
    <v>6</v>
  </rv>
  <rv s="3">
    <fb>45226</fb>
    <v>5</v>
  </rv>
  <rv s="3">
    <fb>19047.25</fb>
    <v>6</v>
  </rv>
  <rv s="3">
    <fb>45229</fb>
    <v>5</v>
  </rv>
  <rv s="3">
    <fb>19140.900000000001</fb>
    <v>6</v>
  </rv>
  <rv s="3">
    <fb>45230</fb>
    <v>5</v>
  </rv>
  <rv s="3">
    <fb>19079.599999999999</fb>
    <v>6</v>
  </rv>
  <rv s="3">
    <fb>45231</fb>
    <v>5</v>
  </rv>
  <rv s="3">
    <fb>18989.150000000001</fb>
    <v>6</v>
  </rv>
  <rv s="3">
    <fb>45232</fb>
    <v>5</v>
  </rv>
  <rv s="3">
    <fb>19133.25</fb>
    <v>6</v>
  </rv>
  <rv s="3">
    <fb>45233</fb>
    <v>5</v>
  </rv>
  <rv s="3">
    <fb>19230.599999999999</fb>
    <v>6</v>
  </rv>
  <rv s="3">
    <fb>45236</fb>
    <v>5</v>
  </rv>
  <rv s="3">
    <fb>19411.75</fb>
    <v>6</v>
  </rv>
  <rv s="3">
    <fb>45237</fb>
    <v>5</v>
  </rv>
  <rv s="3">
    <fb>19406.7</fb>
    <v>6</v>
  </rv>
  <rv s="3">
    <fb>45238</fb>
    <v>5</v>
  </rv>
  <rv s="3">
    <fb>19443.5</fb>
    <v>6</v>
  </rv>
  <rv s="3">
    <fb>45239</fb>
    <v>5</v>
  </rv>
  <rv s="3">
    <fb>19395.3</fb>
    <v>6</v>
  </rv>
  <rv s="3">
    <fb>45240</fb>
    <v>5</v>
  </rv>
  <rv s="3">
    <fb>19425.349999999999</fb>
    <v>6</v>
  </rv>
  <rv s="3">
    <fb>45242</fb>
    <v>5</v>
  </rv>
  <rv s="3">
    <fb>19525.55</fb>
    <v>6</v>
  </rv>
  <rv s="3">
    <fb>45243</fb>
    <v>5</v>
  </rv>
  <rv s="3">
    <fb>19443.55</fb>
    <v>6</v>
  </rv>
  <rv s="3">
    <fb>45245</fb>
    <v>5</v>
  </rv>
  <rv s="3">
    <fb>19675.45</fb>
    <v>6</v>
  </rv>
  <rv s="3">
    <fb>45246</fb>
    <v>5</v>
  </rv>
  <rv s="3">
    <fb>19765.2</fb>
    <v>6</v>
  </rv>
  <rv s="3">
    <fb>45247</fb>
    <v>5</v>
  </rv>
  <rv s="3">
    <fb>19731.8</fb>
    <v>6</v>
  </rv>
  <rv s="3">
    <fb>45250</fb>
    <v>5</v>
  </rv>
  <rv s="3">
    <fb>19694</fb>
    <v>6</v>
  </rv>
  <rv s="3">
    <fb>45251</fb>
    <v>5</v>
  </rv>
  <rv s="3">
    <fb>19783.400000000001</fb>
    <v>6</v>
  </rv>
  <rv s="3">
    <fb>45252</fb>
    <v>5</v>
  </rv>
  <rv s="3">
    <fb>19811.849999999999</fb>
    <v>6</v>
  </rv>
  <rv s="3">
    <fb>45253</fb>
    <v>5</v>
  </rv>
  <rv s="3">
    <fb>19802</fb>
    <v>6</v>
  </rv>
  <rv s="3">
    <fb>45254</fb>
    <v>5</v>
  </rv>
  <rv s="3">
    <fb>19794.7</fb>
    <v>6</v>
  </rv>
  <rv s="3">
    <fb>45258</fb>
    <v>5</v>
  </rv>
  <rv s="3">
    <fb>19889.7</fb>
    <v>6</v>
  </rv>
  <rv s="3">
    <fb>45259</fb>
    <v>5</v>
  </rv>
  <rv s="3">
    <fb>20096.599999999999</fb>
    <v>6</v>
  </rv>
  <rv s="3">
    <fb>45260</fb>
    <v>5</v>
  </rv>
  <rv s="3">
    <fb>20133.150000000001</fb>
    <v>6</v>
  </rv>
  <rv s="3">
    <fb>45261</fb>
    <v>5</v>
  </rv>
  <rv s="3">
    <fb>20267.900000000001</fb>
    <v>6</v>
  </rv>
  <rv s="3">
    <fb>45264</fb>
    <v>5</v>
  </rv>
  <rv s="3">
    <fb>20686.8</fb>
    <v>6</v>
  </rv>
  <rv s="3">
    <fb>45265</fb>
    <v>5</v>
  </rv>
  <rv s="3">
    <fb>20855.099999999999</fb>
    <v>6</v>
  </rv>
  <rv s="3">
    <fb>45266</fb>
    <v>5</v>
  </rv>
  <rv s="3">
    <fb>20937.7</fb>
    <v>6</v>
  </rv>
  <rv s="3">
    <fb>45267</fb>
    <v>5</v>
  </rv>
  <rv s="3">
    <fb>20901.150000000001</fb>
    <v>6</v>
  </rv>
  <rv s="3">
    <fb>45268</fb>
    <v>5</v>
  </rv>
  <rv s="3">
    <fb>20969.400000000001</fb>
    <v>6</v>
  </rv>
  <rv s="3">
    <fb>45271</fb>
    <v>5</v>
  </rv>
  <rv s="3">
    <fb>20997.1</fb>
    <v>6</v>
  </rv>
  <rv s="3">
    <fb>45272</fb>
    <v>5</v>
  </rv>
  <rv s="3">
    <fb>20906.400000000001</fb>
    <v>6</v>
  </rv>
  <rv s="3">
    <fb>45273</fb>
    <v>5</v>
  </rv>
  <rv s="3">
    <fb>20926.349999999999</fb>
    <v>6</v>
  </rv>
  <rv s="3">
    <fb>45274</fb>
    <v>5</v>
  </rv>
  <rv s="3">
    <fb>21182.7</fb>
    <v>6</v>
  </rv>
  <rv s="3">
    <fb>45275</fb>
    <v>5</v>
  </rv>
  <rv s="3">
    <fb>21456.65</fb>
    <v>6</v>
  </rv>
  <rv s="3">
    <fb>45278</fb>
    <v>5</v>
  </rv>
  <rv s="3">
    <fb>21418.65</fb>
    <v>6</v>
  </rv>
  <rv s="3">
    <fb>45279</fb>
    <v>5</v>
  </rv>
  <rv s="3">
    <fb>21453.1</fb>
    <v>6</v>
  </rv>
  <rv s="3">
    <fb>45280</fb>
    <v>5</v>
  </rv>
  <rv s="3">
    <fb>21150.15</fb>
    <v>6</v>
  </rv>
  <rv s="3">
    <fb>45281</fb>
    <v>5</v>
  </rv>
  <rv s="3">
    <fb>21255.05</fb>
    <v>6</v>
  </rv>
  <rv s="3">
    <fb>45282</fb>
    <v>5</v>
  </rv>
  <rv s="3">
    <fb>21349.4</fb>
    <v>6</v>
  </rv>
  <rv s="3">
    <fb>45286</fb>
    <v>5</v>
  </rv>
  <rv s="3">
    <fb>21441.35</fb>
    <v>6</v>
  </rv>
  <rv s="3">
    <fb>45287</fb>
    <v>5</v>
  </rv>
  <rv s="3">
    <fb>21654.75</fb>
    <v>6</v>
  </rv>
  <rv s="3">
    <fb>45288</fb>
    <v>5</v>
  </rv>
  <rv s="3">
    <fb>21778.7</fb>
    <v>6</v>
  </rv>
  <rv s="3">
    <fb>45289</fb>
    <v>5</v>
  </rv>
  <rv s="3">
    <fb>21731.4</fb>
    <v>6</v>
  </rv>
  <rv s="3">
    <fb>45292</fb>
    <v>5</v>
  </rv>
  <rv s="3">
    <fb>21741.9</fb>
    <v>6</v>
  </rv>
  <rv s="3">
    <fb>45293</fb>
    <v>5</v>
  </rv>
  <rv s="3">
    <fb>21665.8</fb>
    <v>6</v>
  </rv>
  <rv s="3">
    <fb>45294</fb>
    <v>5</v>
  </rv>
  <rv s="3">
    <fb>21517.35</fb>
    <v>6</v>
  </rv>
  <rv s="3">
    <fb>45295</fb>
    <v>5</v>
  </rv>
  <rv s="3">
    <fb>21658.6</fb>
    <v>6</v>
  </rv>
  <rv s="3">
    <fb>45296</fb>
    <v>5</v>
  </rv>
  <rv s="3">
    <fb>21710.799999999999</fb>
    <v>6</v>
  </rv>
  <rv s="3">
    <fb>45299</fb>
    <v>5</v>
  </rv>
  <rv s="3">
    <fb>21513</fb>
    <v>6</v>
  </rv>
  <rv s="3">
    <fb>45300</fb>
    <v>5</v>
  </rv>
  <rv s="3">
    <fb>21544.85</fb>
    <v>6</v>
  </rv>
  <rv s="3">
    <fb>45301</fb>
    <v>5</v>
  </rv>
  <rv s="3">
    <fb>21618.7</fb>
    <v>6</v>
  </rv>
  <rv s="3">
    <fb>45302</fb>
    <v>5</v>
  </rv>
  <rv s="3">
    <fb>21647.200000000001</fb>
    <v>6</v>
  </rv>
  <rv s="3">
    <fb>45303</fb>
    <v>5</v>
  </rv>
  <rv s="3">
    <fb>21894.55</fb>
    <v>6</v>
  </rv>
  <rv s="3">
    <fb>45306</fb>
    <v>5</v>
  </rv>
  <rv s="3">
    <fb>22097.45</fb>
    <v>6</v>
  </rv>
  <rv s="3">
    <fb>45307</fb>
    <v>5</v>
  </rv>
  <rv s="3">
    <fb>22032.3</fb>
    <v>6</v>
  </rv>
  <rv s="3">
    <fb>45308</fb>
    <v>5</v>
  </rv>
  <rv s="3">
    <fb>21571.95</fb>
    <v>6</v>
  </rv>
  <rv s="3">
    <fb>45309</fb>
    <v>5</v>
  </rv>
  <rv s="3">
    <fb>21462.25</fb>
    <v>6</v>
  </rv>
  <rv s="3">
    <fb>45310</fb>
    <v>5</v>
  </rv>
  <rv s="3">
    <fb>21622.400000000001</fb>
    <v>6</v>
  </rv>
  <rv s="3">
    <fb>45311</fb>
    <v>5</v>
  </rv>
  <rv s="3">
    <fb>21571.8</fb>
    <v>6</v>
  </rv>
  <rv s="3">
    <fb>45314</fb>
    <v>5</v>
  </rv>
  <rv s="3">
    <fb>21238.799999999999</fb>
    <v>6</v>
  </rv>
  <rv s="3">
    <fb>45315</fb>
    <v>5</v>
  </rv>
  <rv s="3">
    <fb>21453.95</fb>
    <v>6</v>
  </rv>
  <rv s="3">
    <fb>45316</fb>
    <v>5</v>
  </rv>
  <rv s="3">
    <fb>21352.6</fb>
    <v>6</v>
  </rv>
  <rv s="3">
    <fb>45320</fb>
    <v>5</v>
  </rv>
  <rv s="3">
    <fb>21737.599999999999</fb>
    <v>6</v>
  </rv>
  <rv s="3">
    <fb>45321</fb>
    <v>5</v>
  </rv>
  <rv s="3">
    <fb>21522.1</fb>
    <v>6</v>
  </rv>
  <rv s="3">
    <fb>45322</fb>
    <v>5</v>
  </rv>
  <rv s="3">
    <fb>21725.7</fb>
    <v>6</v>
  </rv>
  <rv s="3">
    <fb>45323</fb>
    <v>5</v>
  </rv>
  <rv s="3">
    <fb>21697.45</fb>
    <v>6</v>
  </rv>
  <rv s="3">
    <fb>45324</fb>
    <v>5</v>
  </rv>
  <rv s="3">
    <fb>21853.8</fb>
    <v>6</v>
  </rv>
  <rv s="3">
    <fb>45327</fb>
    <v>5</v>
  </rv>
  <rv s="3">
    <fb>21771.7</fb>
    <v>6</v>
  </rv>
  <rv s="3">
    <fb>45328</fb>
    <v>5</v>
  </rv>
  <rv s="3">
    <fb>21929.4</fb>
    <v>6</v>
  </rv>
  <rv s="3">
    <fb>45329</fb>
    <v>5</v>
  </rv>
  <rv s="3">
    <fb>21930.5</fb>
    <v>6</v>
  </rv>
  <rv s="3">
    <fb>45330</fb>
    <v>5</v>
  </rv>
  <rv s="3">
    <fb>21717.95</fb>
    <v>6</v>
  </rv>
  <rv s="3">
    <fb>45331</fb>
    <v>5</v>
  </rv>
  <rv s="3">
    <fb>21782.5</fb>
    <v>6</v>
  </rv>
  <rv s="3">
    <fb>45334</fb>
    <v>5</v>
  </rv>
  <rv s="3">
    <fb>21616.05</fb>
    <v>6</v>
  </rv>
  <rv s="3">
    <fb>45335</fb>
    <v>5</v>
  </rv>
  <rv s="3">
    <fb>21743.25</fb>
    <v>6</v>
  </rv>
  <rv s="3">
    <fb>45336</fb>
    <v>5</v>
  </rv>
  <rv s="3">
    <fb>21840.05</fb>
    <v>6</v>
  </rv>
  <rv s="3">
    <fb>45337</fb>
    <v>5</v>
  </rv>
  <rv s="3">
    <fb>21910.75</fb>
    <v>6</v>
  </rv>
  <rv s="3">
    <fb>45338</fb>
    <v>5</v>
  </rv>
  <rv s="3">
    <fb>22040.7</fb>
    <v>6</v>
  </rv>
  <rv s="3">
    <fb>45341</fb>
    <v>5</v>
  </rv>
  <rv s="3">
    <fb>22122.25</fb>
    <v>6</v>
  </rv>
  <rv s="3">
    <fb>45342</fb>
    <v>5</v>
  </rv>
  <rv s="3">
    <fb>22196.95</fb>
    <v>6</v>
  </rv>
  <rv s="3">
    <fb>45343</fb>
    <v>5</v>
  </rv>
  <rv s="3">
    <fb>22055.05</fb>
    <v>6</v>
  </rv>
  <rv s="3">
    <fb>45344</fb>
    <v>5</v>
  </rv>
  <rv s="3">
    <fb>22217.45</fb>
    <v>6</v>
  </rv>
  <rv s="3">
    <fb>45345</fb>
    <v>5</v>
  </rv>
  <rv s="3">
    <fb>22212.7</fb>
    <v>6</v>
  </rv>
  <rv s="3">
    <fb>45348</fb>
    <v>5</v>
  </rv>
  <rv s="3">
    <fb>22122.05</fb>
    <v>6</v>
  </rv>
  <rv s="3">
    <fb>45349</fb>
    <v>5</v>
  </rv>
  <rv s="3">
    <fb>22198.35</fb>
    <v>6</v>
  </rv>
  <rv s="3">
    <fb>45350</fb>
    <v>5</v>
  </rv>
  <rv s="3">
    <fb>21951.15</fb>
    <v>6</v>
  </rv>
  <rv s="3">
    <fb>45351</fb>
    <v>5</v>
  </rv>
  <rv s="3">
    <fb>21982.799999999999</fb>
    <v>6</v>
  </rv>
  <rv s="3">
    <fb>45352</fb>
    <v>5</v>
  </rv>
  <rv s="3">
    <fb>22338.75</fb>
    <v>6</v>
  </rv>
  <rv s="3">
    <fb>45353</fb>
    <v>5</v>
  </rv>
  <rv s="3">
    <fb>22378.400000000001</fb>
    <v>6</v>
  </rv>
  <rv s="3">
    <fb>45355</fb>
    <v>5</v>
  </rv>
  <rv s="3">
    <fb>22405.599999999999</fb>
    <v>6</v>
  </rv>
  <rv s="3">
    <fb>45356</fb>
    <v>5</v>
  </rv>
  <rv s="3">
    <fb>22356.3</fb>
    <v>6</v>
  </rv>
  <rv s="3">
    <fb>45357</fb>
    <v>5</v>
  </rv>
  <rv s="3">
    <fb>22474.05</fb>
    <v>6</v>
  </rv>
  <rv s="3">
    <fb>45358</fb>
    <v>5</v>
  </rv>
  <rv s="3">
    <fb>22493.55</fb>
    <v>6</v>
  </rv>
  <rv s="3">
    <fb>45362</fb>
    <v>5</v>
  </rv>
  <rv s="3">
    <fb>22332.65</fb>
    <v>6</v>
  </rv>
  <rv s="3">
    <fb>45363</fb>
    <v>5</v>
  </rv>
  <rv s="3">
    <fb>22335.7</fb>
    <v>6</v>
  </rv>
  <rv s="3">
    <fb>45364</fb>
    <v>5</v>
  </rv>
  <rv s="3">
    <fb>21997.7</fb>
    <v>6</v>
  </rv>
  <rv s="3">
    <fb>45365</fb>
    <v>5</v>
  </rv>
  <rv s="3">
    <fb>22146.65</fb>
    <v>6</v>
  </rv>
  <rv s="3">
    <fb>45366</fb>
    <v>5</v>
  </rv>
  <rv s="3">
    <fb>22023.35</fb>
    <v>6</v>
  </rv>
  <rv s="3">
    <fb>45369</fb>
    <v>5</v>
  </rv>
  <rv s="3">
    <fb>22055.7</fb>
    <v>6</v>
  </rv>
  <rv s="3">
    <fb>45370</fb>
    <v>5</v>
  </rv>
  <rv s="3">
    <fb>21817.45</fb>
    <v>6</v>
  </rv>
  <rv s="3">
    <fb>45371</fb>
    <v>5</v>
  </rv>
  <rv s="3">
    <fb>21839.1</fb>
    <v>6</v>
  </rv>
  <rv s="3">
    <fb>45372</fb>
    <v>5</v>
  </rv>
  <rv s="3">
    <fb>22011.95</fb>
    <v>6</v>
  </rv>
  <rv s="3">
    <fb>45373</fb>
    <v>5</v>
  </rv>
  <rv s="3">
    <fb>22096.75</fb>
    <v>6</v>
  </rv>
  <rv s="3">
    <fb>45377</fb>
    <v>5</v>
  </rv>
  <rv s="3">
    <fb>22004.7</fb>
    <v>6</v>
  </rv>
  <rv s="3">
    <fb>45378</fb>
    <v>5</v>
  </rv>
  <rv s="3">
    <fb>22123.65</fb>
    <v>6</v>
  </rv>
  <rv s="3">
    <fb>45379</fb>
    <v>5</v>
  </rv>
  <rv s="3">
    <fb>22326.9</fb>
    <v>6</v>
  </rv>
  <rv s="3">
    <fb>45383</fb>
    <v>5</v>
  </rv>
  <rv s="3">
    <fb>22462</fb>
    <v>6</v>
  </rv>
  <rv s="3">
    <fb>45384</fb>
    <v>5</v>
  </rv>
  <rv s="3">
    <fb>22453.3</fb>
    <v>6</v>
  </rv>
  <rv s="3">
    <fb>45385</fb>
    <v>5</v>
  </rv>
  <rv s="3">
    <fb>22434.65</fb>
    <v>6</v>
  </rv>
  <rv s="3">
    <fb>45386</fb>
    <v>5</v>
  </rv>
  <rv s="3">
    <fb>22514.65</fb>
    <v>6</v>
  </rv>
  <rv s="3">
    <fb>45387</fb>
    <v>5</v>
  </rv>
  <rv s="3">
    <fb>22513.7</fb>
    <v>6</v>
  </rv>
  <rv s="3">
    <fb>45390</fb>
    <v>5</v>
  </rv>
  <rv s="3">
    <fb>22666.3</fb>
    <v>6</v>
  </rv>
  <rv s="3">
    <fb>45391</fb>
    <v>5</v>
  </rv>
  <rv s="3">
    <fb>22642.75</fb>
    <v>6</v>
  </rv>
  <rv s="3">
    <fb>45392</fb>
    <v>5</v>
  </rv>
  <rv s="3">
    <fb>22753.8</fb>
    <v>6</v>
  </rv>
  <rv s="3">
    <fb>45394</fb>
    <v>5</v>
  </rv>
  <rv s="3">
    <fb>22519.4</fb>
    <v>6</v>
  </rv>
  <rv s="3">
    <fb>45397</fb>
    <v>5</v>
  </rv>
  <rv s="3">
    <fb>22272.5</fb>
    <v>6</v>
  </rv>
  <rv s="3">
    <fb>45398</fb>
    <v>5</v>
  </rv>
  <rv s="3">
    <fb>22147.9</fb>
    <v>6</v>
  </rv>
  <rv s="3">
    <fb>45400</fb>
    <v>5</v>
  </rv>
  <rv s="3">
    <fb>21995.85</fb>
    <v>6</v>
  </rv>
  <rv s="3">
    <fb>45401</fb>
    <v>5</v>
  </rv>
  <rv s="3">
    <fb>22147</fb>
    <v>6</v>
  </rv>
  <rv s="3">
    <fb>45404</fb>
    <v>5</v>
  </rv>
  <rv s="3">
    <fb>22336.400000000001</fb>
    <v>6</v>
  </rv>
  <rv s="3">
    <fb>45405</fb>
    <v>5</v>
  </rv>
  <rv s="3">
    <fb>22368</fb>
    <v>6</v>
  </rv>
  <rv s="3">
    <fb>45406</fb>
    <v>5</v>
  </rv>
  <rv s="3">
    <fb>22402.400000000001</fb>
    <v>6</v>
  </rv>
  <rv s="3">
    <fb>45407</fb>
    <v>5</v>
  </rv>
  <rv s="3">
    <fb>22570.35</fb>
    <v>6</v>
  </rv>
  <rv s="3">
    <fb>45408</fb>
    <v>5</v>
  </rv>
  <rv s="3">
    <fb>22419.95</fb>
    <v>6</v>
  </rv>
  <rv s="3">
    <fb>45411</fb>
    <v>5</v>
  </rv>
  <rv s="3">
    <fb>22643.4</fb>
    <v>6</v>
  </rv>
  <rv s="3">
    <fb>45412</fb>
    <v>5</v>
  </rv>
  <rv s="3">
    <fb>22604.85</fb>
    <v>6</v>
  </rv>
  <rv s="3">
    <fb>45414</fb>
    <v>5</v>
  </rv>
  <rv s="3">
    <fb>22648.2</fb>
    <v>6</v>
  </rv>
  <rv s="3">
    <fb>45415</fb>
    <v>5</v>
  </rv>
  <rv s="3">
    <fb>22475.85</fb>
    <v>6</v>
  </rv>
  <rv s="3">
    <fb>45418</fb>
    <v>5</v>
  </rv>
  <rv s="3">
    <fb>22442.7</fb>
    <v>6</v>
  </rv>
  <rv s="3">
    <fb>45419</fb>
    <v>5</v>
  </rv>
  <rv s="3">
    <fb>22302.5</fb>
    <v>6</v>
  </rv>
  <rv s="3">
    <fb>45420</fb>
    <v>5</v>
  </rv>
  <rv s="3">
    <fb>45421</fb>
    <v>5</v>
  </rv>
  <rv s="3">
    <fb>21957.5</fb>
    <v>6</v>
  </rv>
  <rv s="3">
    <fb>45422</fb>
    <v>5</v>
  </rv>
  <rv s="3">
    <fb>22055.200000000001</fb>
    <v>6</v>
  </rv>
  <rv s="3">
    <fb>45425</fb>
    <v>5</v>
  </rv>
  <rv s="3">
    <fb>22104.05</fb>
    <v>6</v>
  </rv>
  <rv s="3">
    <fb>45426</fb>
    <v>5</v>
  </rv>
  <rv s="3">
    <fb>22217.85</fb>
    <v>6</v>
  </rv>
  <rv s="3">
    <fb>45427</fb>
    <v>5</v>
  </rv>
  <rv s="3">
    <fb>22200.55</fb>
    <v>6</v>
  </rv>
  <rv s="3">
    <fb>45428</fb>
    <v>5</v>
  </rv>
  <rv s="3">
    <fb>22403.85</fb>
    <v>6</v>
  </rv>
  <rv s="3">
    <fb>45429</fb>
    <v>5</v>
  </rv>
  <rv s="3">
    <fb>22466.1</fb>
    <v>6</v>
  </rv>
  <rv s="3">
    <fb>45430</fb>
    <v>5</v>
  </rv>
  <rv s="3">
    <fb>22502</fb>
    <v>6</v>
  </rv>
  <rv s="3">
    <fb>45433</fb>
    <v>5</v>
  </rv>
  <rv s="3">
    <fb>22529.05</fb>
    <v>6</v>
  </rv>
  <rv s="3">
    <fb>45434</fb>
    <v>5</v>
  </rv>
  <rv s="3">
    <fb>22597.8</fb>
    <v>6</v>
  </rv>
  <rv s="3">
    <fb>45435</fb>
    <v>5</v>
  </rv>
  <rv s="3">
    <fb>22967.65</fb>
    <v>6</v>
  </rv>
  <rv s="3">
    <fb>45436</fb>
    <v>5</v>
  </rv>
  <rv s="3">
    <fb>22957.1</fb>
    <v>6</v>
  </rv>
  <rv s="3">
    <fb>45439</fb>
    <v>5</v>
  </rv>
  <rv s="3">
    <fb>22932.45</fb>
    <v>6</v>
  </rv>
  <rv s="3">
    <fb>45440</fb>
    <v>5</v>
  </rv>
  <rv s="3">
    <fb>22888.15</fb>
    <v>6</v>
  </rv>
  <rv s="3">
    <fb>45441</fb>
    <v>5</v>
  </rv>
  <rv s="3">
    <fb>22704.7</fb>
    <v>6</v>
  </rv>
  <rv s="3">
    <fb>45442</fb>
    <v>5</v>
  </rv>
  <rv s="3">
    <fb>22488.65</fb>
    <v>6</v>
  </rv>
  <rv s="3">
    <fb>45443</fb>
    <v>5</v>
  </rv>
  <rv s="3">
    <fb>22530.7</fb>
    <v>6</v>
  </rv>
  <rv s="3">
    <fb>45446</fb>
    <v>5</v>
  </rv>
  <rv s="3">
    <fb>23263.9</fb>
    <v>6</v>
  </rv>
  <rv s="3">
    <fb>45447</fb>
    <v>5</v>
  </rv>
  <rv s="3">
    <fb>21884.5</fb>
    <v>6</v>
  </rv>
  <rv s="3">
    <fb>45448</fb>
    <v>5</v>
  </rv>
  <rv s="3">
    <fb>22620.35</fb>
    <v>6</v>
  </rv>
  <rv s="3">
    <fb>45449</fb>
    <v>5</v>
  </rv>
  <rv s="3">
    <fb>22821.4</fb>
    <v>6</v>
  </rv>
  <rv s="3">
    <fb>45450</fb>
    <v>5</v>
  </rv>
  <rv s="3">
    <fb>23290.15</fb>
    <v>6</v>
  </rv>
  <rv s="3">
    <fb>45453</fb>
    <v>5</v>
  </rv>
  <rv s="3">
    <fb>23259.200000000001</fb>
    <v>6</v>
  </rv>
  <rv s="3">
    <fb>45454</fb>
    <v>5</v>
  </rv>
  <rv s="3">
    <fb>23264.85</fb>
    <v>6</v>
  </rv>
  <rv s="3">
    <fb>45455</fb>
    <v>5</v>
  </rv>
  <rv s="3">
    <fb>23322.95</fb>
    <v>6</v>
  </rv>
  <rv s="3">
    <fb>45456</fb>
    <v>5</v>
  </rv>
  <rv s="3">
    <fb>23398.9</fb>
    <v>6</v>
  </rv>
  <rv s="3">
    <fb>45457</fb>
    <v>5</v>
  </rv>
  <rv s="3">
    <fb>23465.599999999999</fb>
    <v>6</v>
  </rv>
  <rv s="3">
    <fb>45461</fb>
    <v>5</v>
  </rv>
  <rv s="3">
    <fb>23557.9</fb>
    <v>6</v>
  </rv>
  <rv s="3">
    <fb>45462</fb>
    <v>5</v>
  </rv>
  <rv s="3">
    <fb>23516</fb>
    <v>6</v>
  </rv>
  <rv s="3">
    <fb>45463</fb>
    <v>5</v>
  </rv>
  <rv s="3">
    <fb>23567</fb>
    <v>6</v>
  </rv>
  <rv s="3">
    <fb>45464</fb>
    <v>5</v>
  </rv>
  <rv s="3">
    <fb>23501.1</fb>
    <v>6</v>
  </rv>
  <rv s="3">
    <fb>45467</fb>
    <v>5</v>
  </rv>
  <rv s="3">
    <fb>23537.85</fb>
    <v>6</v>
  </rv>
  <rv s="3">
    <fb>45468</fb>
    <v>5</v>
  </rv>
  <rv s="3">
    <fb>23721.3</fb>
    <v>6</v>
  </rv>
  <rv s="3">
    <fb>45469</fb>
    <v>5</v>
  </rv>
  <rv s="3">
    <fb>23868.799999999999</fb>
    <v>6</v>
  </rv>
  <rv s="3">
    <fb>45470</fb>
    <v>5</v>
  </rv>
  <rv s="3">
    <fb>24044.5</fb>
    <v>6</v>
  </rv>
  <rv s="3">
    <fb>45471</fb>
    <v>5</v>
  </rv>
  <rv s="3">
    <fb>24010.6</fb>
    <v>6</v>
  </rv>
  <rv s="3">
    <fb>45474</fb>
    <v>5</v>
  </rv>
  <rv s="3">
    <fb>24141.95</fb>
    <v>6</v>
  </rv>
  <rv s="3">
    <fb>45475</fb>
    <v>5</v>
  </rv>
  <rv s="3">
    <fb>24123.85</fb>
    <v>6</v>
  </rv>
  <rv s="3">
    <fb>45476</fb>
    <v>5</v>
  </rv>
  <rv s="3">
    <fb>24286.5</fb>
    <v>6</v>
  </rv>
  <rv s="3">
    <fb>45477</fb>
    <v>5</v>
  </rv>
  <rv s="3">
    <fb>24302.15</fb>
    <v>6</v>
  </rv>
  <rv s="3">
    <fb>45478</fb>
    <v>5</v>
  </rv>
  <rv s="3">
    <fb>24323.85</fb>
    <v>6</v>
  </rv>
  <rv s="3">
    <fb>45481</fb>
    <v>5</v>
  </rv>
  <rv s="3">
    <fb>24320.55</fb>
    <v>6</v>
  </rv>
  <rv s="3">
    <fb>45482</fb>
    <v>5</v>
  </rv>
  <rv s="3">
    <fb>24433.200000000001</fb>
    <v>6</v>
  </rv>
  <rv s="3">
    <fb>45483</fb>
    <v>5</v>
  </rv>
  <rv s="3">
    <fb>24324.45</fb>
    <v>6</v>
  </rv>
  <rv s="3">
    <fb>45484</fb>
    <v>5</v>
  </rv>
  <rv s="3">
    <fb>24315.95</fb>
    <v>6</v>
  </rv>
  <rv s="3">
    <fb>45485</fb>
    <v>5</v>
  </rv>
  <rv s="3">
    <fb>24502.15</fb>
    <v>6</v>
  </rv>
  <rv s="3">
    <fb>45488</fb>
    <v>5</v>
  </rv>
  <rv s="3">
    <fb>24586.7</fb>
    <v>6</v>
  </rv>
  <rv s="3">
    <fb>45489</fb>
    <v>5</v>
  </rv>
  <rv s="3">
    <fb>24613</fb>
    <v>6</v>
  </rv>
  <rv s="3">
    <fb>45491</fb>
    <v>5</v>
  </rv>
  <rv s="3">
    <fb>24800.85</fb>
    <v>6</v>
  </rv>
  <rv s="3">
    <fb>45492</fb>
    <v>5</v>
  </rv>
  <rv s="3">
    <fb>24530.9</fb>
    <v>6</v>
  </rv>
  <rv s="3">
    <fb>45495</fb>
    <v>5</v>
  </rv>
  <rv s="3">
    <fb>24509.25</fb>
    <v>6</v>
  </rv>
  <rv s="3">
    <fb>45496</fb>
    <v>5</v>
  </rv>
  <rv s="3">
    <fb>24479.05</fb>
    <v>6</v>
  </rv>
  <rv s="3">
    <fb>45497</fb>
    <v>5</v>
  </rv>
  <rv s="3">
    <fb>24413.5</fb>
    <v>6</v>
  </rv>
  <rv s="3">
    <fb>45498</fb>
    <v>5</v>
  </rv>
  <rv s="3">
    <fb>24406.1</fb>
    <v>6</v>
  </rv>
  <rv s="3">
    <fb>45499</fb>
    <v>5</v>
  </rv>
  <rv s="3">
    <fb>24834.85</fb>
    <v>6</v>
  </rv>
  <rv s="3">
    <fb>45502</fb>
    <v>5</v>
  </rv>
  <rv s="3">
    <fb>24836.1</fb>
    <v>6</v>
  </rv>
  <rv s="3">
    <fb>45503</fb>
    <v>5</v>
  </rv>
  <rv s="3">
    <fb>24857.3</fb>
    <v>6</v>
  </rv>
  <rv s="3">
    <fb>45504</fb>
    <v>5</v>
  </rv>
  <rv s="3">
    <fb>24951.15</fb>
    <v>6</v>
  </rv>
  <rv s="3">
    <fb>45505</fb>
    <v>5</v>
  </rv>
  <rv s="3">
    <fb>25010.9</fb>
    <v>6</v>
  </rv>
  <rv s="3">
    <fb>45506</fb>
    <v>5</v>
  </rv>
  <rv s="3">
    <fb>24717.7</fb>
    <v>6</v>
  </rv>
  <rv s="3">
    <fb>45509</fb>
    <v>5</v>
  </rv>
  <rv s="3">
    <fb>24055.599999999999</fb>
    <v>6</v>
  </rv>
  <rv s="3">
    <fb>45510</fb>
    <v>5</v>
  </rv>
  <rv s="3">
    <fb>23992.55</fb>
    <v>6</v>
  </rv>
  <rv s="3">
    <fb>45511</fb>
    <v>5</v>
  </rv>
  <rv s="3">
    <fb>24297.5</fb>
    <v>6</v>
  </rv>
  <rv s="3">
    <fb>45512</fb>
    <v>5</v>
  </rv>
  <rv s="3">
    <fb>24117</fb>
    <v>6</v>
  </rv>
  <rv s="3">
    <fb>45513</fb>
    <v>5</v>
  </rv>
  <rv s="3">
    <fb>24367.5</fb>
    <v>6</v>
  </rv>
  <rv s="3">
    <fb>45516</fb>
    <v>5</v>
  </rv>
  <rv s="3">
    <fb>24347</fb>
    <v>6</v>
  </rv>
  <rv s="3">
    <fb>45517</fb>
    <v>5</v>
  </rv>
  <rv s="3">
    <fb>24139</fb>
    <v>6</v>
  </rv>
  <rv s="3">
    <fb>45518</fb>
    <v>5</v>
  </rv>
  <rv s="3">
    <fb>24143.75</fb>
    <v>6</v>
  </rv>
  <rv s="3">
    <fb>45520</fb>
    <v>5</v>
  </rv>
  <rv s="3">
    <fb>24541.15</fb>
    <v>6</v>
  </rv>
  <rv s="3">
    <fb>45523</fb>
    <v>5</v>
  </rv>
  <rv s="3">
    <fb>24572.65</fb>
    <v>6</v>
  </rv>
  <rv s="3">
    <fb>45524</fb>
    <v>5</v>
  </rv>
  <rv s="3">
    <fb>24698.85</fb>
    <v>6</v>
  </rv>
  <rv s="3">
    <fb>45525</fb>
    <v>5</v>
  </rv>
  <rv s="3">
    <fb>24770.2</fb>
    <v>6</v>
  </rv>
  <rv s="3">
    <fb>45526</fb>
    <v>5</v>
  </rv>
  <rv s="3">
    <fb>24811.5</fb>
    <v>6</v>
  </rv>
  <rv s="3">
    <fb>45527</fb>
    <v>5</v>
  </rv>
  <rv s="3">
    <fb>24823.15</fb>
    <v>6</v>
  </rv>
  <rv s="3">
    <fb>45530</fb>
    <v>5</v>
  </rv>
  <rv s="3">
    <fb>25010.6</fb>
    <v>6</v>
  </rv>
  <rv s="3">
    <fb>45531</fb>
    <v>5</v>
  </rv>
  <rv s="3">
    <fb>25017.75</fb>
    <v>6</v>
  </rv>
  <rv s="3">
    <fb>45532</fb>
    <v>5</v>
  </rv>
  <rv s="3">
    <fb>25052.35</fb>
    <v>6</v>
  </rv>
  <rv s="3">
    <fb>45533</fb>
    <v>5</v>
  </rv>
  <rv s="3">
    <fb>25151.95</fb>
    <v>6</v>
  </rv>
  <rv s="3">
    <fb>45534</fb>
    <v>5</v>
  </rv>
  <rv s="3">
    <fb>25235.9</fb>
    <v>6</v>
  </rv>
  <rv s="3">
    <fb>45537</fb>
    <v>5</v>
  </rv>
  <rv s="3">
    <fb>25278.7</fb>
    <v>6</v>
  </rv>
  <rv s="3">
    <fb>45538</fb>
    <v>5</v>
  </rv>
  <rv s="3">
    <fb>25279.85</fb>
    <v>6</v>
  </rv>
  <rv s="3">
    <fb>45539</fb>
    <v>5</v>
  </rv>
  <rv s="3">
    <fb>25198.7</fb>
    <v>6</v>
  </rv>
  <rv s="3">
    <fb>45540</fb>
    <v>5</v>
  </rv>
  <rv s="3">
    <fb>25145.1</fb>
    <v>6</v>
  </rv>
  <rv s="3">
    <fb>45541</fb>
    <v>5</v>
  </rv>
  <rv s="3">
    <fb>24852.15</fb>
    <v>6</v>
  </rv>
  <rv s="3">
    <fb>45544</fb>
    <v>5</v>
  </rv>
  <rv s="3">
    <fb>24936.400000000001</fb>
    <v>6</v>
  </rv>
  <rv s="3">
    <fb>45545</fb>
    <v>5</v>
  </rv>
  <rv s="3">
    <fb>25041.1</fb>
    <v>6</v>
  </rv>
  <rv s="3">
    <fb>45546</fb>
    <v>5</v>
  </rv>
  <rv s="3">
    <fb>24918.45</fb>
    <v>6</v>
  </rv>
  <rv s="3">
    <fb>45547</fb>
    <v>5</v>
  </rv>
  <rv s="3">
    <fb>25388.9</fb>
    <v>6</v>
  </rv>
  <rv s="3">
    <fb>45548</fb>
    <v>5</v>
  </rv>
  <rv s="3">
    <fb>25356.5</fb>
    <v>6</v>
  </rv>
  <rv s="3">
    <fb>45551</fb>
    <v>5</v>
  </rv>
  <rv s="3">
    <fb>25383.75</fb>
    <v>6</v>
  </rv>
  <rv s="3">
    <fb>45552</fb>
    <v>5</v>
  </rv>
  <rv s="3">
    <fb>25418.55</fb>
    <v>6</v>
  </rv>
  <rv s="3">
    <fb>45553</fb>
    <v>5</v>
  </rv>
  <rv s="3">
    <fb>25377.55</fb>
    <v>6</v>
  </rv>
  <rv s="3">
    <fb>45554</fb>
    <v>5</v>
  </rv>
  <rv s="3">
    <fb>25415.8</fb>
    <v>6</v>
  </rv>
  <rv s="3">
    <fb>45555</fb>
    <v>5</v>
  </rv>
  <rv s="3">
    <fb>25790.95</fb>
    <v>6</v>
  </rv>
  <rv s="3">
    <fb>45558</fb>
    <v>5</v>
  </rv>
  <rv s="3">
    <fb>25939.05</fb>
    <v>6</v>
  </rv>
  <rv s="3">
    <fb>45559</fb>
    <v>5</v>
  </rv>
  <rv s="3">
    <fb>25940.400000000001</fb>
    <v>6</v>
  </rv>
  <rv s="3">
    <fb>45560</fb>
    <v>5</v>
  </rv>
  <rv s="3">
    <fb>26004.15</fb>
    <v>6</v>
  </rv>
  <rv s="3">
    <fb>45561</fb>
    <v>5</v>
  </rv>
  <rv s="3">
    <fb>26216.05</fb>
    <v>6</v>
  </rv>
  <rv s="3">
    <fb>45562</fb>
    <v>5</v>
  </rv>
  <rv s="3">
    <fb>26178.95</fb>
    <v>6</v>
  </rv>
  <rv s="3">
    <fb>45565</fb>
    <v>5</v>
  </rv>
  <rv s="3">
    <fb>25810.85</fb>
    <v>6</v>
  </rv>
  <rv s="3">
    <fb>45566</fb>
    <v>5</v>
  </rv>
  <rv s="3">
    <fb>25796.9</fb>
    <v>6</v>
  </rv>
  <rv s="3">
    <fb>45568</fb>
    <v>5</v>
  </rv>
  <rv s="3">
    <fb>25250.1</fb>
    <v>6</v>
  </rv>
  <rv s="3">
    <fb>45569</fb>
    <v>5</v>
  </rv>
  <rv s="3">
    <fb>25014.6</fb>
    <v>6</v>
  </rv>
  <rv s="3">
    <fb>45572</fb>
    <v>5</v>
  </rv>
  <rv s="3">
    <fb>24795.75</fb>
    <v>6</v>
  </rv>
  <rv s="3">
    <fb>45573</fb>
    <v>5</v>
  </rv>
  <rv s="3">
    <fb>25013.15</fb>
    <v>6</v>
  </rv>
  <rv s="3">
    <fb>45574</fb>
    <v>5</v>
  </rv>
  <rv s="3">
    <fb>24981.95</fb>
    <v>6</v>
  </rv>
  <rv s="3">
    <fb>45575</fb>
    <v>5</v>
  </rv>
  <rv s="3">
    <fb>24998.45</fb>
    <v>6</v>
  </rv>
  <rv s="3">
    <fb>45576</fb>
    <v>5</v>
  </rv>
  <rv s="3">
    <fb>24964.25</fb>
    <v>6</v>
  </rv>
  <rv s="3">
    <fb>45579</fb>
    <v>5</v>
  </rv>
  <rv s="3">
    <fb>25127.95</fb>
    <v>6</v>
  </rv>
  <rv s="3">
    <fb>45580</fb>
    <v>5</v>
  </rv>
  <rv s="3">
    <fb>25057.35</fb>
    <v>6</v>
  </rv>
  <rv s="3">
    <fb>45581</fb>
    <v>5</v>
  </rv>
  <rv s="3">
    <fb>24971.3</fb>
    <v>6</v>
  </rv>
  <rv s="3">
    <fb>45582</fb>
    <v>5</v>
  </rv>
  <rv s="3">
    <fb>24749.85</fb>
    <v>6</v>
  </rv>
  <rv s="3">
    <fb>45583</fb>
    <v>5</v>
  </rv>
  <rv s="3">
    <fb>24854.05</fb>
    <v>6</v>
  </rv>
  <rv s="3">
    <fb>45586</fb>
    <v>5</v>
  </rv>
  <rv s="3">
    <fb>24781.1</fb>
    <v>6</v>
  </rv>
  <rv s="3">
    <fb>45587</fb>
    <v>5</v>
  </rv>
  <rv s="3">
    <fb>24472.1</fb>
    <v>6</v>
  </rv>
  <rv s="3">
    <fb>45588</fb>
    <v>5</v>
  </rv>
  <rv s="3">
    <fb>24435.5</fb>
    <v>6</v>
  </rv>
  <rv s="3">
    <fb>45589</fb>
    <v>5</v>
  </rv>
  <rv s="3">
    <fb>24399.4</fb>
    <v>6</v>
  </rv>
  <rv s="3">
    <fb>45590</fb>
    <v>5</v>
  </rv>
  <rv s="3">
    <fb>24180.799999999999</fb>
    <v>6</v>
  </rv>
  <rv s="3">
    <fb>45593</fb>
    <v>5</v>
  </rv>
  <rv s="3">
    <fb>24339.15</fb>
    <v>6</v>
  </rv>
  <rv s="3">
    <fb>45594</fb>
    <v>5</v>
  </rv>
  <rv s="3">
    <fb>24466.85</fb>
    <v>6</v>
  </rv>
  <rv s="3">
    <fb>45595</fb>
    <v>5</v>
  </rv>
  <rv s="3">
    <fb>24340.85</fb>
    <v>6</v>
  </rv>
  <rv s="3">
    <fb>45596</fb>
    <v>5</v>
  </rv>
  <rv s="3">
    <fb>24205.35</fb>
    <v>6</v>
  </rv>
  <rv s="3">
    <fb>45597</fb>
    <v>5</v>
  </rv>
  <rv s="3">
    <fb>24304.35</fb>
    <v>6</v>
  </rv>
  <rv s="3">
    <fb>45600</fb>
    <v>5</v>
  </rv>
  <rv s="3">
    <fb>23995.35</fb>
    <v>6</v>
  </rv>
  <rv s="3">
    <fb>45601</fb>
    <v>5</v>
  </rv>
  <rv s="3">
    <fb>24213.3</fb>
    <v>6</v>
  </rv>
  <rv s="3">
    <fb>45602</fb>
    <v>5</v>
  </rv>
  <rv s="3">
    <fb>24484.05</fb>
    <v>6</v>
  </rv>
  <rv s="3">
    <fb>45603</fb>
    <v>5</v>
  </rv>
  <rv s="3">
    <fb>24199.35</fb>
    <v>6</v>
  </rv>
  <rv s="3">
    <fb>45604</fb>
    <v>5</v>
  </rv>
  <rv s="3">
    <fb>24148.2</fb>
    <v>6</v>
  </rv>
  <rv s="3">
    <fb>45607</fb>
    <v>5</v>
  </rv>
  <rv s="3">
    <fb>24141.3</fb>
    <v>6</v>
  </rv>
  <rv s="3">
    <fb>45608</fb>
    <v>5</v>
  </rv>
  <rv s="3">
    <fb>23883.45</fb>
    <v>6</v>
  </rv>
  <rv s="3">
    <fb>45609</fb>
    <v>5</v>
  </rv>
  <rv s="3">
    <fb>23559.05</fb>
    <v>6</v>
  </rv>
  <rv s="3">
    <fb>45610</fb>
    <v>5</v>
  </rv>
  <rv s="3">
    <fb>23532.7</fb>
    <v>6</v>
  </rv>
  <rv s="3">
    <fb>45614</fb>
    <v>5</v>
  </rv>
  <rv s="3">
    <fb>23453.8</fb>
    <v>6</v>
  </rv>
  <rv s="3">
    <fb>45615</fb>
    <v>5</v>
  </rv>
  <rv s="3">
    <fb>23518.5</fb>
    <v>6</v>
  </rv>
  <rv s="3">
    <fb>45617</fb>
    <v>5</v>
  </rv>
  <rv s="3">
    <fb>23349.9</fb>
    <v>6</v>
  </rv>
  <rv s="3">
    <fb>45618</fb>
    <v>5</v>
  </rv>
  <rv s="3">
    <fb>23907.25</fb>
    <v>6</v>
  </rv>
  <rv s="3">
    <fb>45621</fb>
    <v>5</v>
  </rv>
  <rv s="3">
    <fb>24221.9</fb>
    <v>6</v>
  </rv>
  <rv s="3">
    <fb>45622</fb>
    <v>5</v>
  </rv>
  <rv s="3">
    <fb>24194.5</fb>
    <v>6</v>
  </rv>
  <rv s="3">
    <fb>45623</fb>
    <v>5</v>
  </rv>
  <rv s="3">
    <fb>24274.9</fb>
    <v>6</v>
  </rv>
  <rv s="3">
    <fb>45624</fb>
    <v>5</v>
  </rv>
  <rv s="3">
    <fb>23914.15</fb>
    <v>6</v>
  </rv>
  <rv s="3">
    <fb>45625</fb>
    <v>5</v>
  </rv>
  <rv s="3">
    <fb>24131.1</fb>
    <v>6</v>
  </rv>
  <rv s="3">
    <fb>45628</fb>
    <v>5</v>
  </rv>
  <rv s="3">
    <fb>24276.05</fb>
    <v>6</v>
  </rv>
  <rv s="3">
    <fb>45629</fb>
    <v>5</v>
  </rv>
  <rv s="3">
    <fb>24457.15</fb>
    <v>6</v>
  </rv>
  <rv s="3">
    <fb>45630</fb>
    <v>5</v>
  </rv>
  <rv s="3">
    <fb>24467.45</fb>
    <v>6</v>
  </rv>
  <rv s="3">
    <fb>45631</fb>
    <v>5</v>
  </rv>
  <rv s="3">
    <fb>24708.400000000001</fb>
    <v>6</v>
  </rv>
  <rv s="3">
    <fb>45632</fb>
    <v>5</v>
  </rv>
  <rv s="3">
    <fb>24677.8</fb>
    <v>6</v>
  </rv>
  <rv s="3">
    <fb>45635</fb>
    <v>5</v>
  </rv>
  <rv s="3">
    <fb>24619</fb>
    <v>6</v>
  </rv>
  <rv s="3">
    <fb>45636</fb>
    <v>5</v>
  </rv>
  <rv s="3">
    <fb>24610.05</fb>
    <v>6</v>
  </rv>
  <rv s="3">
    <fb>45637</fb>
    <v>5</v>
  </rv>
  <rv s="3">
    <fb>24641.8</fb>
    <v>6</v>
  </rv>
  <rv s="3">
    <fb>45638</fb>
    <v>5</v>
  </rv>
  <rv s="3">
    <fb>24548.7</fb>
    <v>6</v>
  </rv>
  <rv s="3">
    <fb>45639</fb>
    <v>5</v>
  </rv>
  <rv s="3">
    <fb>24768.3</fb>
    <v>6</v>
  </rv>
  <rv s="3">
    <fb>45642</fb>
    <v>5</v>
  </rv>
  <rv s="3">
    <fb>24668.25</fb>
    <v>6</v>
  </rv>
  <rv s="3">
    <fb>45643</fb>
    <v>5</v>
  </rv>
  <rv s="3">
    <fb>24336</fb>
    <v>6</v>
  </rv>
  <rv s="3">
    <fb>45644</fb>
    <v>5</v>
  </rv>
  <rv s="3">
    <fb>24198.85</fb>
    <v>6</v>
  </rv>
  <rv s="3">
    <fb>45645</fb>
    <v>5</v>
  </rv>
  <rv s="3">
    <fb>23951.7</fb>
    <v>6</v>
  </rv>
  <rv s="3">
    <fb>45646</fb>
    <v>5</v>
  </rv>
  <rv s="3">
    <fb>23587.5</fb>
    <v>6</v>
  </rv>
  <rv s="3">
    <fb>45649</fb>
    <v>5</v>
  </rv>
  <rv s="3">
    <fb>23753.45</fb>
    <v>6</v>
  </rv>
  <rv s="3">
    <fb>45650</fb>
    <v>5</v>
  </rv>
  <rv s="3">
    <fb>23727.65</fb>
    <v>6</v>
  </rv>
  <rv s="3">
    <fb>45652</fb>
    <v>5</v>
  </rv>
  <rv s="3">
    <fb>23750.2</fb>
    <v>6</v>
  </rv>
  <rv s="3">
    <fb>45653</fb>
    <v>5</v>
  </rv>
  <rv s="3">
    <fb>23813.4</fb>
    <v>6</v>
  </rv>
  <rv s="3">
    <fb>45656</fb>
    <v>5</v>
  </rv>
  <rv s="3">
    <fb>23644.9</fb>
    <v>6</v>
  </rv>
  <rv s="3">
    <fb>45657</fb>
    <v>5</v>
  </rv>
  <rv s="3">
    <fb>23644.799999999999</fb>
    <v>6</v>
  </rv>
  <rv s="3">
    <fb>45658</fb>
    <v>5</v>
  </rv>
  <rv s="3">
    <fb>23742.9</fb>
    <v>6</v>
  </rv>
  <rv s="3">
    <fb>45659</fb>
    <v>5</v>
  </rv>
  <rv s="3">
    <fb>24188.65</fb>
    <v>6</v>
  </rv>
  <rv s="3">
    <fb>45660</fb>
    <v>5</v>
  </rv>
  <rv s="3">
    <fb>24004.75</fb>
    <v>6</v>
  </rv>
  <rv s="3">
    <fb>45663</fb>
    <v>5</v>
  </rv>
  <rv s="3">
    <fb>23616.05</fb>
    <v>6</v>
  </rv>
  <rv s="3">
    <fb>45664</fb>
    <v>5</v>
  </rv>
  <rv s="3">
    <fb>23707.9</fb>
    <v>6</v>
  </rv>
  <rv s="3">
    <fb>45665</fb>
    <v>5</v>
  </rv>
  <rv s="3">
    <fb>23688.95</fb>
    <v>6</v>
  </rv>
  <rv s="3">
    <fb>45666</fb>
    <v>5</v>
  </rv>
  <rv s="3">
    <fb>23526.5</fb>
    <v>6</v>
  </rv>
  <rv s="3">
    <fb>45667</fb>
    <v>5</v>
  </rv>
  <rv s="3">
    <fb>23431.5</fb>
    <v>6</v>
  </rv>
  <rv s="3">
    <fb>45670</fb>
    <v>5</v>
  </rv>
  <rv s="3">
    <fb>23085.95</fb>
    <v>6</v>
  </rv>
  <rv s="3">
    <fb>45671</fb>
    <v>5</v>
  </rv>
  <rv s="3">
    <fb>23176.05</fb>
    <v>6</v>
  </rv>
  <rv s="3">
    <fb>45672</fb>
    <v>5</v>
  </rv>
  <rv s="3">
    <fb>23213.200000000001</fb>
    <v>6</v>
  </rv>
  <rv s="3">
    <fb>45673</fb>
    <v>5</v>
  </rv>
  <rv s="3">
    <fb>23311.8</fb>
    <v>6</v>
  </rv>
  <rv s="3">
    <fb>45674</fb>
    <v>5</v>
  </rv>
  <rv s="3">
    <fb>23203.200000000001</fb>
    <v>6</v>
  </rv>
  <rv s="3">
    <fb>45677</fb>
    <v>5</v>
  </rv>
  <rv s="3">
    <fb>23344.75</fb>
    <v>6</v>
  </rv>
  <rv s="3">
    <fb>45678</fb>
    <v>5</v>
  </rv>
  <rv s="3">
    <fb>23024.65</fb>
    <v>6</v>
  </rv>
  <rv s="3">
    <fb>45679</fb>
    <v>5</v>
  </rv>
  <rv s="3">
    <fb>23155.35</fb>
    <v>6</v>
  </rv>
  <rv s="3">
    <fb>45680</fb>
    <v>5</v>
  </rv>
  <rv s="3">
    <fb>23205.35</fb>
    <v>6</v>
  </rv>
  <rv s="3">
    <fb>45681</fb>
    <v>5</v>
  </rv>
  <rv s="3">
    <fb>23092.2</fb>
    <v>6</v>
  </rv>
  <rv s="3">
    <fb>45684</fb>
    <v>5</v>
  </rv>
  <rv s="3">
    <fb>22829.15</fb>
    <v>6</v>
  </rv>
  <rv s="3">
    <fb>45685</fb>
    <v>5</v>
  </rv>
  <rv s="3">
    <fb>22957.25</fb>
    <v>6</v>
  </rv>
  <rv s="3">
    <fb>45686</fb>
    <v>5</v>
  </rv>
  <rv s="3">
    <fb>23163.1</fb>
    <v>6</v>
  </rv>
  <rv s="3">
    <fb>45687</fb>
    <v>5</v>
  </rv>
  <rv s="3">
    <fb>23249.5</fb>
    <v>6</v>
  </rv>
  <rv s="3">
    <fb>45688</fb>
    <v>5</v>
  </rv>
  <rv s="3">
    <fb>23508.400000000001</fb>
    <v>6</v>
  </rv>
  <rv s="3">
    <fb>45689</fb>
    <v>5</v>
  </rv>
  <rv s="3">
    <fb>23482.15</fb>
    <v>6</v>
  </rv>
  <rv s="3">
    <fb>45691</fb>
    <v>5</v>
  </rv>
  <rv s="3">
    <fb>23361.05</fb>
    <v>6</v>
  </rv>
  <rv s="3">
    <fb>45692</fb>
    <v>5</v>
  </rv>
  <rv s="3">
    <fb>23739.25</fb>
    <v>6</v>
  </rv>
  <rv s="3">
    <fb>45693</fb>
    <v>5</v>
  </rv>
  <rv s="3">
    <fb>23696.3</fb>
    <v>6</v>
  </rv>
  <rv s="3">
    <fb>45694</fb>
    <v>5</v>
  </rv>
  <rv s="3">
    <fb>23603.35</fb>
    <v>6</v>
  </rv>
  <rv s="3">
    <fb>45695</fb>
    <v>5</v>
  </rv>
  <rv s="3">
    <fb>23559.95</fb>
    <v>6</v>
  </rv>
  <rv s="3">
    <fb>45698</fb>
    <v>5</v>
  </rv>
  <rv s="3">
    <fb>23381.599999999999</fb>
    <v>6</v>
  </rv>
  <rv s="3">
    <fb>45699</fb>
    <v>5</v>
  </rv>
  <rv s="3">
    <fb>23071.8</fb>
    <v>6</v>
  </rv>
  <rv s="3">
    <fb>45700</fb>
    <v>5</v>
  </rv>
  <rv s="3">
    <fb>23045.25</fb>
    <v>6</v>
  </rv>
  <rv s="3">
    <fb>45701</fb>
    <v>5</v>
  </rv>
  <rv s="3">
    <fb>23031.4</fb>
    <v>6</v>
  </rv>
  <rv s="3">
    <fb>45702</fb>
    <v>5</v>
  </rv>
  <rv s="3">
    <fb>22929.25</fb>
    <v>6</v>
  </rv>
  <rv s="3">
    <fb>45705</fb>
    <v>5</v>
  </rv>
  <rv s="3">
    <fb>22959.5</fb>
    <v>6</v>
  </rv>
  <rv s="3">
    <fb>45706</fb>
    <v>5</v>
  </rv>
  <rv s="3">
    <fb>22945.3</fb>
    <v>6</v>
  </rv>
  <rv s="3">
    <fb>45707</fb>
    <v>5</v>
  </rv>
  <rv s="3">
    <fb>22932.9</fb>
    <v>6</v>
  </rv>
  <rv s="3">
    <fb>45708</fb>
    <v>5</v>
  </rv>
  <rv s="3">
    <fb>22913.15</fb>
    <v>6</v>
  </rv>
  <rv s="3">
    <fb>45709</fb>
    <v>5</v>
  </rv>
  <rv s="3">
    <fb>22795.9</fb>
    <v>6</v>
  </rv>
  <rv s="3">
    <fb>45712</fb>
    <v>5</v>
  </rv>
  <rv s="3">
    <fb>22553.35</fb>
    <v>6</v>
  </rv>
  <rv s="3">
    <fb>45713</fb>
    <v>5</v>
  </rv>
  <rv s="3">
    <fb>22547.55</fb>
    <v>6</v>
  </rv>
  <rv s="3">
    <fb>45715</fb>
    <v>5</v>
  </rv>
  <rv s="3">
    <fb>22545.05</fb>
    <v>6</v>
  </rv>
  <rv s="3">
    <fb>45716</fb>
    <v>5</v>
  </rv>
  <rv s="3">
    <fb>22124.7</fb>
    <v>6</v>
  </rv>
  <rv s="3">
    <fb>45719</fb>
    <v>5</v>
  </rv>
  <rv s="3">
    <fb>22119.3</fb>
    <v>6</v>
  </rv>
  <rv s="3">
    <fb>45720</fb>
    <v>5</v>
  </rv>
  <rv s="3">
    <fb>22082.65</fb>
    <v>6</v>
  </rv>
  <rv s="3">
    <fb>45721</fb>
    <v>5</v>
  </rv>
  <rv s="3">
    <fb>22337.3</fb>
    <v>6</v>
  </rv>
  <rv s="3">
    <fb>45722</fb>
    <v>5</v>
  </rv>
  <rv s="3">
    <fb>22544.7</fb>
    <v>6</v>
  </rv>
  <rv s="3">
    <fb>45723</fb>
    <v>5</v>
  </rv>
  <rv s="3">
    <fb>22552.5</fb>
    <v>6</v>
  </rv>
  <rv s="3">
    <fb>45726</fb>
    <v>5</v>
  </rv>
  <rv s="3">
    <fb>22460.3</fb>
    <v>6</v>
  </rv>
  <rv s="3">
    <fb>45727</fb>
    <v>5</v>
  </rv>
  <rv s="3">
    <fb>22497.9</fb>
    <v>6</v>
  </rv>
  <rv s="3">
    <fb>45728</fb>
    <v>5</v>
  </rv>
  <rv s="3">
    <fb>22470.5</fb>
    <v>6</v>
  </rv>
  <rv s="3">
    <fb>45729</fb>
    <v>5</v>
  </rv>
  <rv s="3">
    <fb>22397.200000000001</fb>
    <v>6</v>
  </rv>
  <rv s="3">
    <fb>45733</fb>
    <v>5</v>
  </rv>
  <rv s="3">
    <fb>22508.75</fb>
    <v>6</v>
  </rv>
  <rv s="3">
    <fb>45734</fb>
    <v>5</v>
  </rv>
  <rv s="3">
    <fb>22834.3</fb>
    <v>6</v>
  </rv>
  <rv s="3">
    <fb>45735</fb>
    <v>5</v>
  </rv>
  <rv s="3">
    <fb>22907.599999999999</fb>
    <v>6</v>
  </rv>
  <rv s="3">
    <fb>45736</fb>
    <v>5</v>
  </rv>
  <rv s="3">
    <fb>23190.65</fb>
    <v>6</v>
  </rv>
  <rv s="3">
    <fb>45737</fb>
    <v>5</v>
  </rv>
  <rv s="3">
    <fb>23350.400000000001</fb>
    <v>6</v>
  </rv>
  <rv s="3">
    <fb>45740</fb>
    <v>5</v>
  </rv>
  <rv s="3">
    <fb>23658.35</fb>
    <v>6</v>
  </rv>
  <rv s="3">
    <fb>45741</fb>
    <v>5</v>
  </rv>
  <rv s="3">
    <fb>23668.65</fb>
    <v>6</v>
  </rv>
  <rv s="3">
    <fb>45742</fb>
    <v>5</v>
  </rv>
  <rv s="3">
    <fb>23486.85</fb>
    <v>6</v>
  </rv>
  <rv s="3">
    <fb>45743</fb>
    <v>5</v>
  </rv>
  <rv s="3">
    <fb>23591.95</fb>
    <v>6</v>
  </rv>
  <rv s="3">
    <fb>45744</fb>
    <v>5</v>
  </rv>
  <rv s="3">
    <fb>23519.35</fb>
    <v>6</v>
  </rv>
  <rv s="3">
    <fb>45748</fb>
    <v>5</v>
  </rv>
  <rv s="3">
    <fb>23165.7</fb>
    <v>6</v>
  </rv>
  <rv s="3">
    <fb>45749</fb>
    <v>5</v>
  </rv>
  <rv s="3">
    <fb>23332.35</fb>
    <v>6</v>
  </rv>
  <rv s="3">
    <fb>45750</fb>
    <v>5</v>
  </rv>
  <rv s="3">
    <fb>23250.1</fb>
    <v>6</v>
  </rv>
  <rv s="3">
    <fb>45751</fb>
    <v>5</v>
  </rv>
  <rv s="3">
    <fb>22904.45</fb>
    <v>6</v>
  </rv>
  <rv s="3">
    <fb>45754</fb>
    <v>5</v>
  </rv>
  <rv s="3">
    <fb>22161.599999999999</fb>
    <v>6</v>
  </rv>
  <rv s="3">
    <fb>45755</fb>
    <v>5</v>
  </rv>
  <rv s="3">
    <fb>22535.85</fb>
    <v>6</v>
  </rv>
  <rv s="3">
    <fb>45756</fb>
    <v>5</v>
  </rv>
  <rv s="3">
    <fb>22399.15</fb>
    <v>6</v>
  </rv>
  <rv s="3">
    <fb>45758</fb>
    <v>5</v>
  </rv>
  <rv s="3">
    <fb>22828.55</fb>
    <v>6</v>
  </rv>
  <rv s="3">
    <fb>45762</fb>
    <v>5</v>
  </rv>
  <rv s="3">
    <fb>23328.55</fb>
    <v>6</v>
  </rv>
  <rv s="3">
    <fb>45763</fb>
    <v>5</v>
  </rv>
  <rv s="3">
    <fb>23437.200000000001</fb>
    <v>6</v>
  </rv>
  <rv s="3">
    <fb>45764</fb>
    <v>5</v>
  </rv>
  <rv s="3">
    <fb>23851.65</fb>
    <v>6</v>
  </rv>
  <rv s="3">
    <fb>45768</fb>
    <v>5</v>
  </rv>
  <rv s="3">
    <fb>24125.55</fb>
    <v>6</v>
  </rv>
  <rv s="3">
    <fb>45769</fb>
    <v>5</v>
  </rv>
  <rv s="3">
    <fb>24167.25</fb>
    <v>6</v>
  </rv>
  <rv s="3">
    <fb>45770</fb>
    <v>5</v>
  </rv>
  <rv s="3">
    <fb>24328.95</fb>
    <v>6</v>
  </rv>
  <rv s="3">
    <fb>45771</fb>
    <v>5</v>
  </rv>
  <rv s="3">
    <fb>24246.7</fb>
    <v>6</v>
  </rv>
  <rv s="3">
    <fb>45772</fb>
    <v>5</v>
  </rv>
  <rv s="3">
    <fb>24039.35</fb>
    <v>6</v>
  </rv>
  <rv s="3">
    <fb>45775</fb>
    <v>5</v>
  </rv>
  <rv s="3">
    <fb>24328.5</fb>
    <v>6</v>
  </rv>
  <rv s="3">
    <fb>45776</fb>
    <v>5</v>
  </rv>
  <rv s="3">
    <fb>24335.95</fb>
    <v>6</v>
  </rv>
  <rv s="3">
    <fb>45777</fb>
    <v>5</v>
  </rv>
  <rv s="3">
    <fb>24334.2</fb>
    <v>6</v>
  </rv>
  <rv s="3">
    <fb>45779</fb>
    <v>5</v>
  </rv>
  <rv s="3">
    <fb>24346.7</fb>
    <v>6</v>
  </rv>
  <rv s="3">
    <fb>45782</fb>
    <v>5</v>
  </rv>
  <rv s="3">
    <fb>24461.15</fb>
    <v>6</v>
  </rv>
  <rv s="3">
    <fb>45783</fb>
    <v>5</v>
  </rv>
  <rv s="3">
    <fb>24379.599999999999</fb>
    <v>6</v>
  </rv>
  <rv s="3">
    <fb>45784</fb>
    <v>5</v>
  </rv>
  <rv s="3">
    <fb>24414.400000000001</fb>
    <v>6</v>
  </rv>
  <rv s="3">
    <fb>45785</fb>
    <v>5</v>
  </rv>
  <rv s="3">
    <fb>24273.8</fb>
    <v>6</v>
  </rv>
  <rv s="3">
    <fb>45786</fb>
    <v>5</v>
  </rv>
  <rv s="3">
    <fb>24008</fb>
    <v>6</v>
  </rv>
  <rv s="3">
    <fb>45789</fb>
    <v>5</v>
  </rv>
  <rv s="3">
    <fb>24924.7</fb>
    <v>6</v>
  </rv>
  <rv s="3">
    <fb>45790</fb>
    <v>5</v>
  </rv>
  <rv s="3">
    <fb>24578.35</fb>
    <v>6</v>
  </rv>
  <rv s="3">
    <fb>45791</fb>
    <v>5</v>
  </rv>
  <rv s="3">
    <fb>24666.9</fb>
    <v>6</v>
  </rv>
  <rv s="3">
    <fb>45792</fb>
    <v>5</v>
  </rv>
  <rv s="3">
    <fb>25062.1</fb>
    <v>6</v>
  </rv>
  <rv s="3">
    <fb>45793</fb>
    <v>5</v>
  </rv>
  <rv s="3">
    <fb>25019.8</fb>
    <v>6</v>
  </rv>
  <rv s="3">
    <fb>45796</fb>
    <v>5</v>
  </rv>
  <rv s="3">
    <fb>24945.45</fb>
    <v>6</v>
  </rv>
  <rv s="3">
    <fb>45797</fb>
    <v>5</v>
  </rv>
  <rv s="3">
    <fb>24683.9</fb>
    <v>6</v>
  </rv>
  <rv s="3">
    <fb>45798</fb>
    <v>5</v>
  </rv>
  <rv s="3">
    <fb>24813.45</fb>
    <v>6</v>
  </rv>
  <rv s="3">
    <fb>45799</fb>
    <v>5</v>
  </rv>
  <rv s="3">
    <fb>24609.7</fb>
    <v>6</v>
  </rv>
  <rv s="3">
    <fb>45800</fb>
    <v>5</v>
  </rv>
  <rv s="3">
    <fb>24853.15</fb>
    <v>6</v>
  </rv>
  <rv s="3">
    <fb>45803</fb>
    <v>5</v>
  </rv>
  <rv s="3">
    <fb>25001.15</fb>
    <v>6</v>
  </rv>
  <rv s="3">
    <fb>45804</fb>
    <v>5</v>
  </rv>
  <rv s="3">
    <fb>24826.2</fb>
    <v>6</v>
  </rv>
  <rv s="3">
    <fb>45805</fb>
    <v>5</v>
  </rv>
  <rv s="3">
    <fb>24752.45</fb>
    <v>6</v>
  </rv>
  <rv s="3">
    <fb>45806</fb>
    <v>5</v>
  </rv>
  <rv s="3">
    <fb>24833.599999999999</fb>
    <v>6</v>
  </rv>
  <rv s="3">
    <fb>45807</fb>
    <v>5</v>
  </rv>
  <rv s="3">
    <fb>24750.7</fb>
    <v>6</v>
  </rv>
  <rv s="3">
    <fb>45810</fb>
    <v>5</v>
  </rv>
  <rv s="3">
    <fb>24716.6</fb>
    <v>6</v>
  </rv>
  <rv s="3">
    <fb>45811</fb>
    <v>5</v>
  </rv>
  <rv s="3">
    <fb>24542.5</fb>
    <v>6</v>
  </rv>
  <rv s="3">
    <fb>45812</fb>
    <v>5</v>
  </rv>
  <rv s="3">
    <fb>24620.2</fb>
    <v>6</v>
  </rv>
  <rv s="3">
    <fb>45813</fb>
    <v>5</v>
  </rv>
  <rv s="3">
    <fb>24750.9</fb>
    <v>6</v>
  </rv>
  <rv s="3">
    <fb>45814</fb>
    <v>5</v>
  </rv>
  <rv s="3">
    <fb>25003.05</fb>
    <v>6</v>
  </rv>
  <rv s="3">
    <fb>45817</fb>
    <v>5</v>
  </rv>
  <rv s="3">
    <fb>25103.200000000001</fb>
    <v>6</v>
  </rv>
  <rv s="3">
    <fb>45818</fb>
    <v>5</v>
  </rv>
  <rv s="3">
    <fb>25104.25</fb>
    <v>6</v>
  </rv>
  <rv s="3">
    <fb>45819</fb>
    <v>5</v>
  </rv>
  <rv s="3">
    <fb>25141.4</fb>
    <v>6</v>
  </rv>
  <rv s="3">
    <fb>45820</fb>
    <v>5</v>
  </rv>
  <rv s="3">
    <fb>24888.2</fb>
    <v>6</v>
  </rv>
  <rv s="3">
    <fb>45821</fb>
    <v>5</v>
  </rv>
  <rv s="3">
    <fb>24718.6</fb>
    <v>6</v>
  </rv>
  <rv s="3">
    <fb>45824</fb>
    <v>5</v>
  </rv>
  <rv s="3">
    <fb>24946.5</fb>
    <v>6</v>
  </rv>
  <rv s="3">
    <fb>45825</fb>
    <v>5</v>
  </rv>
  <rv s="3">
    <fb>24853.4</fb>
    <v>6</v>
  </rv>
  <rv s="3">
    <fb>45826</fb>
    <v>5</v>
  </rv>
  <rv s="3">
    <fb>24812.05</fb>
    <v>6</v>
  </rv>
  <rv s="3">
    <fb>45827</fb>
    <v>5</v>
  </rv>
  <rv s="3">
    <fb>24793.25</fb>
    <v>6</v>
  </rv>
  <rv s="3">
    <fb>45828</fb>
    <v>5</v>
  </rv>
  <rv s="3">
    <fb>25112.400000000001</fb>
    <v>6</v>
  </rv>
  <rv s="3">
    <fb>45831</fb>
    <v>5</v>
  </rv>
  <rv s="3">
    <fb>24971.9</fb>
    <v>6</v>
  </rv>
  <rv s="3">
    <fb>45832</fb>
    <v>5</v>
  </rv>
  <rv s="3">
    <fb>25044.35</fb>
    <v>6</v>
  </rv>
  <rv s="3">
    <fb>45833</fb>
    <v>5</v>
  </rv>
  <rv s="3">
    <fb>25244.75</fb>
    <v>6</v>
  </rv>
  <rv s="3">
    <fb>45834</fb>
    <v>5</v>
  </rv>
  <rv s="3">
    <fb>25549</fb>
    <v>6</v>
  </rv>
  <rv s="3">
    <fb>45835</fb>
    <v>5</v>
  </rv>
  <rv s="3">
    <fb>25637.8</fb>
    <v>6</v>
  </rv>
  <rv s="3">
    <fb>45838</fb>
    <v>5</v>
  </rv>
  <rv s="3">
    <fb>25517.05</fb>
    <v>6</v>
  </rv>
  <rv s="3">
    <fb>45839</fb>
    <v>5</v>
  </rv>
  <rv s="3">
    <fb>25541.8</fb>
    <v>6</v>
  </rv>
  <rv s="3">
    <fb>45840</fb>
    <v>5</v>
  </rv>
  <rv s="3">
    <fb>25453.4</fb>
    <v>6</v>
  </rv>
  <rv s="3">
    <fb>45841</fb>
    <v>5</v>
  </rv>
  <rv s="3">
    <fb>25405.3</fb>
    <v>6</v>
  </rv>
  <rv s="3">
    <fb>45842</fb>
    <v>5</v>
  </rv>
  <rv s="3">
    <fb>25461</fb>
    <v>6</v>
  </rv>
  <rv s="3">
    <fb>45845</fb>
    <v>5</v>
  </rv>
  <rv s="3">
    <fb>25461.3</fb>
    <v>6</v>
  </rv>
  <rv s="3">
    <fb>45846</fb>
    <v>5</v>
  </rv>
  <rv s="3">
    <fb>25522.5</fb>
    <v>6</v>
  </rv>
  <rv s="3">
    <fb>45847</fb>
    <v>5</v>
  </rv>
  <rv s="3">
    <fb>25476.1</fb>
    <v>6</v>
  </rv>
  <rv s="3">
    <fb>45848</fb>
    <v>5</v>
  </rv>
  <rv s="3">
    <fb>25355.25</fb>
    <v>6</v>
  </rv>
  <rv s="3">
    <fb>45849</fb>
    <v>5</v>
  </rv>
  <rv s="3">
    <fb>25149.85</fb>
    <v>6</v>
  </rv>
  <rv s="3">
    <fb>45852</fb>
    <v>5</v>
  </rv>
  <rv s="3">
    <fb>25082.3</fb>
    <v>6</v>
  </rv>
  <rv s="3">
    <fb>45853</fb>
    <v>5</v>
  </rv>
  <rv s="3">
    <fb>25195.8</fb>
    <v>6</v>
  </rv>
  <rv s="3">
    <fb>45854</fb>
    <v>5</v>
  </rv>
  <rv s="3">
    <fb>25212.05</fb>
    <v>6</v>
  </rv>
  <rv s="3">
    <fb>45855</fb>
    <v>5</v>
  </rv>
  <rv s="3">
    <fb>25111.45</fb>
    <v>6</v>
  </rv>
  <rv s="3">
    <fb>45856</fb>
    <v>5</v>
  </rv>
  <rv s="3">
    <fb>24968.400000000001</fb>
    <v>6</v>
  </rv>
  <rv s="3">
    <fb>45859</fb>
    <v>5</v>
  </rv>
  <rv s="3">
    <fb>25090.7</fb>
    <v>6</v>
  </rv>
  <rv s="3">
    <fb>45860</fb>
    <v>5</v>
  </rv>
  <rv s="3">
    <fb>25060.9</fb>
    <v>6</v>
  </rv>
  <rv s="3">
    <fb>45861</fb>
    <v>5</v>
  </rv>
  <rv s="3">
    <fb>25219.9</fb>
    <v>6</v>
  </rv>
  <rv s="3">
    <fb>45862</fb>
    <v>5</v>
  </rv>
  <rv s="3">
    <fb>45863</fb>
    <v>5</v>
  </rv>
  <rv s="3">
    <fb>24837</fb>
    <v>6</v>
  </rv>
  <rv s="3">
    <fb>45866</fb>
    <v>5</v>
  </rv>
  <rv s="3">
    <fb>24680.9</fb>
    <v>6</v>
  </rv>
  <rv s="3">
    <fb>45867</fb>
    <v>5</v>
  </rv>
  <rv s="3">
    <fb>24821.1</fb>
    <v>6</v>
  </rv>
  <rv s="3">
    <fb>45868</fb>
    <v>5</v>
  </rv>
  <rv s="3">
    <fb>24855.05</fb>
    <v>6</v>
  </rv>
  <rv s="3">
    <fb>45869</fb>
    <v>5</v>
  </rv>
  <rv s="3">
    <fb>24768.35</fb>
    <v>6</v>
  </rv>
  <rv s="3">
    <fb>45870</fb>
    <v>5</v>
  </rv>
  <rv s="3">
    <fb>24565.35</fb>
    <v>6</v>
  </rv>
  <rv s="3">
    <fb>45873</fb>
    <v>5</v>
  </rv>
  <rv s="3">
    <fb>24722.75</fb>
    <v>6</v>
  </rv>
  <rv s="3">
    <fb>45874</fb>
    <v>5</v>
  </rv>
  <rv s="3">
    <fb>24649.55</fb>
    <v>6</v>
  </rv>
  <rv s="3">
    <fb>45875</fb>
    <v>5</v>
  </rv>
  <rv s="3">
    <fb>24574.2</fb>
    <v>6</v>
  </rv>
  <rv s="3">
    <fb>45876</fb>
    <v>5</v>
  </rv>
  <rv s="3">
    <fb>24596.15</fb>
    <v>6</v>
  </rv>
  <rv s="3">
    <fb>45877</fb>
    <v>5</v>
  </rv>
  <rv s="3">
    <fb>24363.3</fb>
    <v>6</v>
  </rv>
  <rv s="3">
    <fb>45880</fb>
    <v>5</v>
  </rv>
  <rv s="3">
    <fb>24585.05</fb>
    <v>6</v>
  </rv>
  <rv s="3">
    <fb>45881</fb>
    <v>5</v>
  </rv>
  <rv s="3">
    <fb>24487.4</fb>
    <v>6</v>
  </rv>
  <rv s="3">
    <fb>45882</fb>
    <v>5</v>
  </rv>
  <rv s="3">
    <fb>24619.35</fb>
    <v>6</v>
  </rv>
  <rv s="3">
    <fb>45883</fb>
    <v>5</v>
  </rv>
  <rv s="3">
    <fb>24631.3</fb>
    <v>6</v>
  </rv>
  <rv s="3">
    <fb>45887</fb>
    <v>5</v>
  </rv>
  <rv s="3">
    <fb>24876.95</fb>
    <v>6</v>
  </rv>
  <rv s="3">
    <fb>45888</fb>
    <v>5</v>
  </rv>
  <rv s="3">
    <fb>24980.65</fb>
    <v>6</v>
  </rv>
  <rv s="3">
    <fb>45889</fb>
    <v>5</v>
  </rv>
  <rv s="3">
    <fb>25050.55</fb>
    <v>6</v>
  </rv>
  <rv s="3">
    <fb>45890</fb>
    <v>5</v>
  </rv>
  <rv s="3">
    <fb>25083.75</fb>
    <v>6</v>
  </rv>
  <rv s="3">
    <fb>45891</fb>
    <v>5</v>
  </rv>
  <rv s="3">
    <fb>24870.1</fb>
    <v>6</v>
  </rv>
  <rv s="3">
    <fb>45894</fb>
    <v>5</v>
  </rv>
  <rv s="3">
    <fb>24967.75</fb>
    <v>6</v>
  </rv>
  <rv s="3">
    <fb>45895</fb>
    <v>5</v>
  </rv>
  <rv s="3">
    <fb>24712.05</fb>
    <v>6</v>
  </rv>
  <rv s="3">
    <fb>45897</fb>
    <v>5</v>
  </rv>
  <rv s="3">
    <fb>24500.9</fb>
    <v>6</v>
  </rv>
  <rv s="3">
    <fb>45898</fb>
    <v>5</v>
  </rv>
  <rv s="3">
    <fb>24426.85</fb>
    <v>6</v>
  </rv>
  <rv s="3">
    <fb>45901</fb>
    <v>5</v>
  </rv>
  <rv s="3">
    <fb>24625.05</fb>
    <v>6</v>
  </rv>
  <rv s="3">
    <fb>45902</fb>
    <v>5</v>
  </rv>
  <rv s="3">
    <fb>24579.599999999999</fb>
    <v>6</v>
  </rv>
  <rv s="3">
    <fb>45903</fb>
    <v>5</v>
  </rv>
  <rv s="3">
    <fb>24715.05</fb>
    <v>6</v>
  </rv>
  <rv s="3">
    <fb>45904</fb>
    <v>5</v>
  </rv>
  <rv s="3">
    <fb>24734.3</fb>
    <v>6</v>
  </rv>
  <rv s="3">
    <fb>45905</fb>
    <v>5</v>
  </rv>
  <rv s="3">
    <fb>24741</fb>
    <v>6</v>
  </rv>
  <rv s="3">
    <fb>45908</fb>
    <v>5</v>
  </rv>
  <rv s="3">
    <fb>24773.15</fb>
    <v>6</v>
  </rv>
  <rv s="3">
    <fb>45909</fb>
    <v>5</v>
  </rv>
  <rv s="3">
    <fb>24868.6</fb>
    <v>6</v>
  </rv>
  <rv s="3">
    <fb>45910</fb>
    <v>5</v>
  </rv>
  <rv s="3">
    <fb>24973.1</fb>
    <v>6</v>
  </rv>
  <rv s="3">
    <fb>45911</fb>
    <v>5</v>
  </rv>
  <rv s="3">
    <fb>25005.5</fb>
    <v>6</v>
  </rv>
  <rv s="3">
    <fb>45912</fb>
    <v>5</v>
  </rv>
  <rv s="3">
    <fb>25114</fb>
    <v>6</v>
  </rv>
  <rv s="3">
    <fb>45915</fb>
    <v>5</v>
  </rv>
  <rv s="3">
    <fb>25069.200000000001</fb>
    <v>6</v>
  </rv>
  <rv s="3">
    <fb>45916</fb>
    <v>5</v>
  </rv>
  <rv s="3">
    <fb>25239.1</fb>
    <v>6</v>
  </rv>
  <rv s="3">
    <fb>45917</fb>
    <v>5</v>
  </rv>
  <rv s="3">
    <fb>25330.25</fb>
    <v>6</v>
  </rv>
  <rv s="3">
    <fb>45918</fb>
    <v>5</v>
  </rv>
  <rv s="3">
    <fb>25423.599999999999</fb>
    <v>6</v>
  </rv>
  <rv s="3">
    <fb>45919</fb>
    <v>5</v>
  </rv>
  <rv s="3">
    <fb>25327.05</fb>
    <v>6</v>
  </rv>
  <rv s="3">
    <fb>45922</fb>
    <v>5</v>
  </rv>
  <rv s="3">
    <fb>25202.35</fb>
    <v>6</v>
  </rv>
  <rv s="3">
    <fb>45923</fb>
    <v>5</v>
  </rv>
  <rv s="3">
    <fb>25169.5</fb>
    <v>6</v>
  </rv>
  <rv s="3">
    <fb>45924</fb>
    <v>5</v>
  </rv>
  <rv s="3">
    <fb>25056.9</fb>
    <v>6</v>
  </rv>
  <rv s="3">
    <fb>45925</fb>
    <v>5</v>
  </rv>
  <rv s="3">
    <fb>24890.85</fb>
    <v>6</v>
  </rv>
  <rv s="3">
    <fb>45926</fb>
    <v>5</v>
  </rv>
  <rv s="3">
    <fb>24654.7</fb>
    <v>6</v>
  </rv>
  <rv s="3">
    <fb>45929</fb>
    <v>5</v>
  </rv>
  <rv s="3">
    <fb>24634.9</fb>
    <v>6</v>
  </rv>
  <rv s="3">
    <fb>45930</fb>
    <v>5</v>
  </rv>
  <rv s="3">
    <fb>24611.1</fb>
    <v>6</v>
  </rv>
  <rv s="3">
    <fb>45931</fb>
    <v>5</v>
  </rv>
  <rv s="3">
    <fb>24836.3</fb>
    <v>6</v>
  </rv>
  <rv s="3">
    <fb>45933</fb>
    <v>5</v>
  </rv>
  <rv s="3">
    <fb>24894.25</fb>
    <v>6</v>
  </rv>
  <rv s="3">
    <fb>45936</fb>
    <v>5</v>
  </rv>
  <rv s="3">
    <fb>25077.65</fb>
    <v>6</v>
  </rv>
  <rv s="3">
    <fb>45937</fb>
    <v>5</v>
  </rv>
  <rv s="3">
    <fb>25108.3</fb>
    <v>6</v>
  </rv>
  <rv s="3">
    <fb>45938</fb>
    <v>5</v>
  </rv>
  <rv s="3">
    <fb>25046.15</fb>
    <v>6</v>
  </rv>
  <rv s="3">
    <fb>45939</fb>
    <v>5</v>
  </rv>
  <rv s="3">
    <fb>25181.8</fb>
    <v>6</v>
  </rv>
  <rv s="3">
    <fb>45940</fb>
    <v>5</v>
  </rv>
  <rv s="3">
    <fb>25285.35</fb>
    <v>6</v>
  </rv>
  <rv s="3">
    <fb>45943</fb>
    <v>5</v>
  </rv>
  <rv s="3">
    <fb>25227.35</fb>
    <v>6</v>
  </rv>
  <rv s="3">
    <fb>45944</fb>
    <v>5</v>
  </rv>
  <rv s="3">
    <fb>25145.5</fb>
    <v>6</v>
  </rv>
  <rv s="3">
    <fb>45945</fb>
    <v>5</v>
  </rv>
  <rv s="3">
    <fb>25323.55</fb>
    <v>6</v>
  </rv>
  <rv s="3">
    <fb>45946</fb>
    <v>5</v>
  </rv>
  <rv s="3">
    <fb>25585.3</fb>
    <v>6</v>
  </rv>
  <rv s="3">
    <fb>45947</fb>
    <v>5</v>
  </rv>
  <rv s="3">
    <fb>25709.85</fb>
    <v>6</v>
  </rv>
  <rv s="3">
    <fb>45950</fb>
    <v>5</v>
  </rv>
  <rv s="3">
    <fb>25843.15</fb>
    <v>6</v>
  </rv>
  <rv s="3">
    <fb>45951</fb>
    <v>5</v>
  </rv>
  <rv s="3">
    <fb>25868.6</fb>
    <v>6</v>
  </rv>
  <rv s="3">
    <fb>45953</fb>
    <v>5</v>
  </rv>
  <rv s="3">
    <fb>25891.4</fb>
    <v>6</v>
  </rv>
  <rv s="3">
    <fb>45954</fb>
    <v>5</v>
  </rv>
  <rv s="3">
    <fb>25795.15</fb>
    <v>6</v>
  </rv>
  <rv s="3">
    <fb>45957</fb>
    <v>5</v>
  </rv>
  <rv s="3">
    <fb>25966.05</fb>
    <v>6</v>
  </rv>
  <rv s="3">
    <fb>45958</fb>
    <v>5</v>
  </rv>
  <rv s="3">
    <fb>25936.2</fb>
    <v>6</v>
  </rv>
  <rv s="3">
    <fb>45959</fb>
    <v>5</v>
  </rv>
  <rv s="3">
    <fb>26053.9</fb>
    <v>6</v>
  </rv>
  <rv s="3">
    <fb>45960</fb>
    <v>5</v>
  </rv>
  <rv s="3">
    <fb>25877.85</fb>
    <v>6</v>
  </rv>
  <rv s="3">
    <fb>45961</fb>
    <v>5</v>
  </rv>
  <rv s="3">
    <fb>25722.1</fb>
    <v>6</v>
  </rv>
  <rv s="3">
    <fb>45964</fb>
    <v>5</v>
  </rv>
  <rv s="3">
    <fb>25763.35</fb>
    <v>6</v>
  </rv>
  <rv s="3">
    <fb>45965</fb>
    <v>5</v>
  </rv>
  <rv s="3">
    <fb>25597.65</fb>
    <v>6</v>
  </rv>
  <rv s="3">
    <fb>45967</fb>
    <v>5</v>
  </rv>
  <rv s="3">
    <fb>25509.7</fb>
    <v>6</v>
  </rv>
  <rv s="3">
    <fb>45968</fb>
    <v>5</v>
  </rv>
  <rv s="3">
    <fb>25492.3</fb>
    <v>6</v>
  </rv>
  <rv s="3">
    <fb>45971</fb>
    <v>5</v>
  </rv>
  <rv s="3">
    <fb>25574.35</fb>
    <v>6</v>
  </rv>
  <rv s="3">
    <fb>45972</fb>
    <v>5</v>
  </rv>
  <rv s="3">
    <fb>25694.95</fb>
    <v>6</v>
  </rv>
  <rv s="3">
    <fb>45973</fb>
    <v>5</v>
  </rv>
  <rv s="3">
    <fb>25875.8</fb>
    <v>6</v>
  </rv>
  <rv s="3">
    <fb>45974</fb>
    <v>5</v>
  </rv>
  <rv s="3">
    <fb>25879.15</fb>
    <v>6</v>
  </rv>
  <rv s="3">
    <fb>45975</fb>
    <v>5</v>
  </rv>
  <rv s="3">
    <fb>25910.05</fb>
    <v>6</v>
  </rv>
  <rv s="3">
    <fb>45978</fb>
    <v>5</v>
  </rv>
  <rv s="3">
    <fb>26013.45</fb>
    <v>6</v>
  </rv>
  <rv s="3">
    <fb>45979</fb>
    <v>5</v>
  </rv>
  <rv s="3">
    <fb>45980</fb>
    <v>5</v>
  </rv>
  <rv s="3">
    <fb>26052.65</fb>
    <v>6</v>
  </rv>
  <rv s="3">
    <fb>45981</fb>
    <v>5</v>
  </rv>
  <rv s="3">
    <fb>26192.15</fb>
    <v>6</v>
  </rv>
  <rv s="3">
    <fb>45982</fb>
    <v>5</v>
  </rv>
  <rv s="3">
    <fb>26068.15</fb>
    <v>6</v>
  </rv>
  <rv s="3">
    <fb>45985</fb>
    <v>5</v>
  </rv>
  <rv s="3">
    <fb>25959.5</fb>
    <v>6</v>
  </rv>
  <rv s="3">
    <fb>45986</fb>
    <v>5</v>
  </rv>
  <rv s="3">
    <fb>25884.799999999999</fb>
    <v>6</v>
  </rv>
  <rv s="3">
    <fb>45987</fb>
    <v>5</v>
  </rv>
  <rv s="3">
    <fb>26205.3</fb>
    <v>6</v>
  </rv>
  <rv s="3">
    <fb>45988</fb>
    <v>5</v>
  </rv>
  <rv s="3">
    <fb>26215.55</fb>
    <v>6</v>
  </rv>
  <rv s="3">
    <fb>45989</fb>
    <v>5</v>
  </rv>
  <rv s="3">
    <fb>26202.95</fb>
    <v>6</v>
  </rv>
  <rv s="3">
    <fb>45992</fb>
    <v>5</v>
  </rv>
  <rv s="3">
    <fb>26175.75</fb>
    <v>6</v>
  </rv>
  <rv s="3">
    <fb>45993</fb>
    <v>5</v>
  </rv>
  <rv s="3">
    <fb>26032.2</fb>
    <v>6</v>
  </rv>
  <rv s="3">
    <fb>45994</fb>
    <v>5</v>
  </rv>
  <rv s="3">
    <fb>25986</fb>
    <v>6</v>
  </rv>
  <rv s="3">
    <fb>45995</fb>
    <v>5</v>
  </rv>
  <rv s="3">
    <fb>26033.75</fb>
    <v>6</v>
  </rv>
  <rv s="3">
    <fb>45996</fb>
    <v>5</v>
  </rv>
  <rv s="3">
    <fb>26186.45</fb>
    <v>6</v>
  </rv>
  <rv s="3">
    <fb>45999</fb>
    <v>5</v>
  </rv>
  <rv s="3">
    <fb>25960.55</fb>
    <v>6</v>
  </rv>
  <rv s="3">
    <fb>46000</fb>
    <v>5</v>
  </rv>
  <rv s="3">
    <fb>25839.65</fb>
    <v>6</v>
  </rv>
  <rv s="3">
    <fb>46001</fb>
    <v>5</v>
  </rv>
  <rv s="3">
    <fb>25758</fb>
    <v>6</v>
  </rv>
  <rv s="3">
    <fb>46002</fb>
    <v>5</v>
  </rv>
  <rv s="3">
    <fb>25898.55</fb>
    <v>6</v>
  </rv>
  <rv s="3">
    <fb>46003</fb>
    <v>5</v>
  </rv>
  <rv s="3">
    <fb>26046.95</fb>
    <v>6</v>
  </rv>
  <rv s="3">
    <fb>46006</fb>
    <v>5</v>
  </rv>
  <rv s="3">
    <fb>26027.3</fb>
    <v>6</v>
  </rv>
  <rv s="3">
    <fb>46007</fb>
    <v>5</v>
  </rv>
  <rv s="3">
    <fb>25860.1</fb>
    <v>6</v>
  </rv>
  <rv s="3">
    <fb>46008</fb>
    <v>5</v>
  </rv>
  <rv s="3">
    <fb>25818.55</fb>
    <v>6</v>
  </rv>
  <rv s="3">
    <fb>46009</fb>
    <v>5</v>
  </rv>
  <rv s="3">
    <fb>25815.55</fb>
    <v>6</v>
  </rv>
  <rv s="3">
    <fb>46010</fb>
    <v>5</v>
  </rv>
  <rv s="3">
    <fb>25966.400000000001</fb>
    <v>6</v>
  </rv>
  <rv s="3">
    <fb>46013</fb>
    <v>5</v>
  </rv>
  <rv s="3">
    <fb>26172.400000000001</fb>
    <v>6</v>
  </rv>
  <rv s="3">
    <fb>46014</fb>
    <v>5</v>
  </rv>
  <rv s="3">
    <fb>26177.15</fb>
    <v>6</v>
  </rv>
  <rv s="3">
    <fb>46015</fb>
    <v>5</v>
  </rv>
  <rv s="3">
    <fb>26142.1</fb>
    <v>6</v>
  </rv>
  <rv s="3">
    <fb>46017</fb>
    <v>5</v>
  </rv>
  <rv s="3">
    <fb>26042.3</fb>
    <v>6</v>
  </rv>
  <rv s="3">
    <fb>46020</fb>
    <v>5</v>
  </rv>
  <rv s="3">
    <fb>25942.1</fb>
    <v>6</v>
  </rv>
  <rv s="3">
    <fb>46021</fb>
    <v>5</v>
  </rv>
  <rv s="3">
    <fb>25938.85</fb>
    <v>6</v>
  </rv>
  <rv s="3">
    <fb>46022</fb>
    <v>5</v>
  </rv>
  <rv s="3">
    <fb>26129.599999999999</fb>
    <v>6</v>
  </rv>
  <rv s="3">
    <fb>46023</fb>
    <v>5</v>
  </rv>
  <rv s="3">
    <fb>26146.55</fb>
    <v>6</v>
  </rv>
  <rv s="3">
    <fb>46024</fb>
    <v>5</v>
  </rv>
  <rv s="3">
    <fb>26328.55</fb>
    <v>6</v>
  </rv>
  <rv s="3">
    <fb>46027</fb>
    <v>5</v>
  </rv>
  <rv s="3">
    <fb>26250.3</fb>
    <v>6</v>
  </rv>
  <rv s="3">
    <fb>46028</fb>
    <v>5</v>
  </rv>
  <rv s="3">
    <fb>26178.7</fb>
    <v>6</v>
  </rv>
  <rv s="3">
    <fb>46029</fb>
    <v>5</v>
  </rv>
  <rv s="3">
    <fb>26140.75</fb>
    <v>6</v>
  </rv>
  <rv s="3">
    <fb>46030</fb>
    <v>5</v>
  </rv>
  <rv s="3">
    <fb>25876.85</fb>
    <v>6</v>
  </rv>
  <rv s="3">
    <fb>46031</fb>
    <v>5</v>
  </rv>
  <rv s="3">
    <fb>25683.3</fb>
    <v>6</v>
  </rv>
  <rv s="3">
    <fb>46034</fb>
    <v>5</v>
  </rv>
  <rv s="3">
    <fb>25790.25</fb>
    <v>6</v>
  </rv>
  <rv s="3">
    <fb>46035</fb>
    <v>5</v>
  </rv>
  <rv s="3">
    <fb>25732.3</fb>
    <v>6</v>
  </rv>
  <rv s="3">
    <fb>46036</fb>
    <v>5</v>
  </rv>
  <rv s="3">
    <fb>25665.599999999999</fb>
    <v>6</v>
  </rv>
  <rv s="3">
    <fb>46038</fb>
    <v>5</v>
  </rv>
  <rv s="3">
    <fb>25694.35</fb>
    <v>6</v>
  </rv>
  <rv s="3">
    <fb>46041</fb>
    <v>5</v>
  </rv>
  <rv s="3">
    <fb>25585.5</fb>
    <v>6</v>
  </rv>
  <rv s="3">
    <fb>46042</fb>
    <v>5</v>
  </rv>
  <rv s="3">
    <fb>25232.5</fb>
    <v>6</v>
  </rv>
  <rv s="3">
    <fb>46043</fb>
    <v>5</v>
  </rv>
  <rv s="3">
    <fb>25157.5</fb>
    <v>6</v>
  </rv>
  <rv s="3">
    <fb>46044</fb>
    <v>5</v>
  </rv>
  <rv s="3">
    <fb>25289.9</fb>
    <v>6</v>
  </rv>
  <rv s="3">
    <fb>46045</fb>
    <v>5</v>
  </rv>
  <rv s="3">
    <fb>25048.65</fb>
    <v>6</v>
  </rv>
  <rv s="3">
    <fb>46049</fb>
    <v>5</v>
  </rv>
  <rv s="3">
    <fb>25175.4</fb>
    <v>6</v>
  </rv>
  <rv s="3">
    <fb>46050</fb>
    <v>5</v>
  </rv>
  <rv s="3">
    <fb>25342.75</fb>
    <v>6</v>
  </rv>
  <rv s="3">
    <fb>46051</fb>
    <v>5</v>
  </rv>
  <rv s="3">
    <fb>25418.9</fb>
    <v>6</v>
  </rv>
  <rv s="3">
    <fb>46052</fb>
    <v>5</v>
  </rv>
  <rv s="3">
    <fb>25320.65</fb>
    <v>6</v>
  </rv>
  <rv s="3">
    <fb>46054</fb>
    <v>5</v>
  </rv>
  <rv s="3">
    <fb>24825.45</fb>
    <v>6</v>
  </rv>
  <rv s="3">
    <fb>46055</fb>
    <v>5</v>
  </rv>
  <rv s="3">
    <fb>25088.400000000001</fb>
    <v>6</v>
  </rv>
  <rv s="3">
    <fb>46056</fb>
    <v>5</v>
  </rv>
  <rv s="3">
    <fb>25727.55</fb>
    <v>6</v>
  </rv>
  <rv s="3">
    <fb>46057</fb>
    <v>5</v>
  </rv>
  <rv s="3">
    <fb>25776</fb>
    <v>6</v>
  </rv>
  <rv s="3">
    <fb>46058</fb>
    <v>5</v>
  </rv>
  <rv s="3">
    <fb>25642.799999999999</fb>
    <v>6</v>
  </rv>
  <rv s="3">
    <fb>46059</fb>
    <v>5</v>
  </rv>
  <rv s="3">
    <fb>25693.7</fb>
    <v>6</v>
  </rv>
  <rv s="3">
    <fb>46062</fb>
    <v>5</v>
  </rv>
  <rv s="3">
    <fb>25867.3</fb>
    <v>6</v>
  </rv>
  <rv s="3">
    <fb>46063</fb>
    <v>5</v>
  </rv>
  <rv s="3">
    <fb>25935.15</fb>
    <v>6</v>
  </rv>
  <rv s="3">
    <fb>46064</fb>
    <v>5</v>
  </rv>
  <rv s="3">
    <fb>25953.85</fb>
    <v>6</v>
  </rv>
  <rv s="3">
    <fb>46065</fb>
    <v>5</v>
  </rv>
  <rv s="3">
    <fb>25807.200000000001</fb>
    <v>6</v>
  </rv>
  <rv s="3">
    <fb>46066</fb>
    <v>5</v>
  </rv>
  <rv s="3">
    <fb>25471.1</fb>
    <v>6</v>
  </rv>
  <rv s="3">
    <fb>46069</fb>
    <v>5</v>
  </rv>
  <rv s="3">
    <fb>25682.75</fb>
    <v>6</v>
  </rv>
  <rv s="3">
    <fb>46070</fb>
    <v>5</v>
  </rv>
  <rv s="3">
    <fb>25725.4</fb>
    <v>6</v>
  </rv>
  <rv s="3">
    <fb>46071</fb>
    <v>5</v>
  </rv>
  <rv s="3">
    <fb>25819.35</fb>
    <v>6</v>
  </rv>
  <rv s="3">
    <fb>46072</fb>
    <v>5</v>
  </rv>
  <rv s="3">
    <fb>25454.35</fb>
    <v>6</v>
  </rv>
  <rv s="3">
    <fb>46073</fb>
    <v>5</v>
  </rv>
  <rv s="3">
    <fb>25571.25</fb>
    <v>6</v>
  </rv>
  <rv s="3">
    <fb>46076</fb>
    <v>5</v>
  </rv>
  <rv s="3">
    <fb>25713</fb>
    <v>6</v>
  </rv>
  <rv s="3">
    <fb>46077</fb>
    <v>5</v>
  </rv>
  <rv s="3">
    <fb>25424.65</fb>
    <v>6</v>
  </rv>
  <rv s="3">
    <fb>46078</fb>
    <v>5</v>
  </rv>
  <rv s="3">
    <fb>25482.5</fb>
    <v>6</v>
  </rv>
  <rv s="3">
    <fb>46079</fb>
    <v>5</v>
  </rv>
  <rv s="3">
    <fb>25496.55</fb>
    <v>6</v>
  </rv>
  <rv s="3">
    <fb>46080</fb>
    <v>5</v>
  </rv>
  <rv s="3">
    <fb>25178.65</fb>
    <v>6</v>
  </rv>
  <rv s="3">
    <fb>46083</fb>
    <v>5</v>
  </rv>
  <rv s="3">
    <fb>24865.7</fb>
    <v>6</v>
  </rv>
  <rv s="3">
    <fb>46085</fb>
    <v>5</v>
  </rv>
  <rv s="3">
    <fb>24480.5</fb>
    <v>6</v>
  </rv>
  <rv s="3">
    <fb>46086</fb>
    <v>5</v>
  </rv>
  <rv s="3">
    <fb>24765.9</fb>
    <v>6</v>
  </rv>
  <rv s="3">
    <fb>46087</fb>
    <v>5</v>
  </rv>
  <rv s="3">
    <fb>24450.45</fb>
    <v>6</v>
  </rv>
  <rv s="3">
    <fb>46090</fb>
    <v>5</v>
  </rv>
  <rv s="3">
    <fb>24028.05</fb>
    <v>6</v>
  </rv>
  <rv s="3">
    <fb>46091</fb>
    <v>5</v>
  </rv>
  <rv s="3">
    <fb>24261.599999999999</fb>
    <v>6</v>
  </rv>
  <rv s="3">
    <fb>46092</fb>
    <v>5</v>
  </rv>
  <rv s="3">
    <fb>23866.85</fb>
    <v>6</v>
  </rv>
  <rv s="3">
    <fb>46093</fb>
    <v>5</v>
  </rv>
  <rv s="3">
    <fb>23639.15</fb>
    <v>6</v>
  </rv>
  <rv s="3">
    <fb>46094</fb>
    <v>5</v>
  </rv>
  <rv s="3">
    <fb>23151.1</fb>
    <v>6</v>
  </rv>
  <rv s="3">
    <fb>46097</fb>
    <v>5</v>
  </rv>
  <rv s="3">
    <fb>23408.799999999999</fb>
    <v>6</v>
  </rv>
  <rv s="3">
    <fb>46098</fb>
    <v>5</v>
  </rv>
  <rv s="3">
    <fb>23581.15</fb>
    <v>6</v>
  </rv>
  <rv s="3">
    <fb>46099</fb>
    <v>5</v>
  </rv>
  <rv s="3">
    <fb>23777.8</fb>
    <v>6</v>
  </rv>
  <rv s="3">
    <fb>46100</fb>
    <v>5</v>
  </rv>
  <rv s="3">
    <fb>23002.15</fb>
    <v>6</v>
  </rv>
  <rv s="3">
    <fb>46101</fb>
    <v>5</v>
  </rv>
  <rv s="3">
    <fb>23114.5</fb>
    <v>6</v>
  </rv>
  <rv s="3">
    <fb>46104</fb>
    <v>5</v>
  </rv>
  <rv s="3">
    <fb>22512.65</fb>
    <v>6</v>
  </rv>
  <rv s="3">
    <fb>46105</fb>
    <v>5</v>
  </rv>
  <rv s="3">
    <fb>22912.400000000001</fb>
    <v>6</v>
  </rv>
  <rv s="3">
    <fb>46106</fb>
    <v>5</v>
  </rv>
  <rv s="3">
    <fb>23306.45</fb>
    <v>6</v>
  </rv>
  <rv s="3">
    <fb>46108</fb>
    <v>5</v>
  </rv>
  <rv s="3">
    <fb>22819.599999999999</fb>
    <v>6</v>
  </rv>
  <rv s="3">
    <fb>46111</fb>
    <v>5</v>
  </rv>
  <rv s="3">
    <fb>22331.4</fb>
    <v>6</v>
  </rv>
  <rv s="3">
    <fb>46113</fb>
    <v>5</v>
  </rv>
  <rv s="3">
    <fb>22679.4</fb>
    <v>6</v>
  </rv>
  <rv s="3">
    <fb>46114</fb>
    <v>5</v>
  </rv>
  <rv s="3">
    <fb>22713.1</fb>
    <v>6</v>
  </rv>
  <rv s="3">
    <fb>46118</fb>
    <v>5</v>
  </rv>
  <rv s="3">
    <fb>22968.25</fb>
    <v>6</v>
  </rv>
  <rv s="3">
    <fb>46119</fb>
    <v>5</v>
  </rv>
  <rv s="3">
    <fb>23123.65</fb>
    <v>6</v>
  </rv>
  <rv s="3">
    <fb>46120</fb>
    <v>5</v>
  </rv>
  <rv s="3">
    <fb>23997.35</fb>
    <v>6</v>
  </rv>
  <rv s="3">
    <fb>46121</fb>
    <v>5</v>
  </rv>
  <rv s="3">
    <fb>23775.1</fb>
    <v>6</v>
  </rv>
  <rv s="3">
    <fb>46122</fb>
    <v>5</v>
  </rv>
  <rv s="3">
    <fb>24050.6</fb>
    <v>6</v>
  </rv>
  <rv s="3">
    <fb>46125</fb>
    <v>5</v>
  </rv>
  <rv s="3">
    <fb>23842.65</fb>
    <v>6</v>
  </rv>
  <rv s="3">
    <fb>46127</fb>
    <v>5</v>
  </rv>
  <rv s="3">
    <fb>24231.3</fb>
    <v>6</v>
  </rv>
  <rv s="3">
    <fb>46128</fb>
    <v>5</v>
  </rv>
  <rv s="3">
    <fb>24196.75</fb>
    <v>6</v>
  </rv>
  <rv s="3">
    <fb>46129</fb>
    <v>5</v>
  </rv>
  <rv s="3">
    <fb>24353.55</fb>
    <v>6</v>
  </rv>
  <rv s="3">
    <fb>46132</fb>
    <v>5</v>
  </rv>
  <rv s="3">
    <fb>24364.85</fb>
    <v>6</v>
  </rv>
  <rv s="3">
    <fb>46133</fb>
    <v>5</v>
  </rv>
  <rv s="3">
    <fb>24576.6</fb>
    <v>6</v>
  </rv>
  <rv s="3">
    <fb>46134</fb>
    <v>5</v>
  </rv>
  <rv s="3">
    <fb>24378.1</fb>
    <v>6</v>
  </rv>
  <rv s="3">
    <fb>46135</fb>
    <v>5</v>
  </rv>
  <rv s="3">
    <fb>24173.05</fb>
    <v>6</v>
  </rv>
  <rv s="3">
    <fb>46136</fb>
    <v>5</v>
  </rv>
  <rv s="3">
    <fb>23897.95</fb>
    <v>6</v>
  </rv>
  <rv s="3">
    <fb>46139</fb>
    <v>5</v>
  </rv>
  <rv s="3">
    <fb>24092.7</fb>
    <v>6</v>
  </rv>
  <rv s="3">
    <fb>46140</fb>
    <v>5</v>
  </rv>
  <rv s="3">
    <fb>23995.7</fb>
    <v>6</v>
  </rv>
  <rv s="3">
    <fb>46141</fb>
    <v>5</v>
  </rv>
  <rv s="3">
    <fb>24177.65</fb>
    <v>6</v>
  </rv>
  <rv s="3">
    <fb>46142</fb>
    <v>5</v>
  </rv>
  <rv s="3">
    <fb>23997.55</fb>
    <v>6</v>
  </rv>
  <rv s="3">
    <fb>46146</fb>
    <v>5</v>
  </rv>
  <rv s="3">
    <fb>24119.3</fb>
    <v>6</v>
  </rv>
  <rv s="3">
    <fb>46147</fb>
    <v>5</v>
  </rv>
  <rv s="3">
    <fb>24032.799999999999</fb>
    <v>6</v>
  </rv>
  <rv s="3">
    <fb>46148</fb>
    <v>5</v>
  </rv>
  <rv s="3">
    <fb>24330.95</fb>
    <v>6</v>
  </rv>
  <rv s="3">
    <fb>46149</fb>
    <v>5</v>
  </rv>
  <rv s="3">
    <fb>24326.65</fb>
    <v>6</v>
  </rv>
  <rv s="3">
    <fb>46150</fb>
    <v>5</v>
  </rv>
  <rv s="3">
    <fb>24176.15</fb>
    <v>6</v>
  </rv>
  <rv s="3">
    <fb>46153</fb>
    <v>5</v>
  </rv>
  <rv s="3">
    <fb>23815.85</fb>
    <v>6</v>
  </rv>
  <rv s="3">
    <fb>46154</fb>
    <v>5</v>
  </rv>
  <rv s="3">
    <fb>23379.55</fb>
    <v>6</v>
  </rv>
  <rv s="3">
    <fb>46155</fb>
    <v>5</v>
  </rv>
  <rv s="3">
    <fb>23412.6</fb>
    <v>6</v>
  </rv>
  <rv s="3">
    <fb>46156</fb>
    <v>5</v>
  </rv>
  <rv s="3">
    <fb>23689.599999999999</fb>
    <v>6</v>
  </rv>
  <rv s="3">
    <fb>46157</fb>
    <v>5</v>
  </rv>
  <rv s="3">
    <fb>23643.5</fb>
    <v>6</v>
  </rv>
  <rv s="3">
    <fb>46160</fb>
    <v>5</v>
  </rv>
  <rv s="3">
    <fb>23649.95</fb>
    <v>6</v>
  </rv>
  <rv s="3">
    <fb>46161</fb>
    <v>5</v>
  </rv>
  <rv s="3">
    <fb>23618</fb>
    <v>6</v>
  </rv>
  <rv s="3">
    <fb>46162</fb>
    <v>5</v>
  </rv>
  <rv s="3">
    <fb>23659</fb>
    <v>6</v>
  </rv>
  <rv s="3">
    <fb>46163</fb>
    <v>5</v>
  </rv>
  <rv s="3">
    <fb>23654.7</fb>
    <v>6</v>
  </rv>
  <rv s="3">
    <fb>46164</fb>
    <v>5</v>
  </rv>
  <rv s="3">
    <fb>23719.3</fb>
    <v>6</v>
  </rv>
  <rv s="3">
    <fb>46167</fb>
    <v>5</v>
  </rv>
  <rv s="3">
    <fb>24031.7</fb>
    <v>6</v>
  </rv>
  <rv s="3">
    <fb>46168</fb>
    <v>5</v>
  </rv>
  <rv s="3">
    <fb>23913.7</fb>
    <v>6</v>
  </rv>
  <rv s="3">
    <fb>46169</fb>
    <v>5</v>
  </rv>
  <rv s="3">
    <fb>23907.15</fb>
    <v>6</v>
  </rv>
  <rv s="3">
    <fb>46171</fb>
    <v>5</v>
  </rv>
  <rv s="3">
    <fb>23547.75</fb>
    <v>6</v>
  </rv>
  <rv s="3">
    <fb>46174</fb>
    <v>5</v>
  </rv>
  <rv s="3">
    <fb>23382.6</fb>
    <v>6</v>
  </rv>
  <rv s="3">
    <fb>46175</fb>
    <v>5</v>
  </rv>
  <rv s="3">
    <fb>23483.55</fb>
    <v>6</v>
  </rv>
  <rv s="3">
    <fb>46176</fb>
    <v>5</v>
  </rv>
  <rv s="3">
    <fb>23405.599999999999</fb>
    <v>6</v>
  </rv>
  <rv s="3">
    <fb>46177</fb>
    <v>5</v>
  </rv>
  <rv s="3">
    <fb>23416.55</fb>
    <v>6</v>
  </rv>
  <rv s="3">
    <fb>46178</fb>
    <v>5</v>
  </rv>
  <rv s="3">
    <fb>23366.7</fb>
    <v>6</v>
  </rv>
  <rv s="3">
    <fb>46181</fb>
    <v>5</v>
  </rv>
  <rv s="3">
    <fb>23123</fb>
    <v>6</v>
  </rv>
  <rv s="3">
    <fb>46182</fb>
    <v>5</v>
  </rv>
  <rv s="3">
    <fb>23242.1</fb>
    <v>6</v>
  </rv>
  <rv s="3">
    <fb>46183</fb>
    <v>5</v>
  </rv>
  <rv s="3">
    <fb>23214.95</fb>
    <v>6</v>
  </rv>
  <rv s="3">
    <fb>46184</fb>
    <v>5</v>
  </rv>
  <rv s="3">
    <fb>23161.599999999999</fb>
    <v>6</v>
  </rv>
  <rv s="3">
    <fb>46185</fb>
    <v>5</v>
  </rv>
  <rv s="3">
    <fb>23622.9</fb>
    <v>6</v>
  </rv>
  <rv s="3">
    <fb>46188</fb>
    <v>5</v>
  </rv>
  <rv s="3">
    <fb>23853.9</fb>
    <v>6</v>
  </rv>
  <rv s="3">
    <fb>46189</fb>
    <v>5</v>
  </rv>
  <rv s="3">
    <fb>23989.15</fb>
    <v>6</v>
  </rv>
  <rv s="3">
    <fb>46190</fb>
    <v>5</v>
  </rv>
  <rv s="3">
    <fb>24085.7</fb>
    <v>6</v>
  </rv>
  <rv s="3">
    <fb>46191</fb>
    <v>5</v>
  </rv>
  <rv s="3">
    <fb>24168</fb>
    <v>6</v>
  </rv>
  <rv s="3">
    <fb>46192</fb>
    <v>5</v>
  </rv>
  <rv s="3">
    <fb>24013.1</fb>
    <v>6</v>
  </rv>
  <rv s="3">
    <fb>46195</fb>
    <v>5</v>
  </rv>
  <rv s="3">
    <fb>24102.9</fb>
    <v>6</v>
  </rv>
  <rv s="3">
    <fb>46196</fb>
    <v>5</v>
  </rv>
  <rv s="3">
    <fb>23824.1</fb>
    <v>6</v>
  </rv>
  <rv s="3">
    <fb>46197</fb>
    <v>5</v>
  </rv>
  <rv s="3">
    <fb>24021.65</fb>
    <v>6</v>
  </rv>
  <rv s="3">
    <fb>46198</fb>
    <v>5</v>
  </rv>
  <rv s="3">
    <fb>24056</fb>
    <v>6</v>
  </rv>
  <rv s="3">
    <fb>46202</fb>
    <v>5</v>
  </rv>
  <rv s="3">
    <fb>23946.25</fb>
    <v>6</v>
  </rv>
  <rv s="3">
    <fb>46203</fb>
    <v>5</v>
  </rv>
  <rv s="3">
    <fb>23865.75</fb>
    <v>6</v>
  </rv>
  <rv s="3">
    <fb>46204</fb>
    <v>5</v>
  </rv>
  <rv s="3">
    <fb>24005.85</fb>
    <v>6</v>
  </rv>
  <rv s="3">
    <fb>46205</fb>
    <v>5</v>
  </rv>
  <rv s="3">
    <fb>24175.7</fb>
    <v>6</v>
  </rv>
  <rv s="3">
    <fb>46206</fb>
    <v>5</v>
  </rv>
  <rv s="3">
    <fb>24270.85</fb>
    <v>6</v>
  </rv>
  <rv s="3">
    <fb>46209</fb>
    <v>5</v>
  </rv>
  <rv s="3">
    <fb>24430.35</fb>
    <v>6</v>
  </rv>
  <rv s="3">
    <fb>46210</fb>
    <v>5</v>
  </rv>
  <rv s="3">
    <fb>24398.7</fb>
    <v>6</v>
  </rv>
  <rv s="3">
    <fb>46211</fb>
    <v>5</v>
  </rv>
  <rv s="3">
    <fb>23882.05</fb>
    <v>6</v>
  </rv>
  <rv s="3">
    <fb>46212</fb>
    <v>5</v>
  </rv>
  <rv s="3">
    <fb>23962.799999999999</fb>
    <v>6</v>
  </rv>
  <rv s="3">
    <fb>46213</fb>
    <v>5</v>
  </rv>
  <rv s="3">
    <fb>24206.9</fb>
    <v>6</v>
  </rv>
  <rv s="3">
    <fb>46216</fb>
    <v>5</v>
  </rv>
  <rv s="3">
    <fb>24211</fb>
    <v>6</v>
  </rv>
  <rv s="3">
    <fb>46217</fb>
    <v>5</v>
  </rv>
  <rv s="3">
    <fb>24052.05</fb>
    <v>6</v>
  </rv>
  <rv s="3">
    <fb>46218</fb>
    <v>5</v>
  </rv>
  <rv s="3">
    <fb>24078.5</fb>
    <v>6</v>
  </rv>
  <rv s="3">
    <fb>46219</fb>
    <v>5</v>
  </rv>
  <rv s="3">
    <fb>24072.75</fb>
    <v>6</v>
  </rv>
  <rv s="3">
    <fb>46220</fb>
    <v>5</v>
  </rv>
  <rv s="3">
    <fb>24334.3</fb>
    <v>6</v>
  </rv>
  <rv s="3">
    <fb>46223</fb>
    <v>5</v>
  </rv>
  <rv s="3">
    <fb>24238.5</fb>
    <v>6</v>
  </rv>
  <rv s="3">
    <fb>46224</fb>
    <v>5</v>
  </rv>
  <rv s="3">
    <fb>24187.7</fb>
    <v>6</v>
  </rv>
  <rv s="3">
    <fb>46225</fb>
    <v>5</v>
  </rv>
  <rv s="3">
    <fb>23996.25</fb>
    <v>6</v>
  </rv>
  <rv s="3">
    <fb>46226</fb>
    <v>5</v>
  </rv>
  <rv s="3">
    <fb>23869.599999999999</fb>
    <v>6</v>
  </rv>
  <rv s="3">
    <fb>46227</fb>
    <v>5</v>
  </rv>
  <rv s="3">
    <fb>23767.45</fb>
    <v>6</v>
  </rv>
  <rv s="3">
    <fb>46230</fb>
    <v>5</v>
  </rv>
  <rv s="3">
    <fb>23995.95</fb>
    <v>6</v>
  </rv>
  <rv s="3">
    <fb>46231</fb>
    <v>5</v>
  </rv>
  <rv s="3">
    <fb>23985.35</fb>
    <v>6</v>
  </rv>
  <rv s="3">
    <fb>46232</fb>
    <v>5</v>
  </rv>
  <rv s="3">
    <fb>24250.2</fb>
    <v>6</v>
  </rv>
  <rv s="3">
    <fb>46233</fb>
    <v>5</v>
  </rv>
  <rv s="3">
    <fb>24317.15</fb>
    <v>6</v>
  </rv>
  <rv s="3">
    <fb>46234</fb>
    <v>5</v>
  </rv>
  <rv s="3">
    <fb>24383.599999999999</fb>
    <v>6</v>
  </rv>
  <rv s="3">
    <fb>46237</fb>
    <v>5</v>
  </rv>
  <rv s="3">
    <fb>24774.3</fb>
    <v>6</v>
  </rv>
  <rv s="3">
    <fb>46238</fb>
    <v>5</v>
  </rv>
  <rv s="3">
    <fb>24614.9</fb>
    <v>6</v>
  </rv>
  <rv s="3">
    <fb>46239</fb>
    <v>5</v>
  </rv>
  <rv s="3">
    <fb>24624.65</fb>
    <v>6</v>
  </rv>
  <rv s="3">
    <fb>46240</fb>
    <v>5</v>
  </rv>
  <rv s="3">
    <fb>24636</fb>
    <v>6</v>
  </rv>
  <rv s="3">
    <fb>46241</fb>
    <v>5</v>
  </rv>
  <rv s="3">
    <fb>24570.65</fb>
    <v>6</v>
  </rv>
  <rv s="3">
    <fb>46244</fb>
    <v>5</v>
  </rv>
  <rv s="3">
    <fb>24583.8</fb>
    <v>6</v>
  </rv>
  <rv s="3">
    <fb>45166</fb>
    <v>5</v>
  </rv>
  <rv s="3">
    <fb>45139</fb>
    <v>5</v>
  </rv>
  <rv s="3">
    <fb>45200</fb>
    <v>5</v>
  </rv>
  <rv s="3">
    <fb>45413</fb>
    <v>5</v>
  </rv>
  <rv s="3">
    <fb>45444</fb>
    <v>5</v>
  </rv>
  <rv s="3">
    <fb>45536</fb>
    <v>5</v>
  </rv>
  <rv s="3">
    <fb>45627</fb>
    <v>5</v>
  </rv>
  <rv s="3">
    <fb>45717</fb>
    <v>5</v>
  </rv>
  <rv s="3">
    <fb>45778</fb>
    <v>5</v>
  </rv>
  <rv s="3">
    <fb>45809</fb>
    <v>5</v>
  </rv>
  <rv s="3">
    <fb>45962</fb>
    <v>5</v>
  </rv>
  <rv s="3">
    <fb>46082</fb>
    <v>5</v>
  </rv>
  <rv s="3">
    <fb>46143</fb>
    <v>5</v>
  </rv>
  <rv s="3">
    <fb>46235</fb>
    <v>5</v>
  </rv>
  <rv s="3">
    <fb>1292.55</fb>
    <v>6</v>
  </rv>
  <rv s="3">
    <fb>3336.6</fb>
    <v>6</v>
  </rv>
  <rv s="3">
    <fb>1099.32</fb>
    <v>6</v>
  </rv>
  <rv s="3">
    <fb>97.6</fb>
    <v>6</v>
  </rv>
  <rv s="3">
    <fb>50.35</fb>
    <v>6</v>
  </rv>
  <rv s="3">
    <fb>1320.55</fb>
    <v>6</v>
  </rv>
  <rv s="3">
    <fb>3400.4</fb>
    <v>6</v>
  </rv>
  <rv s="3">
    <fb>1095.7774999999999</fb>
    <v>6</v>
  </rv>
  <rv s="3">
    <fb>97.2</fb>
    <v>6</v>
  </rv>
  <rv s="3">
    <fb>50.37</fb>
    <v>6</v>
  </rv>
  <rv s="3">
    <fb>1328.35</fb>
    <v>6</v>
  </rv>
  <rv s="3">
    <fb>3434.15</fb>
    <v>6</v>
  </rv>
  <rv s="3">
    <fb>1086.9100000000001</fb>
    <v>6</v>
  </rv>
  <rv s="3">
    <fb>98.05</fb>
    <v>6</v>
  </rv>
  <rv s="3">
    <fb>50.44</fb>
    <v>6</v>
  </rv>
  <rv s="3">
    <fb>1309.45</fb>
    <v>6</v>
  </rv>
  <rv s="3">
    <fb>3403.45</fb>
    <v>6</v>
  </rv>
  <rv s="3">
    <fb>1097.7225000000001</fb>
    <v>6</v>
  </rv>
  <rv s="3">
    <fb>98.2</fb>
    <v>6</v>
  </rv>
  <rv s="3">
    <fb>1319.8</fb>
    <v>6</v>
  </rv>
  <rv s="3">
    <fb>3391.3</fb>
    <v>6</v>
  </rv>
  <rv s="3">
    <fb>1100.2049999999999</fb>
    <v>6</v>
  </rv>
  <rv s="3">
    <fb>50.31</fb>
    <v>6</v>
  </rv>
  <rv s="3">
    <fb>1347.5</fb>
    <v>6</v>
  </rv>
  <rv s="3">
    <fb>3402.45</fb>
    <v>6</v>
  </rv>
  <rv s="3">
    <fb>1094.8150000000001</fb>
    <v>6</v>
  </rv>
  <rv s="3">
    <fb>100.05</fb>
    <v>6</v>
  </rv>
  <rv s="3">
    <fb>1341.45</fb>
    <v>6</v>
  </rv>
  <rv s="3">
    <fb>3370.9</fb>
    <v>6</v>
  </rv>
  <rv s="3">
    <fb>1094.1624999999999</fb>
    <v>6</v>
  </rv>
  <rv s="3">
    <fb>99.6</fb>
    <v>6</v>
  </rv>
  <rv s="3">
    <fb>1350.15</fb>
    <v>6</v>
  </rv>
  <rv s="3">
    <fb>3404.5</fb>
    <v>6</v>
  </rv>
  <rv s="3">
    <fb>1106.3525</fb>
    <v>6</v>
  </rv>
  <rv s="3">
    <fb>101.35</fb>
    <v>6</v>
  </rv>
  <rv s="3">
    <fb>50.17</fb>
    <v>6</v>
  </rv>
  <rv s="3">
    <fb>1346.5</fb>
    <v>6</v>
  </rv>
  <rv s="3">
    <fb>3341.25</fb>
    <v>6</v>
  </rv>
  <rv s="3">
    <fb>1115.8875</fb>
    <v>6</v>
  </rv>
  <rv s="3">
    <fb>98.75</fb>
    <v>6</v>
  </rv>
  <rv s="3">
    <fb>50.21</fb>
    <v>6</v>
  </rv>
  <rv s="3">
    <fb>1345.5</fb>
    <v>6</v>
  </rv>
  <rv s="3">
    <fb>3320.3</fb>
    <v>6</v>
  </rv>
  <rv s="3">
    <fb>1108.99</fb>
    <v>6</v>
  </rv>
  <rv s="3">
    <fb>97.9</fb>
    <v>6</v>
  </rv>
  <rv s="3">
    <fb>50.16</fb>
    <v>6</v>
  </rv>
  <rv s="3">
    <fb>1352.75</fb>
    <v>6</v>
  </rv>
  <rv s="3">
    <fb>3381.4</fb>
    <v>6</v>
  </rv>
  <rv s="3">
    <fb>1123.885</fb>
    <v>6</v>
  </rv>
  <rv s="3">
    <fb>99.45</fb>
    <v>6</v>
  </rv>
  <rv s="3">
    <fb>50.02</fb>
    <v>6</v>
  </rv>
  <rv s="3">
    <fb>1372.65</fb>
    <v>6</v>
  </rv>
  <rv s="3">
    <fb>3427.2</fb>
    <v>6</v>
  </rv>
  <rv s="3">
    <fb>1131.115</fb>
    <v>6</v>
  </rv>
  <rv s="3">
    <fb>102.95</fb>
    <v>6</v>
  </rv>
  <rv s="3">
    <fb>49.88</fb>
    <v>6</v>
  </rv>
  <rv s="3">
    <fb>1373.7</fb>
    <v>6</v>
  </rv>
  <rv s="3">
    <fb>3431.75</fb>
    <v>6</v>
  </rv>
  <rv s="3">
    <fb>1140.97</fb>
    <v>6</v>
  </rv>
  <rv s="3">
    <fb>102.15</fb>
    <v>6</v>
  </rv>
  <rv s="3">
    <fb>1345.2</fb>
    <v>6</v>
  </rv>
  <rv s="3">
    <fb>3441.2</fb>
    <v>6</v>
  </rv>
  <rv s="3">
    <fb>1134.0125</fb>
    <v>6</v>
  </rv>
  <rv s="3">
    <fb>100</fb>
    <v>6</v>
  </rv>
  <rv s="3">
    <fb>50.12</fb>
    <v>6</v>
  </rv>
  <rv s="3">
    <fb>1334.2</fb>
    <v>6</v>
  </rv>
  <rv s="3">
    <fb>3435.85</fb>
    <v>6</v>
  </rv>
  <rv s="3">
    <fb>1126.675</fb>
    <v>6</v>
  </rv>
  <rv s="3">
    <fb>99.15</fb>
    <v>6</v>
  </rv>
  <rv s="3">
    <fb>1318.85</fb>
    <v>6</v>
  </rv>
  <rv s="3">
    <fb>3409.45</fb>
    <v>6</v>
  </rv>
  <rv s="3">
    <fb>1126.625</fb>
    <v>6</v>
  </rv>
  <rv s="3">
    <fb>99.9</fb>
    <v>6</v>
  </rv>
  <rv s="3">
    <fb>50.38</fb>
    <v>6</v>
  </rv>
  <rv s="3">
    <fb>1294.1500000000001</fb>
    <v>6</v>
  </rv>
  <rv s="3">
    <fb>3386.65</fb>
    <v>6</v>
  </rv>
  <rv s="3">
    <fb>1131.9375</fb>
    <v>6</v>
  </rv>
  <rv s="3">
    <fb>98.45</fb>
    <v>6</v>
  </rv>
  <rv s="3">
    <fb>50.27</fb>
    <v>6</v>
  </rv>
  <rv s="3">
    <fb>1289.7</fb>
    <v>6</v>
  </rv>
  <rv s="3">
    <fb>3472.15</fb>
    <v>6</v>
  </rv>
  <rv s="3">
    <fb>1150.2774999999999</fb>
    <v>6</v>
  </rv>
  <rv s="3">
    <fb>50.22</fb>
    <v>6</v>
  </rv>
  <rv s="3">
    <fb>1301</fb>
    <v>6</v>
  </rv>
  <rv s="3">
    <fb>3479.7</fb>
    <v>6</v>
  </rv>
  <rv s="3">
    <fb>1143.6500000000001</fb>
    <v>6</v>
  </rv>
  <rv s="3">
    <fb>100.1</fb>
    <v>6</v>
  </rv>
  <rv s="3">
    <fb>1289.4000000000001</fb>
    <v>6</v>
  </rv>
  <rv s="3">
    <fb>3440.25</fb>
    <v>6</v>
  </rv>
  <rv s="3">
    <fb>1126.9224999999999</fb>
    <v>6</v>
  </rv>
  <rv s="3">
    <fb>99.95</fb>
    <v>6</v>
  </rv>
  <rv s="3">
    <fb>1305.4000000000001</fb>
    <v>6</v>
  </rv>
  <rv s="3">
    <fb>3446.95</fb>
    <v>6</v>
  </rv>
  <rv s="3">
    <fb>1125.345</fb>
    <v>6</v>
  </rv>
  <rv s="3">
    <fb>101.5</fb>
    <v>6</v>
  </rv>
  <rv s="3">
    <fb>49.7</fb>
    <v>6</v>
  </rv>
  <rv s="3">
    <fb>1292.45</fb>
    <v>6</v>
  </rv>
  <rv s="3">
    <fb>3351.4</fb>
    <v>6</v>
  </rv>
  <rv s="3">
    <fb>1115.7625</fb>
    <v>6</v>
  </rv>
  <rv s="3">
    <fb>105.3</fb>
    <v>6</v>
  </rv>
  <rv s="3">
    <fb>49.37</fb>
    <v>6</v>
  </rv>
  <rv s="3">
    <fb>1270.55</fb>
    <v>6</v>
  </rv>
  <rv s="3">
    <fb>3400.9</fb>
    <v>6</v>
  </rv>
  <rv s="3">
    <fb>1149.31</fb>
    <v>6</v>
  </rv>
  <rv s="3">
    <fb>100.75</fb>
    <v>6</v>
  </rv>
  <rv s="3">
    <fb>49.29</fb>
    <v>6</v>
  </rv>
  <rv s="3">
    <fb>1274.45</fb>
    <v>6</v>
  </rv>
  <rv s="3">
    <fb>3443.6</fb>
    <v>6</v>
  </rv>
  <rv s="3">
    <fb>1145.9349999999999</fb>
    <v>6</v>
  </rv>
  <rv s="3">
    <fb>105.4</fb>
    <v>6</v>
  </rv>
  <rv s="3">
    <fb>48.83</fb>
    <v>6</v>
  </rv>
  <rv s="3">
    <fb>1282.95</fb>
    <v>6</v>
  </rv>
  <rv s="3">
    <fb>3450.4</fb>
    <v>6</v>
  </rv>
  <rv s="3">
    <fb>1145.6125</fb>
    <v>6</v>
  </rv>
  <rv s="3">
    <fb>104.45</fb>
    <v>6</v>
  </rv>
  <rv s="3">
    <fb>48.36</fb>
    <v>6</v>
  </rv>
  <rv s="3">
    <fb>1277.25</fb>
    <v>6</v>
  </rv>
  <rv s="3">
    <fb>3445.6</fb>
    <v>6</v>
  </rv>
  <rv s="3">
    <fb>1144.0925</fb>
    <v>6</v>
  </rv>
  <rv s="3">
    <fb>103.9</fb>
    <v>6</v>
  </rv>
  <rv s="3">
    <fb>48.25</fb>
    <v>6</v>
  </rv>
  <rv s="3">
    <fb>1302.05</fb>
    <v>6</v>
  </rv>
  <rv s="3">
    <fb>3458.75</fb>
    <v>6</v>
  </rv>
  <rv s="3">
    <fb>1148.4024999999999</fb>
    <v>6</v>
  </rv>
  <rv s="3">
    <fb>106.05</fb>
    <v>6</v>
  </rv>
  <rv s="3">
    <fb>48.38</fb>
    <v>6</v>
  </rv>
  <rv s="3">
    <fb>1309.3499999999999</fb>
    <v>6</v>
  </rv>
  <rv s="3">
    <fb>3486.6</fb>
    <v>6</v>
  </rv>
  <rv s="3">
    <fb>1160.1025</fb>
    <v>6</v>
  </rv>
  <rv s="3">
    <fb>109</fb>
    <v>6</v>
  </rv>
  <rv s="3">
    <fb>48.88</fb>
    <v>6</v>
  </rv>
  <rv s="3">
    <fb>1313.65</fb>
    <v>6</v>
  </rv>
  <rv s="3">
    <fb>3494.2</fb>
    <v>6</v>
  </rv>
  <rv s="3">
    <fb>1153.7574999999999</fb>
    <v>6</v>
  </rv>
  <rv s="3">
    <fb>109.85</fb>
    <v>6</v>
  </rv>
  <rv s="3">
    <fb>48.93</fb>
    <v>6</v>
  </rv>
  <rv s="3">
    <fb>1316.45</fb>
    <v>6</v>
  </rv>
  <rv s="3">
    <fb>3476.4</fb>
    <v>6</v>
  </rv>
  <rv s="3">
    <fb>1177.7175</fb>
    <v>6</v>
  </rv>
  <rv s="3">
    <fb>111</fb>
    <v>6</v>
  </rv>
  <rv s="3">
    <fb>49.17</fb>
    <v>6</v>
  </rv>
  <rv s="3">
    <fb>1322.2</fb>
    <v>6</v>
  </rv>
  <rv s="3">
    <fb>1155.4275</fb>
    <v>6</v>
  </rv>
  <rv s="3">
    <fb>111.5</fb>
    <v>6</v>
  </rv>
  <rv s="3">
    <fb>49.39</fb>
    <v>6</v>
  </rv>
  <rv s="3">
    <fb>1348.35</fb>
    <v>6</v>
  </rv>
  <rv s="3">
    <fb>3500.85</fb>
    <v>6</v>
  </rv>
  <rv s="3">
    <fb>1166.2650000000001</fb>
    <v>6</v>
  </rv>
  <rv s="3">
    <fb>113.85</fb>
    <v>6</v>
  </rv>
  <rv s="3">
    <fb>49.49</fb>
    <v>6</v>
  </rv>
  <rv s="3">
    <fb>1356.35</fb>
    <v>6</v>
  </rv>
  <rv s="3">
    <fb>3496.1</fb>
    <v>6</v>
  </rv>
  <rv s="3">
    <fb>1163.1475</fb>
    <v>6</v>
  </rv>
  <rv s="3">
    <fb>113.2</fb>
    <v>6</v>
  </rv>
  <rv s="3">
    <fb>50.25</fb>
    <v>6</v>
  </rv>
  <rv s="3">
    <fb>1348.15</fb>
    <v>6</v>
  </rv>
  <rv s="3">
    <fb>3501.2</fb>
    <v>6</v>
  </rv>
  <rv s="3">
    <fb>1206.6175000000001</fb>
    <v>6</v>
  </rv>
  <rv s="3">
    <fb>111.65</fb>
    <v>6</v>
  </rv>
  <rv s="3">
    <fb>1362.65</fb>
    <v>6</v>
  </rv>
  <rv s="3">
    <fb>3480.9</fb>
    <v>6</v>
  </rv>
  <rv s="3">
    <fb>1213.9849999999999</fb>
    <v>6</v>
  </rv>
  <rv s="3">
    <fb>113.35</fb>
    <v>6</v>
  </rv>
  <rv s="3">
    <fb>50.78</fb>
    <v>6</v>
  </rv>
  <rv s="3">
    <fb>1338.4</fb>
    <v>6</v>
  </rv>
  <rv s="3">
    <fb>3446.35</fb>
    <v>6</v>
  </rv>
  <rv s="3">
    <fb>1209.8875</fb>
    <v>6</v>
  </rv>
  <rv s="3">
    <fb>108.9</fb>
    <v>6</v>
  </rv>
  <rv s="3">
    <fb>50.91</fb>
    <v>6</v>
  </rv>
  <rv s="3">
    <fb>1314.15</fb>
    <v>6</v>
  </rv>
  <rv s="3">
    <fb>3384.4</fb>
    <v>6</v>
  </rv>
  <rv s="3">
    <fb>1213.135</fb>
    <v>6</v>
  </rv>
  <rv s="3">
    <fb>108.25</fb>
    <v>6</v>
  </rv>
  <rv s="3">
    <fb>51.59</fb>
    <v>6</v>
  </rv>
  <rv s="3">
    <fb>1305.5999999999999</fb>
    <v>6</v>
  </rv>
  <rv s="3">
    <fb>3326.8</fb>
    <v>6</v>
  </rv>
  <rv s="3">
    <fb>1177.28</fb>
    <v>6</v>
  </rv>
  <rv s="3">
    <fb>106.45</fb>
    <v>6</v>
  </rv>
  <rv s="3">
    <fb>51.54</fb>
    <v>6</v>
  </rv>
  <rv s="3">
    <fb>1302.9000000000001</fb>
    <v>6</v>
  </rv>
  <rv s="3">
    <fb>3394.85</fb>
    <v>6</v>
  </rv>
  <rv s="3">
    <fb>1202.8475000000001</fb>
    <v>6</v>
  </rv>
  <rv s="3">
    <fb>105.65</fb>
    <v>6</v>
  </rv>
  <rv s="3">
    <fb>51.41</fb>
    <v>6</v>
  </rv>
  <rv s="3">
    <fb>1326.2</fb>
    <v>6</v>
  </rv>
  <rv s="3">
    <fb>3357.65</fb>
    <v>6</v>
  </rv>
  <rv s="3">
    <fb>1208.585</fb>
    <v>6</v>
  </rv>
  <rv s="3">
    <fb>107.7</fb>
    <v>6</v>
  </rv>
  <rv s="3">
    <fb>51.83</fb>
    <v>6</v>
  </rv>
  <rv s="3">
    <fb>1367.85</fb>
    <v>6</v>
  </rv>
  <rv s="3">
    <fb>3295.55</fb>
    <v>6</v>
  </rv>
  <rv s="3">
    <fb>1211.74</fb>
    <v>6</v>
  </rv>
  <rv s="3">
    <fb>105.1</fb>
    <v>6</v>
  </rv>
  <rv s="3">
    <fb>51.64</fb>
    <v>6</v>
  </rv>
  <rv s="3">
    <fb>1336.05</fb>
    <v>6</v>
  </rv>
  <rv s="3">
    <fb>3282.25</fb>
    <v>6</v>
  </rv>
  <rv s="3">
    <fb>1193.635</fb>
    <v>6</v>
  </rv>
  <rv s="3">
    <fb>103.7</fb>
    <v>6</v>
  </rv>
  <rv s="3">
    <fb>52.02</fb>
    <v>6</v>
  </rv>
  <rv s="3">
    <fb>1343.5</fb>
    <v>6</v>
  </rv>
  <rv s="3">
    <fb>3338.3</fb>
    <v>6</v>
  </rv>
  <rv s="3">
    <fb>1205.5899999999999</fb>
    <v>6</v>
  </rv>
  <rv s="3">
    <fb>107.55</fb>
    <v>6</v>
  </rv>
  <rv s="3">
    <fb>52.06</fb>
    <v>6</v>
  </rv>
  <rv s="3">
    <fb>1329.35</fb>
    <v>6</v>
  </rv>
  <rv s="3">
    <fb>3428</fb>
    <v>6</v>
  </rv>
  <rv s="3">
    <fb>1199.9525000000001</fb>
    <v>6</v>
  </rv>
  <rv s="3">
    <fb>116.5</fb>
    <v>6</v>
  </rv>
  <rv s="3">
    <fb>51.76</fb>
    <v>6</v>
  </rv>
  <rv s="3">
    <fb>1331.85</fb>
    <v>6</v>
  </rv>
  <rv s="3">
    <fb>3510.95</fb>
    <v>6</v>
  </rv>
  <rv s="3">
    <fb>1214.4775</fb>
    <v>6</v>
  </rv>
  <rv s="3">
    <fb>123.3</fb>
    <v>6</v>
  </rv>
  <rv s="3">
    <fb>51.85</fb>
    <v>6</v>
  </rv>
  <rv s="3">
    <fb>1340.85</fb>
    <v>6</v>
  </rv>
  <rv s="3">
    <fb>3509.05</fb>
    <v>6</v>
  </rv>
  <rv s="3">
    <fb>1218.4749999999999</fb>
    <v>6</v>
  </rv>
  <rv s="3">
    <fb>121.3</fb>
    <v>6</v>
  </rv>
  <rv s="3">
    <fb>51.8</fb>
    <v>6</v>
  </rv>
  <rv s="3">
    <fb>3550.3</fb>
    <v>6</v>
  </rv>
  <rv s="3">
    <fb>1214.0775000000001</fb>
    <v>6</v>
  </rv>
  <rv s="3">
    <fb>125.15</fb>
    <v>6</v>
  </rv>
  <rv s="3">
    <fb>51.75</fb>
    <v>6</v>
  </rv>
  <rv s="3">
    <fb>1350.7</fb>
    <v>6</v>
  </rv>
  <rv s="3">
    <fb>3541.9</fb>
    <v>6</v>
  </rv>
  <rv s="3">
    <fb>1211.3375000000001</fb>
    <v>6</v>
  </rv>
  <rv s="3">
    <fb>121.85</fb>
    <v>6</v>
  </rv>
  <rv s="3">
    <fb>51.36</fb>
    <v>6</v>
  </rv>
  <rv s="3">
    <fb>1355.4</fb>
    <v>6</v>
  </rv>
  <rv s="3">
    <fb>3540.75</fb>
    <v>6</v>
  </rv>
  <rv s="3">
    <fb>1206.8599999999999</fb>
    <v>6</v>
  </rv>
  <rv s="3">
    <fb>51.4</fb>
    <v>6</v>
  </rv>
  <rv s="3">
    <fb>1358.85</fb>
    <v>6</v>
  </rv>
  <rv s="3">
    <fb>3579.3</fb>
    <v>6</v>
  </rv>
  <rv s="3">
    <fb>1214.1675</fb>
    <v>6</v>
  </rv>
  <rv s="3">
    <fb>123.25</fb>
    <v>6</v>
  </rv>
  <rv s="3">
    <fb>50.94</fb>
    <v>6</v>
  </rv>
  <rv s="3">
    <fb>3645.4</fb>
    <v>6</v>
  </rv>
  <rv s="3">
    <fb>1204.2925</fb>
    <v>6</v>
  </rv>
  <rv s="3">
    <fb>122.2</fb>
    <v>6</v>
  </rv>
  <rv s="3">
    <fb>51.31</fb>
    <v>6</v>
  </rv>
  <rv s="3">
    <fb>1357.1</fb>
    <v>6</v>
  </rv>
  <rv s="3">
    <fb>3848.3</fb>
    <v>6</v>
  </rv>
  <rv s="3">
    <fb>1208.7025000000001</fb>
    <v>6</v>
  </rv>
  <rv s="3">
    <fb>120.25</fb>
    <v>6</v>
  </rv>
  <rv s="3">
    <fb>50.93</fb>
    <v>6</v>
  </rv>
  <rv s="3">
    <fb>1359.95</fb>
    <v>6</v>
  </rv>
  <rv s="3">
    <fb>3836.75</fb>
    <v>6</v>
  </rv>
  <rv s="3">
    <fb>1204.145</fb>
    <v>6</v>
  </rv>
  <rv s="3">
    <fb>51.46</fb>
    <v>6</v>
  </rv>
  <rv s="3">
    <fb>1413.95</fb>
    <v>6</v>
  </rv>
  <rv s="3">
    <fb>3865.3</fb>
    <v>6</v>
  </rv>
  <rv s="3">
    <fb>1218.6524999999999</fb>
    <v>6</v>
  </rv>
  <rv s="3">
    <fb>51.39</fb>
    <v>6</v>
  </rv>
  <rv s="3">
    <fb>1385.3</fb>
    <v>6</v>
  </rv>
  <rv s="3">
    <fb>3846.45</fb>
    <v>6</v>
  </rv>
  <rv s="3">
    <fb>1215.1275000000001</fb>
    <v>6</v>
  </rv>
  <rv s="3">
    <fb>118.15</fb>
    <v>6</v>
  </rv>
  <rv s="3">
    <fb>51.86</fb>
    <v>6</v>
  </rv>
  <rv s="3">
    <fb>1423.65</fb>
    <v>6</v>
  </rv>
  <rv s="3">
    <fb>3844.2</fb>
    <v>6</v>
  </rv>
  <rv s="3">
    <fb>1218.6724999999999</fb>
    <v>6</v>
  </rv>
  <rv s="3">
    <fb>51.66</fb>
    <v>6</v>
  </rv>
  <rv s="3">
    <fb>1430.1</fb>
    <v>6</v>
  </rv>
  <rv s="3">
    <fb>3833.8</fb>
    <v>6</v>
  </rv>
  <rv s="3">
    <fb>1217.5425</fb>
    <v>6</v>
  </rv>
  <rv s="3">
    <fb>115.3</fb>
    <v>6</v>
  </rv>
  <rv s="3">
    <fb>51.88</fb>
    <v>6</v>
  </rv>
  <rv s="3">
    <fb>1410.95</fb>
    <v>6</v>
  </rv>
  <rv s="3">
    <fb>3883.8</fb>
    <v>6</v>
  </rv>
  <rv s="3">
    <fb>1219.665</fb>
    <v>6</v>
  </rv>
  <rv s="3">
    <fb>112.95</fb>
    <v>6</v>
  </rv>
  <rv s="3">
    <fb>52.17</fb>
    <v>6</v>
  </rv>
  <rv s="3">
    <fb>1409.7</fb>
    <v>6</v>
  </rv>
  <rv s="3">
    <fb>3849.05</fb>
    <v>6</v>
  </rv>
  <rv s="3">
    <fb>1206.9475</fb>
    <v>6</v>
  </rv>
  <rv s="3">
    <fb>113.25</fb>
    <v>6</v>
  </rv>
  <rv s="3">
    <fb>1412.45</fb>
    <v>6</v>
  </rv>
  <rv s="3">
    <fb>3826.7</fb>
    <v>6</v>
  </rv>
  <rv s="3">
    <fb>1210.93</fb>
    <v>6</v>
  </rv>
  <rv s="3">
    <fb>113.8</fb>
    <v>6</v>
  </rv>
  <rv s="3">
    <fb>52.15</fb>
    <v>6</v>
  </rv>
  <rv s="3">
    <fb>1407.85</fb>
    <v>6</v>
  </rv>
  <rv s="3">
    <fb>3812.25</fb>
    <v>6</v>
  </rv>
  <rv s="3">
    <fb>1203.375</fb>
    <v>6</v>
  </rv>
  <rv s="3">
    <fb>116.6</fb>
    <v>6</v>
  </rv>
  <rv s="3">
    <fb>52.3</fb>
    <v>6</v>
  </rv>
  <rv s="3">
    <fb>1435.25</fb>
    <v>6</v>
  </rv>
  <rv s="3">
    <fb>3896.9</fb>
    <v>6</v>
  </rv>
  <rv s="3">
    <fb>1211.8074999999999</fb>
    <v>6</v>
  </rv>
  <rv s="3">
    <fb>118.55</fb>
    <v>6</v>
  </rv>
  <rv s="3">
    <fb>53.05</fb>
    <v>6</v>
  </rv>
  <rv s="3">
    <fb>3891.2</fb>
    <v>6</v>
  </rv>
  <rv s="3">
    <fb>1216.93</fb>
    <v>6</v>
  </rv>
  <rv s="3">
    <fb>116.3</fb>
    <v>6</v>
  </rv>
  <rv s="3">
    <fb>53.15</fb>
    <v>6</v>
  </rv>
  <rv s="3">
    <fb>1454</fb>
    <v>6</v>
  </rv>
  <rv s="3">
    <fb>4180.3500000000004</fb>
    <v>6</v>
  </rv>
  <rv s="3">
    <fb>1220.1400000000001</fb>
    <v>6</v>
  </rv>
  <rv s="3">
    <fb>117.4</fb>
    <v>6</v>
  </rv>
  <rv s="3">
    <fb>53.29</fb>
    <v>6</v>
  </rv>
  <rv s="3">
    <fb>1460.95</fb>
    <v>6</v>
  </rv>
  <rv s="3">
    <fb>4136.5</fb>
    <v>6</v>
  </rv>
  <rv s="3">
    <fb>1230.4449999999999</fb>
    <v>6</v>
  </rv>
  <rv s="3">
    <fb>116.75</fb>
    <v>6</v>
  </rv>
  <rv s="3">
    <fb>53.72</fb>
    <v>6</v>
  </rv>
  <rv s="3">
    <fb>1450.7</fb>
    <v>6</v>
  </rv>
  <rv s="3">
    <fb>4047</fb>
    <v>6</v>
  </rv>
  <rv s="3">
    <fb>1248.425</fb>
    <v>6</v>
  </rv>
  <rv s="3">
    <fb>118.9</fb>
    <v>6</v>
  </rv>
  <rv s="3">
    <fb>52.94</fb>
    <v>6</v>
  </rv>
  <rv s="3">
    <fb>1455.75</fb>
    <v>6</v>
  </rv>
  <rv s="3">
    <fb>4091</fb>
    <v>6</v>
  </rv>
  <rv s="3">
    <fb>1248.7625</fb>
    <v>6</v>
  </rv>
  <rv s="3">
    <fb>121.7</fb>
    <v>6</v>
  </rv>
  <rv s="3">
    <fb>52.83</fb>
    <v>6</v>
  </rv>
  <rv s="3">
    <fb>1465.2</fb>
    <v>6</v>
  </rv>
  <rv s="3">
    <fb>4055</fb>
    <v>6</v>
  </rv>
  <rv s="3">
    <fb>1239.48</fb>
    <v>6</v>
  </rv>
  <rv s="3">
    <fb>119.95</fb>
    <v>6</v>
  </rv>
  <rv s="3">
    <fb>53.03</fb>
    <v>6</v>
  </rv>
  <rv s="3">
    <fb>1460.6</fb>
    <v>6</v>
  </rv>
  <rv s="3">
    <fb>4025.65</fb>
    <v>6</v>
  </rv>
  <rv s="3">
    <fb>1252.1724999999999</fb>
    <v>6</v>
  </rv>
  <rv s="3">
    <fb>118.45</fb>
    <v>6</v>
  </rv>
  <rv s="3">
    <fb>1481.45</fb>
    <v>6</v>
  </rv>
  <rv s="3">
    <fb>3951.75</fb>
    <v>6</v>
  </rv>
  <rv s="3">
    <fb>1247.3575000000001</fb>
    <v>6</v>
  </rv>
  <rv s="3">
    <fb>1466.8</fb>
    <v>6</v>
  </rv>
  <rv s="3">
    <fb>4032.75</fb>
    <v>6</v>
  </rv>
  <rv s="3">
    <fb>1252.22</fb>
    <v>6</v>
  </rv>
  <rv s="3">
    <fb>120</fb>
    <v>6</v>
  </rv>
  <rv s="3">
    <fb>1469.85</fb>
    <v>6</v>
  </rv>
  <rv s="3">
    <fb>4086.15</fb>
    <v>6</v>
  </rv>
  <rv s="3">
    <fb>1239.665</fb>
    <v>6</v>
  </rv>
  <rv s="3">
    <fb>124.15</fb>
    <v>6</v>
  </rv>
  <rv s="3">
    <fb>1452.5</fb>
    <v>6</v>
  </rv>
  <rv s="3">
    <fb>4059.9</fb>
    <v>6</v>
  </rv>
  <rv s="3">
    <fb>1218.32</fb>
    <v>6</v>
  </rv>
  <rv s="3">
    <fb>123.6</fb>
    <v>6</v>
  </rv>
  <rv s="3">
    <fb>52.8</fb>
    <v>6</v>
  </rv>
  <rv s="3">
    <fb>1446.95</fb>
    <v>6</v>
  </rv>
  <rv s="3">
    <fb>4085.5</fb>
    <v>6</v>
  </rv>
  <rv s="3">
    <fb>1217.7125000000001</fb>
    <v>6</v>
  </rv>
  <rv s="3">
    <fb>128.55000000000001</fb>
    <v>6</v>
  </rv>
  <rv s="3">
    <fb>52.81</fb>
    <v>6</v>
  </rv>
  <rv s="3">
    <fb>1424.55</fb>
    <v>6</v>
  </rv>
  <rv s="3">
    <fb>4039.65</fb>
    <v>6</v>
  </rv>
  <rv s="3">
    <fb>1274.4849999999999</fb>
    <v>6</v>
  </rv>
  <rv s="3">
    <fb>130.25</fb>
    <v>6</v>
  </rv>
  <rv s="3">
    <fb>52.49</fb>
    <v>6</v>
  </rv>
  <rv s="3">
    <fb>1409.25</fb>
    <v>6</v>
  </rv>
  <rv s="3">
    <fb>3912.4</fb>
    <v>6</v>
  </rv>
  <rv s="3">
    <fb>1254.8875</fb>
    <v>6</v>
  </rv>
  <rv s="3">
    <fb>124.75</fb>
    <v>6</v>
  </rv>
  <rv s="3">
    <fb>52.59</fb>
    <v>6</v>
  </rv>
  <rv s="3">
    <fb>1403.75</fb>
    <v>6</v>
  </rv>
  <rv s="3">
    <fb>3957.95</fb>
    <v>6</v>
  </rv>
  <rv s="3">
    <fb>1255.7925</fb>
    <v>6</v>
  </rv>
  <rv s="3">
    <fb>127.35</fb>
    <v>6</v>
  </rv>
  <rv s="3">
    <fb>1394.3</fb>
    <v>6</v>
  </rv>
  <rv s="3">
    <fb>4006.05</fb>
    <v>6</v>
  </rv>
  <rv s="3">
    <fb>1268.4224999999999</fb>
    <v>6</v>
  </rv>
  <rv s="3">
    <fb>128.5</fb>
    <v>6</v>
  </rv>
  <rv s="3">
    <fb>52.86</fb>
    <v>6</v>
  </rv>
  <rv s="3">
    <fb>1395.3</fb>
    <v>6</v>
  </rv>
  <rv s="3">
    <fb>4040.4</fb>
    <v>6</v>
  </rv>
  <rv s="3">
    <fb>1278.1025</fb>
    <v>6</v>
  </rv>
  <rv s="3">
    <fb>125</fb>
    <v>6</v>
  </rv>
  <rv s="3">
    <fb>53.19</fb>
    <v>6</v>
  </rv>
  <rv s="3">
    <fb>1421.35</fb>
    <v>6</v>
  </rv>
  <rv s="3">
    <fb>4120</fb>
    <v>6</v>
  </rv>
  <rv s="3">
    <fb>1286.0225</fb>
    <v>6</v>
  </rv>
  <rv s="3">
    <fb>127.05</fb>
    <v>6</v>
  </rv>
  <rv s="3">
    <fb>53.46</fb>
    <v>6</v>
  </rv>
  <rv s="3">
    <fb>1435.3</fb>
    <v>6</v>
  </rv>
  <rv s="3">
    <fb>4091.9</fb>
    <v>6</v>
  </rv>
  <rv s="3">
    <fb>1312.4949999999999</fb>
    <v>6</v>
  </rv>
  <rv s="3">
    <fb>123.2</fb>
    <v>6</v>
  </rv>
  <rv s="3">
    <fb>53.63</fb>
    <v>6</v>
  </rv>
  <rv s="3">
    <fb>1432.6</fb>
    <v>6</v>
  </rv>
  <rv s="3">
    <fb>4143.5</fb>
    <v>6</v>
  </rv>
  <rv s="3">
    <fb>1329.0150000000001</fb>
    <v>6</v>
  </rv>
  <rv s="3">
    <fb>123.7</fb>
    <v>6</v>
  </rv>
  <rv s="3">
    <fb>53.84</fb>
    <v>6</v>
  </rv>
  <rv s="3">
    <fb>1432.1</fb>
    <v>6</v>
  </rv>
  <rv s="3">
    <fb>4038.35</fb>
    <v>6</v>
  </rv>
  <rv s="3">
    <fb>1368.62</fb>
    <v>6</v>
  </rv>
  <rv s="3">
    <fb>124.5</fb>
    <v>6</v>
  </rv>
  <rv s="3">
    <fb>53.66</fb>
    <v>6</v>
  </rv>
  <rv s="3">
    <fb>1437.65</fb>
    <v>6</v>
  </rv>
  <rv s="3">
    <fb>3892.5</fb>
    <v>6</v>
  </rv>
  <rv s="3">
    <fb>1361.1575</fb>
    <v>6</v>
  </rv>
  <rv s="3">
    <fb>128.69999999999999</fb>
    <v>6</v>
  </rv>
  <rv s="3">
    <fb>53.74</fb>
    <v>6</v>
  </rv>
  <rv s="3">
    <fb>1422.7</fb>
    <v>6</v>
  </rv>
  <rv s="3">
    <fb>3887.6</fb>
    <v>6</v>
  </rv>
  <rv s="3">
    <fb>1331.76</fb>
    <v>6</v>
  </rv>
  <rv s="3">
    <fb>127.55</fb>
    <v>6</v>
  </rv>
  <rv s="3">
    <fb>54.01</fb>
    <v>6</v>
  </rv>
  <rv s="3">
    <fb>1431.6</fb>
    <v>6</v>
  </rv>
  <rv s="3">
    <fb>3861</fb>
    <v>6</v>
  </rv>
  <rv s="3">
    <fb>1355.82</fb>
    <v>6</v>
  </rv>
  <rv s="3">
    <fb>129.75</fb>
    <v>6</v>
  </rv>
  <rv s="3">
    <fb>53.53</fb>
    <v>6</v>
  </rv>
  <rv s="3">
    <fb>1454.15</fb>
    <v>6</v>
  </rv>
  <rv s="3">
    <fb>3877.05</fb>
    <v>6</v>
  </rv>
  <rv s="3">
    <fb>1333.2</fb>
    <v>6</v>
  </rv>
  <rv s="3">
    <fb>133.30000000000001</fb>
    <v>6</v>
  </rv>
  <rv s="3">
    <fb>1421.05</fb>
    <v>6</v>
  </rv>
  <rv s="3">
    <fb>3884.25</fb>
    <v>6</v>
  </rv>
  <rv s="3">
    <fb>1309.6500000000001</fb>
    <v>6</v>
  </rv>
  <rv s="3">
    <fb>132.85</fb>
    <v>6</v>
  </rv>
  <rv s="3">
    <fb>53.14</fb>
    <v>6</v>
  </rv>
  <rv s="3">
    <fb>1449.35</fb>
    <v>6</v>
  </rv>
  <rv s="3">
    <fb>3870.45</fb>
    <v>6</v>
  </rv>
  <rv s="3">
    <fb>1296.3</fb>
    <v>6</v>
  </rv>
  <rv s="3">
    <fb>134.30000000000001</fb>
    <v>6</v>
  </rv>
  <rv s="3">
    <fb>52.85</fb>
    <v>6</v>
  </rv>
  <rv s="3">
    <fb>1451.45</fb>
    <v>6</v>
  </rv>
  <rv s="3">
    <fb>3842.55</fb>
    <v>6</v>
  </rv>
  <rv s="3">
    <fb>1289.05</fb>
    <v>6</v>
  </rv>
  <rv s="3">
    <fb>134.65</fb>
    <v>6</v>
  </rv>
  <rv s="3">
    <fb>53.02</fb>
    <v>6</v>
  </rv>
  <rv s="3">
    <fb>1427.8</fb>
    <v>6</v>
  </rv>
  <rv s="3">
    <fb>3888.8</fb>
    <v>6</v>
  </rv>
  <rv s="3">
    <fb>1278.5999999999999</fb>
    <v>6</v>
  </rv>
  <rv s="3">
    <fb>138.35</fb>
    <v>6</v>
  </rv>
  <rv s="3">
    <fb>52.92</fb>
    <v>6</v>
  </rv>
  <rv s="3">
    <fb>3870.85</fb>
    <v>6</v>
  </rv>
  <rv s="3">
    <fb>1274.8</fb>
    <v>6</v>
  </rv>
  <rv s="3">
    <fb>139.55000000000001</fb>
    <v>6</v>
  </rv>
  <rv s="3">
    <fb>52.84</fb>
    <v>6</v>
  </rv>
  <rv s="3">
    <fb>1430.05</fb>
    <v>6</v>
  </rv>
  <rv s="3">
    <fb>3832.1</fb>
    <v>6</v>
  </rv>
  <rv s="3">
    <fb>1273.7750000000001</fb>
    <v>6</v>
  </rv>
  <rv s="3">
    <fb>133.4</fb>
    <v>6</v>
  </rv>
  <rv s="3">
    <fb>52.99</fb>
    <v>6</v>
  </rv>
  <rv s="3">
    <fb>1408.8</fb>
    <v>6</v>
  </rv>
  <rv s="3">
    <fb>3792.3</fb>
    <v>6</v>
  </rv>
  <rv s="3">
    <fb>1271.0250000000001</fb>
    <v>6</v>
  </rv>
  <rv s="3">
    <fb>133.55000000000001</fb>
    <v>6</v>
  </rv>
  <rv s="3">
    <fb>53.25</fb>
    <v>6</v>
  </rv>
  <rv s="3">
    <fb>1421.15</fb>
    <v>6</v>
  </rv>
  <rv s="3">
    <fb>3751.1</fb>
    <v>6</v>
  </rv>
  <rv s="3">
    <fb>1271.55</fb>
    <v>6</v>
  </rv>
  <rv s="3">
    <fb>127.4</fb>
    <v>6</v>
  </rv>
  <rv s="3">
    <fb>1404.9</fb>
    <v>6</v>
  </rv>
  <rv s="3">
    <fb>3691.15</fb>
    <v>6</v>
  </rv>
  <rv s="3">
    <fb>1251</fb>
    <v>6</v>
  </rv>
  <rv s="3">
    <fb>129.44999999999999</fb>
    <v>6</v>
  </rv>
  <rv s="3">
    <fb>52.67</fb>
    <v>6</v>
  </rv>
  <rv s="3">
    <fb>1440.6</fb>
    <v>6</v>
  </rv>
  <rv s="3">
    <fb>3699.45</fb>
    <v>6</v>
  </rv>
  <rv s="3">
    <fb>1257.075</fb>
    <v>6</v>
  </rv>
  <rv s="3">
    <fb>135.05000000000001</fb>
    <v>6</v>
  </rv>
  <rv s="3">
    <fb>1442.2</fb>
    <v>6</v>
  </rv>
  <rv s="3">
    <fb>3697.6</fb>
    <v>6</v>
  </rv>
  <rv s="3">
    <fb>1239.9749999999999</fb>
    <v>6</v>
  </rv>
  <rv s="3">
    <fb>133.1</fb>
    <v>6</v>
  </rv>
  <rv s="3">
    <fb>1375.5</fb>
    <v>6</v>
  </rv>
  <rv s="3">
    <fb>3616.7</fb>
    <v>6</v>
  </rv>
  <rv s="3">
    <fb>1231.45</fb>
    <v>6</v>
  </rv>
  <rv s="3">
    <fb>130.1</fb>
    <v>6</v>
  </rv>
  <rv s="3">
    <fb>1410.55</fb>
    <v>6</v>
  </rv>
  <rv s="3">
    <fb>3635</fb>
    <v>6</v>
  </rv>
  <rv s="3">
    <fb>1256.9749999999999</fb>
    <v>6</v>
  </rv>
  <rv s="3">
    <fb>136.19999999999999</fb>
    <v>6</v>
  </rv>
  <rv s="3">
    <fb>1380.9</fb>
    <v>6</v>
  </rv>
  <rv s="3">
    <fb>3616.45</fb>
    <v>6</v>
  </rv>
  <rv s="3">
    <fb>1241.075</fb>
    <v>6</v>
  </rv>
  <rv s="3">
    <fb>136.15</fb>
    <v>6</v>
  </rv>
  <rv s="3">
    <fb>52.91</fb>
    <v>6</v>
  </rv>
  <rv s="3">
    <fb>1418.4</fb>
    <v>6</v>
  </rv>
  <rv s="3">
    <fb>3669.05</fb>
    <v>6</v>
  </rv>
  <rv s="3">
    <fb>1249.2750000000001</fb>
    <v>6</v>
  </rv>
  <rv s="3">
    <fb>135.55000000000001</fb>
    <v>6</v>
  </rv>
  <rv s="3">
    <fb>52.72</fb>
    <v>6</v>
  </rv>
  <rv s="3">
    <fb>1399</fb>
    <v>6</v>
  </rv>
  <rv s="3">
    <fb>3704.75</fb>
    <v>6</v>
  </rv>
  <rv s="3">
    <fb>1246.0250000000001</fb>
    <v>6</v>
  </rv>
  <rv s="3">
    <fb>137.19999999999999</fb>
    <v>6</v>
  </rv>
  <rv s="3">
    <fb>52.97</fb>
    <v>6</v>
  </rv>
  <rv s="3">
    <fb>1401.15</fb>
    <v>6</v>
  </rv>
  <rv s="3">
    <fb>3839.6</fb>
    <v>6</v>
  </rv>
  <rv s="3">
    <fb>1253</fb>
    <v>6</v>
  </rv>
  <rv s="3">
    <fb>53.13</fb>
    <v>6</v>
  </rv>
  <rv s="3">
    <fb>1432.75</fb>
    <v>6</v>
  </rv>
  <rv s="3">
    <fb>3933.2</fb>
    <v>6</v>
  </rv>
  <rv s="3">
    <fb>1233.9000000000001</fb>
    <v>6</v>
  </rv>
  <rv s="3">
    <fb>140.55000000000001</fb>
    <v>6</v>
  </rv>
  <rv s="3">
    <fb>53.35</fb>
    <v>6</v>
  </rv>
  <rv s="3">
    <fb>1435.45</fb>
    <v>6</v>
  </rv>
  <rv s="3">
    <fb>3825.55</fb>
    <v>6</v>
  </rv>
  <rv s="3">
    <fb>1240.7</fb>
    <v>6</v>
  </rv>
  <rv s="3">
    <fb>143.80000000000001</fb>
    <v>6</v>
  </rv>
  <rv s="3">
    <fb>1419.85</fb>
    <v>6</v>
  </rv>
  <rv s="3">
    <fb>3889.95</fb>
    <v>6</v>
  </rv>
  <rv s="3">
    <fb>1231.3499999999999</fb>
    <v>6</v>
  </rv>
  <rv s="3">
    <fb>140.25</fb>
    <v>6</v>
  </rv>
  <rv s="3">
    <fb>53.58</fb>
    <v>6</v>
  </rv>
  <rv s="3">
    <fb>1464</fb>
    <v>6</v>
  </rv>
  <rv s="3">
    <fb>3944.6</fb>
    <v>6</v>
  </rv>
  <rv s="3">
    <fb>1228.325</fb>
    <v>6</v>
  </rv>
  <rv s="3">
    <fb>139.94999999999999</fb>
    <v>6</v>
  </rv>
  <rv s="3">
    <fb>52.98</fb>
    <v>6</v>
  </rv>
  <rv s="3">
    <fb>1469.45</fb>
    <v>6</v>
  </rv>
  <rv s="3">
    <fb>3927.65</fb>
    <v>6</v>
  </rv>
  <rv s="3">
    <fb>1249.8</fb>
    <v>6</v>
  </rv>
  <rv s="3">
    <fb>140.4</fb>
    <v>6</v>
  </rv>
  <rv s="3">
    <fb>1459.05</fb>
    <v>6</v>
  </rv>
  <rv s="3">
    <fb>3807.3</fb>
    <v>6</v>
  </rv>
  <rv s="3">
    <fb>1211.5250000000001</fb>
    <v>6</v>
  </rv>
  <rv s="3">
    <fb>144.1</fb>
    <v>6</v>
  </rv>
  <rv s="3">
    <fb>53.21</fb>
    <v>6</v>
  </rv>
  <rv s="3">
    <fb>1439.7</fb>
    <v>6</v>
  </rv>
  <rv s="3">
    <fb>3840.95</fb>
    <v>6</v>
  </rv>
  <rv s="3">
    <fb>1225.05</fb>
    <v>6</v>
  </rv>
  <rv s="3">
    <fb>149.44999999999999</fb>
    <v>6</v>
  </rv>
  <rv s="3">
    <fb>1436</fb>
    <v>6</v>
  </rv>
  <rv s="3">
    <fb>3871.85</fb>
    <v>6</v>
  </rv>
  <rv s="3">
    <fb>1229.5250000000001</fb>
    <v>6</v>
  </rv>
  <rv s="3">
    <fb>153.80000000000001</fb>
    <v>6</v>
  </rv>
  <rv s="3">
    <fb>1467.6</fb>
    <v>6</v>
  </rv>
  <rv s="3">
    <fb>3854.2</fb>
    <v>6</v>
  </rv>
  <rv s="3">
    <fb>1228.675</fb>
    <v>6</v>
  </rv>
  <rv s="3">
    <fb>154.75</fb>
    <v>6</v>
  </rv>
  <rv s="3">
    <fb>52.79</fb>
    <v>6</v>
  </rv>
  <rv s="3">
    <fb>1453.7</fb>
    <v>6</v>
  </rv>
  <rv s="3">
    <fb>3901.55</fb>
    <v>6</v>
  </rv>
  <rv s="3">
    <fb>1243.5</fb>
    <v>6</v>
  </rv>
  <rv s="3">
    <fb>152.25</fb>
    <v>6</v>
  </rv>
  <rv s="3">
    <fb>1453.35</fb>
    <v>6</v>
  </rv>
  <rv s="3">
    <fb>3916.55</fb>
    <v>6</v>
  </rv>
  <rv s="3">
    <fb>1226.7750000000001</fb>
    <v>6</v>
  </rv>
  <rv s="3">
    <fb>154.85</fb>
    <v>6</v>
  </rv>
  <rv s="3">
    <fb>52.1</fb>
    <v>6</v>
  </rv>
  <rv s="3">
    <fb>1508.45</fb>
    <v>6</v>
  </rv>
  <rv s="3">
    <fb>3928.65</fb>
    <v>6</v>
  </rv>
  <rv s="3">
    <fb>1243.825</fb>
    <v>6</v>
  </rv>
  <rv s="3">
    <fb>156.69999999999999</fb>
    <v>6</v>
  </rv>
  <rv s="3">
    <fb>1488.85</fb>
    <v>6</v>
  </rv>
  <rv s="3">
    <fb>3902.85</fb>
    <v>6</v>
  </rv>
  <rv s="3">
    <fb>1256.625</fb>
    <v>6</v>
  </rv>
  <rv s="3">
    <fb>157.5</fb>
    <v>6</v>
  </rv>
  <rv s="3">
    <fb>52.35</fb>
    <v>6</v>
  </rv>
  <rv s="3">
    <fb>1513.55</fb>
    <v>6</v>
  </rv>
  <rv s="3">
    <fb>3828.1</fb>
    <v>6</v>
  </rv>
  <rv s="3">
    <fb>1269.7</fb>
    <v>6</v>
  </rv>
  <rv s="3">
    <fb>161.05000000000001</fb>
    <v>6</v>
  </rv>
  <rv s="3">
    <fb>52.64</fb>
    <v>6</v>
  </rv>
  <rv s="3">
    <fb>1501.7</fb>
    <v>6</v>
  </rv>
  <rv s="3">
    <fb>3836.35</fb>
    <v>6</v>
  </rv>
  <rv s="3">
    <fb>1271.8</fb>
    <v>6</v>
  </rv>
  <rv s="3">
    <fb>158.65</fb>
    <v>6</v>
  </rv>
  <rv s="3">
    <fb>52.56</fb>
    <v>6</v>
  </rv>
  <rv s="3">
    <fb>1509.65</fb>
    <v>6</v>
  </rv>
  <rv s="3">
    <fb>3951.4</fb>
    <v>6</v>
  </rv>
  <rv s="3">
    <fb>1281.575</fb>
    <v>6</v>
  </rv>
  <rv s="3">
    <fb>162.1</fb>
    <v>6</v>
  </rv>
  <rv s="3">
    <fb>1529.15</fb>
    <v>6</v>
  </rv>
  <rv s="3">
    <fb>3927.05</fb>
    <v>6</v>
  </rv>
  <rv s="3">
    <fb>1289.5</fb>
    <v>6</v>
  </rv>
  <rv s="3">
    <fb>164.05</fb>
    <v>6</v>
  </rv>
  <rv s="3">
    <fb>1549.15</fb>
    <v>6</v>
  </rv>
  <rv s="3">
    <fb>3952.95</fb>
    <v>6</v>
  </rv>
  <rv s="3">
    <fb>1291.95</fb>
    <v>6</v>
  </rv>
  <rv s="3">
    <fb>164.2</fb>
    <v>6</v>
  </rv>
  <rv s="3">
    <fb>52.44</fb>
    <v>6</v>
  </rv>
  <rv s="3">
    <fb>1542.7</fb>
    <v>6</v>
  </rv>
  <rv s="3">
    <fb>4002.75</fb>
    <v>6</v>
  </rv>
  <rv s="3">
    <fb>1299.3499999999999</fb>
    <v>6</v>
  </rv>
  <rv s="3">
    <fb>161.30000000000001</fb>
    <v>6</v>
  </rv>
  <rv s="3">
    <fb>52.71</fb>
    <v>6</v>
  </rv>
  <rv s="3">
    <fb>1540.2</fb>
    <v>6</v>
  </rv>
  <rv s="3">
    <fb>3863.75</fb>
    <v>6</v>
  </rv>
  <rv s="3">
    <fb>1285.45</fb>
    <v>6</v>
  </rv>
  <rv s="3">
    <fb>159.35</fb>
    <v>6</v>
  </rv>
  <rv s="3">
    <fb>1552.55</fb>
    <v>6</v>
  </rv>
  <rv s="3">
    <fb>3792.4</fb>
    <v>6</v>
  </rv>
  <rv s="3">
    <fb>1298.0999999999999</fb>
    <v>6</v>
  </rv>
  <rv s="3">
    <fb>165.45</fb>
    <v>6</v>
  </rv>
  <rv s="3">
    <fb>52.6</fb>
    <v>6</v>
  </rv>
  <rv s="3">
    <fb>1542.15</fb>
    <v>6</v>
  </rv>
  <rv s="3">
    <fb>3843.55</fb>
    <v>6</v>
  </rv>
  <rv s="3">
    <fb>1300.7249999999999</fb>
    <v>6</v>
  </rv>
  <rv s="3">
    <fb>166.5</fb>
    <v>6</v>
  </rv>
  <rv s="3">
    <fb>52.78</fb>
    <v>6</v>
  </rv>
  <rv s="3">
    <fb>1546.8</fb>
    <v>6</v>
  </rv>
  <rv s="3">
    <fb>3860.35</fb>
    <v>6</v>
  </rv>
  <rv s="3">
    <fb>1297.45</fb>
    <v>6</v>
  </rv>
  <rv s="3">
    <fb>167.65</fb>
    <v>6</v>
  </rv>
  <rv s="3">
    <fb>52.9</fb>
    <v>6</v>
  </rv>
  <rv s="3">
    <fb>1517.95</fb>
    <v>6</v>
  </rv>
  <rv s="3">
    <fb>3751.45</fb>
    <v>6</v>
  </rv>
  <rv s="3">
    <fb>1294.55</fb>
    <v>6</v>
  </rv>
  <rv s="3">
    <fb>169.8</fb>
    <v>6</v>
  </rv>
  <rv s="3">
    <fb>53.56</fb>
    <v>6</v>
  </rv>
  <rv s="3">
    <fb>1491.25</fb>
    <v>6</v>
  </rv>
  <rv s="3">
    <fb>3791.9</fb>
    <v>6</v>
  </rv>
  <rv s="3">
    <fb>1269.325</fb>
    <v>6</v>
  </rv>
  <rv s="3">
    <fb>165.85</fb>
    <v>6</v>
  </rv>
  <rv s="3">
    <fb>53.89</fb>
    <v>6</v>
  </rv>
  <rv s="3">
    <fb>1520.4</fb>
    <v>6</v>
  </rv>
  <rv s="3">
    <fb>3793.2</fb>
    <v>6</v>
  </rv>
  <rv s="3">
    <fb>1266.5250000000001</fb>
    <v>6</v>
  </rv>
  <rv s="3">
    <fb>161.55000000000001</fb>
    <v>6</v>
  </rv>
  <rv s="3">
    <fb>54.62</fb>
    <v>6</v>
  </rv>
  <rv s="3">
    <fb>1510.4</fb>
    <v>6</v>
  </rv>
  <rv s="3">
    <fb>3785.25</fb>
    <v>6</v>
  </rv>
  <rv s="3">
    <fb>1280.4749999999999</fb>
    <v>6</v>
  </rv>
  <rv s="3">
    <fb>160</fb>
    <v>6</v>
  </rv>
  <rv s="3">
    <fb>54.72</fb>
    <v>6</v>
  </rv>
  <rv s="3">
    <fb>1532.1</fb>
    <v>6</v>
  </rv>
  <rv s="3">
    <fb>3783.9</fb>
    <v>6</v>
  </rv>
  <rv s="3">
    <fb>1305.75</fb>
    <v>6</v>
  </rv>
  <rv s="3">
    <fb>55.44</fb>
    <v>6</v>
  </rv>
  <rv s="3">
    <fb>1516.4</fb>
    <v>6</v>
  </rv>
  <rv s="3">
    <fb>3810.75</fb>
    <v>6</v>
  </rv>
  <rv s="3">
    <fb>1295.075</fb>
    <v>6</v>
  </rv>
  <rv s="3">
    <fb>156.9</fb>
    <v>6</v>
  </rv>
  <rv s="3">
    <fb>56.01</fb>
    <v>6</v>
  </rv>
  <rv s="3">
    <fb>1487.35</fb>
    <v>6</v>
  </rv>
  <rv s="3">
    <fb>3735.55</fb>
    <v>6</v>
  </rv>
  <rv s="3">
    <fb>1291.4749999999999</fb>
    <v>6</v>
  </rv>
  <rv s="3">
    <fb>148.65</fb>
    <v>6</v>
  </rv>
  <rv s="3">
    <fb>55.94</fb>
    <v>6</v>
  </rv>
  <rv s="3">
    <fb>1505.85</fb>
    <v>6</v>
  </rv>
  <rv s="3">
    <fb>3772.65</fb>
    <v>6</v>
  </rv>
  <rv s="3">
    <fb>1306.375</fb>
    <v>6</v>
  </rv>
  <rv s="3">
    <fb>152.75</fb>
    <v>6</v>
  </rv>
  <rv s="3">
    <fb>55.47</fb>
    <v>6</v>
  </rv>
  <rv s="3">
    <fb>1500</fb>
    <v>6</v>
  </rv>
  <rv s="3">
    <fb>3745.65</fb>
    <v>6</v>
  </rv>
  <rv s="3">
    <fb>1301.825</fb>
    <v>6</v>
  </rv>
  <rv s="3">
    <fb>160.05000000000001</fb>
    <v>6</v>
  </rv>
  <rv s="3">
    <fb>55.84</fb>
    <v>6</v>
  </rv>
  <rv s="3">
    <fb>1489.7</fb>
    <v>6</v>
  </rv>
  <rv s="3">
    <fb>3699.7</fb>
    <v>6</v>
  </rv>
  <rv s="3">
    <fb>1290.175</fb>
    <v>6</v>
  </rv>
  <rv s="3">
    <fb>158.25</fb>
    <v>6</v>
  </rv>
  <rv s="3">
    <fb>55.73</fb>
    <v>6</v>
  </rv>
  <rv s="3">
    <fb>1461.35</fb>
    <v>6</v>
  </rv>
  <rv s="3">
    <fb>3716.85</fb>
    <v>6</v>
  </rv>
  <rv s="3">
    <fb>1248.0250000000001</fb>
    <v>6</v>
  </rv>
  <rv s="3">
    <fb>157.94999999999999</fb>
    <v>6</v>
  </rv>
  <rv s="3">
    <fb>55.5</fb>
    <v>6</v>
  </rv>
  <rv s="3">
    <fb>1458.4</fb>
    <v>6</v>
  </rv>
  <rv s="3">
    <fb>3873.6</fb>
    <v>6</v>
  </rv>
  <rv s="3">
    <fb>1275.125</fb>
    <v>6</v>
  </rv>
  <rv s="3">
    <fb>165.6</fb>
    <v>6</v>
  </rv>
  <rv s="3">
    <fb>55.61</fb>
    <v>6</v>
  </rv>
  <rv s="3">
    <fb>1468.05</fb>
    <v>6</v>
  </rv>
  <rv s="3">
    <fb>3918.95</fb>
    <v>6</v>
  </rv>
  <rv s="3">
    <fb>1276.825</fb>
    <v>6</v>
  </rv>
  <rv s="3">
    <fb>169.65</fb>
    <v>6</v>
  </rv>
  <rv s="3">
    <fb>55.72</fb>
    <v>6</v>
  </rv>
  <rv s="3">
    <fb>1501.1</fb>
    <v>6</v>
  </rv>
  <rv s="3">
    <fb>3988.4</fb>
    <v>6</v>
  </rv>
  <rv s="3">
    <fb>1286.7</fb>
    <v>6</v>
  </rv>
  <rv s="3">
    <fb>174.2</fb>
    <v>6</v>
  </rv>
  <rv s="3">
    <fb>56.7</fb>
    <v>6</v>
  </rv>
  <rv s="3">
    <fb>1486.4</fb>
    <v>6</v>
  </rv>
  <rv s="3">
    <fb>3911.1</fb>
    <v>6</v>
  </rv>
  <rv s="3">
    <fb>1293.05</fb>
    <v>6</v>
  </rv>
  <rv s="3">
    <fb>182.6</fb>
    <v>6</v>
  </rv>
  <rv s="3">
    <fb>55.99</fb>
    <v>6</v>
  </rv>
  <rv s="3">
    <fb>1479.55</fb>
    <v>6</v>
  </rv>
  <rv s="3">
    <fb>3913.8</fb>
    <v>6</v>
  </rv>
  <rv s="3">
    <fb>1283.2249999999999</fb>
    <v>6</v>
  </rv>
  <rv s="3">
    <fb>179.45</fb>
    <v>6</v>
  </rv>
  <rv s="3">
    <fb>56.3</fb>
    <v>6</v>
  </rv>
  <rv s="3">
    <fb>1500.25</fb>
    <v>6</v>
  </rv>
  <rv s="3">
    <fb>4019.3</fb>
    <v>6</v>
  </rv>
  <rv s="3">
    <fb>1311.175</fb>
    <v>6</v>
  </rv>
  <rv s="3">
    <fb>182.1</fb>
    <v>6</v>
  </rv>
  <rv s="3">
    <fb>56.22</fb>
    <v>6</v>
  </rv>
  <rv s="3">
    <fb>1489.95</fb>
    <v>6</v>
  </rv>
  <rv s="3">
    <fb>3946.65</fb>
    <v>6</v>
  </rv>
  <rv s="3">
    <fb>1292.8</fb>
    <v>6</v>
  </rv>
  <rv s="3">
    <fb>184.5</fb>
    <v>6</v>
  </rv>
  <rv s="3">
    <fb>56.61</fb>
    <v>6</v>
  </rv>
  <rv s="3">
    <fb>1470.6</fb>
    <v>6</v>
  </rv>
  <rv s="3">
    <fb>3922.2</fb>
    <v>6</v>
  </rv>
  <rv s="3">
    <fb>1311.65</fb>
    <v>6</v>
  </rv>
  <rv s="3">
    <fb>183.1</fb>
    <v>6</v>
  </rv>
  <rv s="3">
    <fb>58.32</fb>
    <v>6</v>
  </rv>
  <rv s="3">
    <fb>1460.8</fb>
    <v>6</v>
  </rv>
  <rv s="3">
    <fb>3934.2</fb>
    <v>6</v>
  </rv>
  <rv s="3">
    <fb>1276.9749999999999</fb>
    <v>6</v>
  </rv>
  <rv s="3">
    <fb>178.3</fb>
    <v>6</v>
  </rv>
  <rv s="3">
    <fb>58.64</fb>
    <v>6</v>
  </rv>
  <rv s="3">
    <fb>1463.75</fb>
    <v>6</v>
  </rv>
  <rv s="3">
    <fb>4014.3</fb>
    <v>6</v>
  </rv>
  <rv s="3">
    <fb>187</fb>
    <v>6</v>
  </rv>
  <rv s="3">
    <fb>58.77</fb>
    <v>6</v>
  </rv>
  <rv s="3">
    <fb>1485.3</fb>
    <v>6</v>
  </rv>
  <rv s="3">
    <fb>4031.25</fb>
    <v>6</v>
  </rv>
  <rv s="3">
    <fb>1268.825</fb>
    <v>6</v>
  </rv>
  <rv s="3">
    <fb>190.5</fb>
    <v>6</v>
  </rv>
  <rv s="3">
    <fb>59.18</fb>
    <v>6</v>
  </rv>
  <rv s="3">
    <fb>1518.8</fb>
    <v>6</v>
  </rv>
  <rv s="3">
    <fb>4205.75</fb>
    <v>6</v>
  </rv>
  <rv s="3">
    <fb>1249.0250000000001</fb>
    <v>6</v>
  </rv>
  <rv s="3">
    <fb>191.8</fb>
    <v>6</v>
  </rv>
  <rv s="3">
    <fb>59.03</fb>
    <v>6</v>
  </rv>
  <rv s="3">
    <fb>1510.55</fb>
    <v>6</v>
  </rv>
  <rv s="3">
    <fb>4248.6499999999996</fb>
    <v>6</v>
  </rv>
  <rv s="3">
    <fb>1251.4000000000001</fb>
    <v>6</v>
  </rv>
  <rv s="3">
    <fb>193.7</fb>
    <v>6</v>
  </rv>
  <rv s="3">
    <fb>60.21</fb>
    <v>6</v>
  </rv>
  <rv s="3">
    <fb>1503.35</fb>
    <v>6</v>
  </rv>
  <rv s="3">
    <fb>4315.1000000000004</fb>
    <v>6</v>
  </rv>
  <rv s="3">
    <fb>1263.8</fb>
    <v>6</v>
  </rv>
  <rv s="3">
    <fb>196.9</fb>
    <v>6</v>
  </rv>
  <rv s="3">
    <fb>60.55</fb>
    <v>6</v>
  </rv>
  <rv s="3">
    <fb>1493.15</fb>
    <v>6</v>
  </rv>
  <rv s="3">
    <fb>4302.25</fb>
    <v>6</v>
  </rv>
  <rv s="3">
    <fb>1268.0999999999999</fb>
    <v>6</v>
  </rv>
  <rv s="3">
    <fb>192.1</fb>
    <v>6</v>
  </rv>
  <rv s="3">
    <fb>60.62</fb>
    <v>6</v>
  </rv>
  <rv s="3">
    <fb>1466.9</fb>
    <v>6</v>
  </rv>
  <rv s="3">
    <fb>4219.3500000000004</fb>
    <v>6</v>
  </rv>
  <rv s="3">
    <fb>188.3</fb>
    <v>6</v>
  </rv>
  <rv s="3">
    <fb>61.91</fb>
    <v>6</v>
  </rv>
  <rv s="3">
    <fb>1462.75</fb>
    <v>6</v>
  </rv>
  <rv s="3">
    <fb>4355.7</fb>
    <v>6</v>
  </rv>
  <rv s="3">
    <fb>1273.05</fb>
    <v>6</v>
  </rv>
  <rv s="3">
    <fb>186.45</fb>
    <v>6</v>
  </rv>
  <rv s="3">
    <fb>61.23</fb>
    <v>6</v>
  </rv>
  <rv s="3">
    <fb>1456.95</fb>
    <v>6</v>
  </rv>
  <rv s="3">
    <fb>4351.2</fb>
    <v>6</v>
  </rv>
  <rv s="3">
    <fb>1231.2750000000001</fb>
    <v>6</v>
  </rv>
  <rv s="3">
    <fb>185.2</fb>
    <v>6</v>
  </rv>
  <rv s="3">
    <fb>61.89</fb>
    <v>6</v>
  </rv>
  <rv s="3">
    <fb>1447.55</fb>
    <v>6</v>
  </rv>
  <rv s="3">
    <fb>4344.1499999999996</fb>
    <v>6</v>
  </rv>
  <rv s="3">
    <fb>1218.8499999999999</fb>
    <v>6</v>
  </rv>
  <rv s="3">
    <fb>189.2</fb>
    <v>6</v>
  </rv>
  <rv s="3">
    <fb>61.96</fb>
    <v>6</v>
  </rv>
  <rv s="3">
    <fb>1475.4</fb>
    <v>6</v>
  </rv>
  <rv s="3">
    <fb>4466.95</fb>
    <v>6</v>
  </rv>
  <rv s="3">
    <fb>1229.3499999999999</fb>
    <v>6</v>
  </rv>
  <rv s="3">
    <fb>193.35</fb>
    <v>6</v>
  </rv>
  <rv s="3">
    <fb>62.24</fb>
    <v>6</v>
  </rv>
  <rv s="3">
    <fb>4520.1499999999996</fb>
    <v>6</v>
  </rv>
  <rv s="3">
    <fb>1250.625</fb>
    <v>6</v>
  </rv>
  <rv s="3">
    <fb>187.45</fb>
    <v>6</v>
  </rv>
  <rv s="3">
    <fb>61.74</fb>
    <v>6</v>
  </rv>
  <rv s="3">
    <fb>1460.05</fb>
    <v>6</v>
  </rv>
  <rv s="3">
    <fb>4530.7</fb>
    <v>6</v>
  </rv>
  <rv s="3">
    <fb>1250.075</fb>
    <v>6</v>
  </rv>
  <rv s="3">
    <fb>184.4</fb>
    <v>6</v>
  </rv>
  <rv s="3">
    <fb>60.25</fb>
    <v>6</v>
  </rv>
  <rv s="3">
    <fb>1444.45</fb>
    <v>6</v>
  </rv>
  <rv s="3">
    <fb>4615.2</fb>
    <v>6</v>
  </rv>
  <rv s="3">
    <fb>1281.325</fb>
    <v>6</v>
  </rv>
  <rv s="3">
    <fb>184.7</fb>
    <v>6</v>
  </rv>
  <rv s="3">
    <fb>60.73</fb>
    <v>6</v>
  </rv>
  <rv s="3">
    <fb>1415.25</fb>
    <v>6</v>
  </rv>
  <rv s="3">
    <fb>4601</fb>
    <v>6</v>
  </rv>
  <rv s="3">
    <fb>1241.375</fb>
    <v>6</v>
  </rv>
  <rv s="3">
    <fb>188.1</fb>
    <v>6</v>
  </rv>
  <rv s="3">
    <fb>60.86</fb>
    <v>6</v>
  </rv>
  <rv s="3">
    <fb>1422.35</fb>
    <v>6</v>
  </rv>
  <rv s="3">
    <fb>4571.8500000000004</fb>
    <v>6</v>
  </rv>
  <rv s="3">
    <fb>1254.9000000000001</fb>
    <v>6</v>
  </rv>
  <rv s="3">
    <fb>193.6</fb>
    <v>6</v>
  </rv>
  <rv s="3">
    <fb>61.33</fb>
    <v>6</v>
  </rv>
  <rv s="3">
    <fb>1436.55</fb>
    <v>6</v>
  </rv>
  <rv s="3">
    <fb>4597.3999999999996</fb>
    <v>6</v>
  </rv>
  <rv s="3">
    <fb>1253.7</fb>
    <v>6</v>
  </rv>
  <rv s="3">
    <fb>193.15</fb>
    <v>6</v>
  </rv>
  <rv s="3">
    <fb>61.3</fb>
    <v>6</v>
  </rv>
  <rv s="3">
    <fb>1460.9</fb>
    <v>6</v>
  </rv>
  <rv s="3">
    <fb>4602.3999999999996</fb>
    <v>6</v>
  </rv>
  <rv s="3">
    <fb>1256.1500000000001</fb>
    <v>6</v>
  </rv>
  <rv s="3">
    <fb>195.45</fb>
    <v>6</v>
  </rv>
  <rv s="3">
    <fb>60.88</fb>
    <v>6</v>
  </rv>
  <rv s="3">
    <fb>1443.25</fb>
    <v>6</v>
  </rv>
  <rv s="3">
    <fb>4599.25</fb>
    <v>6</v>
  </rv>
  <rv s="3">
    <fb>1228.05</fb>
    <v>6</v>
  </rv>
  <rv s="3">
    <fb>197.25</fb>
    <v>6</v>
  </rv>
  <rv s="3">
    <fb>60.85</fb>
    <v>6</v>
  </rv>
  <rv s="3">
    <fb>4599</fb>
    <v>6</v>
  </rv>
  <rv s="3">
    <fb>1228.7</fb>
    <v>6</v>
  </rv>
  <rv s="3">
    <fb>195.7</fb>
    <v>6</v>
  </rv>
  <rv s="3">
    <fb>60.48</fb>
    <v>6</v>
  </rv>
  <rv s="3">
    <fb>1450.15</fb>
    <v>6</v>
  </rv>
  <rv s="3">
    <fb>4622.3999999999996</fb>
    <v>6</v>
  </rv>
  <rv s="3">
    <fb>1254.325</fb>
    <v>6</v>
  </rv>
  <rv s="3">
    <fb>191.45</fb>
    <v>6</v>
  </rv>
  <rv s="3">
    <fb>60.72</fb>
    <v>6</v>
  </rv>
  <rv s="3">
    <fb>1426.75</fb>
    <v>6</v>
  </rv>
  <rv s="3">
    <fb>4600.1000000000004</fb>
    <v>6</v>
  </rv>
  <rv s="3">
    <fb>1269.5</fb>
    <v>6</v>
  </rv>
  <rv s="3">
    <fb>60.68</fb>
    <v>6</v>
  </rv>
  <rv s="3">
    <fb>1422.4</fb>
    <v>6</v>
  </rv>
  <rv s="3">
    <fb>4568.05</fb>
    <v>6</v>
  </rv>
  <rv s="3">
    <fb>1256.7249999999999</fb>
    <v>6</v>
  </rv>
  <rv s="3">
    <fb>195.25</fb>
    <v>6</v>
  </rv>
  <rv s="3">
    <fb>60.5</fb>
    <v>6</v>
  </rv>
  <rv s="3">
    <fb>1431.95</fb>
    <v>6</v>
  </rv>
  <rv s="3">
    <fb>4657.8500000000004</fb>
    <v>6</v>
  </rv>
  <rv s="3">
    <fb>1266.5999999999999</fb>
    <v>6</v>
  </rv>
  <rv s="3">
    <fb>201.3</fb>
    <v>6</v>
  </rv>
  <rv s="3">
    <fb>60.42</fb>
    <v>6</v>
  </rv>
  <rv s="3">
    <fb>1425.1</fb>
    <v>6</v>
  </rv>
  <rv s="3">
    <fb>4657.45</fb>
    <v>6</v>
  </rv>
  <rv s="3">
    <fb>1258.125</fb>
    <v>6</v>
  </rv>
  <rv s="3">
    <fb>194.3</fb>
    <v>6</v>
  </rv>
  <rv s="3">
    <fb>61.92</fb>
    <v>6</v>
  </rv>
  <rv s="3">
    <fb>1432.85</fb>
    <v>6</v>
  </rv>
  <rv s="3">
    <fb>4730.55</fb>
    <v>6</v>
  </rv>
  <rv s="3">
    <fb>1243.675</fb>
    <v>6</v>
  </rv>
  <rv s="3">
    <fb>187.3</fb>
    <v>6</v>
  </rv>
  <rv s="3">
    <fb>61.15</fb>
    <v>6</v>
  </rv>
  <rv s="3">
    <fb>4649.3500000000004</fb>
    <v>6</v>
  </rv>
  <rv s="3">
    <fb>1232.5</fb>
    <v>6</v>
  </rv>
  <rv s="3">
    <fb>192</fb>
    <v>6</v>
  </rv>
  <rv s="3">
    <fb>61.19</fb>
    <v>6</v>
  </rv>
  <rv s="3">
    <fb>1452.2</fb>
    <v>6</v>
  </rv>
  <rv s="3">
    <fb>4681.75</fb>
    <v>6</v>
  </rv>
  <rv s="3">
    <fb>1234.175</fb>
    <v>6</v>
  </rv>
  <rv s="3">
    <fb>195.2</fb>
    <v>6</v>
  </rv>
  <rv s="3">
    <fb>61.71</fb>
    <v>6</v>
  </rv>
  <rv s="3">
    <fb>1434.2</fb>
    <v>6</v>
  </rv>
  <rv s="3">
    <fb>4693.8999999999996</fb>
    <v>6</v>
  </rv>
  <rv s="3">
    <fb>1222.75</fb>
    <v>6</v>
  </rv>
  <rv s="3">
    <fb>194.85</fb>
    <v>6</v>
  </rv>
  <rv s="3">
    <fb>62</fb>
    <v>6</v>
  </rv>
  <rv s="3">
    <fb>1439.85</fb>
    <v>6</v>
  </rv>
  <rv s="3">
    <fb>4684.3999999999996</fb>
    <v>6</v>
  </rv>
  <rv s="3">
    <fb>1252.2</fb>
    <v>6</v>
  </rv>
  <rv s="3">
    <fb>194.4</fb>
    <v>6</v>
  </rv>
  <rv s="3">
    <fb>1429.65</fb>
    <v>6</v>
  </rv>
  <rv s="3">
    <fb>4672.95</fb>
    <v>6</v>
  </rv>
  <rv s="3">
    <fb>1230.4000000000001</fb>
    <v>6</v>
  </rv>
  <rv s="3">
    <fb>189.1</fb>
    <v>6</v>
  </rv>
  <rv s="3">
    <fb>62.63</fb>
    <v>6</v>
  </rv>
  <rv s="3">
    <fb>1427.4</fb>
    <v>6</v>
  </rv>
  <rv s="3">
    <fb>4695.45</fb>
    <v>6</v>
  </rv>
  <rv s="3">
    <fb>1234.575</fb>
    <v>6</v>
  </rv>
  <rv s="3">
    <fb>185.5</fb>
    <v>6</v>
  </rv>
  <rv s="3">
    <fb>62.68</fb>
    <v>6</v>
  </rv>
  <rv s="3">
    <fb>1446.8</fb>
    <v>6</v>
  </rv>
  <rv s="3">
    <fb>4852.8500000000004</fb>
    <v>6</v>
  </rv>
  <rv s="3">
    <fb>1237.075</fb>
    <v>6</v>
  </rv>
  <rv s="3">
    <fb>186.8</fb>
    <v>6</v>
  </rv>
  <rv s="3">
    <fb>61.62</fb>
    <v>6</v>
  </rv>
  <rv s="3">
    <fb>1436.25</fb>
    <v>6</v>
  </rv>
  <rv s="3">
    <fb>4880.95</fb>
    <v>6</v>
  </rv>
  <rv s="3">
    <fb>1233.875</fb>
    <v>6</v>
  </rv>
  <rv s="3">
    <fb>182.9</fb>
    <v>6</v>
  </rv>
  <rv s="3">
    <fb>60.89</fb>
    <v>6</v>
  </rv>
  <rv s="3">
    <fb>1410.2</fb>
    <v>6</v>
  </rv>
  <rv s="3">
    <fb>4793.3</fb>
    <v>6</v>
  </rv>
  <rv s="3">
    <fb>1229.95</fb>
    <v>6</v>
  </rv>
  <rv s="3">
    <fb>183.65</fb>
    <v>6</v>
  </rv>
  <rv s="3">
    <fb>61</fb>
    <v>6</v>
  </rv>
  <rv s="3">
    <fb>1450.75</fb>
    <v>6</v>
  </rv>
  <rv s="3">
    <fb>4770.95</fb>
    <v>6</v>
  </rv>
  <rv s="3">
    <fb>1225.8499999999999</fb>
    <v>6</v>
  </rv>
  <rv s="3">
    <fb>181.6</fb>
    <v>6</v>
  </rv>
  <rv s="3">
    <fb>61.12</fb>
    <v>6</v>
  </rv>
  <rv s="3">
    <fb>1412.8</fb>
    <v>6</v>
  </rv>
  <rv s="3">
    <fb>4745.3999999999996</fb>
    <v>6</v>
  </rv>
  <rv s="3">
    <fb>1238.0999999999999</fb>
    <v>6</v>
  </rv>
  <rv s="3">
    <fb>183.35</fb>
    <v>6</v>
  </rv>
  <rv s="3">
    <fb>61.2</fb>
    <v>6</v>
  </rv>
  <rv s="3">
    <fb>1380.05</fb>
    <v>6</v>
  </rv>
  <rv s="3">
    <fb>4742.95</fb>
    <v>6</v>
  </rv>
  <rv s="3">
    <fb>1202.4000000000001</fb>
    <v>6</v>
  </rv>
  <rv s="3">
    <fb>180.6</fb>
    <v>6</v>
  </rv>
  <rv s="3">
    <fb>60.74</fb>
    <v>6</v>
  </rv>
  <rv s="3">
    <fb>1386.4</fb>
    <v>6</v>
  </rv>
  <rv s="3">
    <fb>4733.45</fb>
    <v>6</v>
  </rv>
  <rv s="3">
    <fb>1177.45</fb>
    <v>6</v>
  </rv>
  <rv s="3">
    <fb>179.15</fb>
    <v>6</v>
  </rv>
  <rv s="3">
    <fb>61.29</fb>
    <v>6</v>
  </rv>
  <rv s="3">
    <fb>1391.5</fb>
    <v>6</v>
  </rv>
  <rv s="3">
    <fb>4670.8500000000004</fb>
    <v>6</v>
  </rv>
  <rv s="3">
    <fb>1177.5250000000001</fb>
    <v>6</v>
  </rv>
  <rv s="3">
    <fb>175.45</fb>
    <v>6</v>
  </rv>
  <rv s="3">
    <fb>60.59</fb>
    <v>6</v>
  </rv>
  <rv s="3">
    <fb>1338.85</fb>
    <v>6</v>
  </rv>
  <rv s="3">
    <fb>4495.3999999999996</fb>
    <v>6</v>
  </rv>
  <rv s="3">
    <fb>1213.875</fb>
    <v>6</v>
  </rv>
  <rv s="3">
    <fb>172</fb>
    <v>6</v>
  </rv>
  <rv s="3">
    <fb>60.56</fb>
    <v>6</v>
  </rv>
  <rv s="3">
    <fb>1390.1</fb>
    <v>6</v>
  </rv>
  <rv s="3">
    <fb>4579</fb>
    <v>6</v>
  </rv>
  <rv s="3">
    <fb>1254.925</fb>
    <v>6</v>
  </rv>
  <rv s="3">
    <fb>183.8</fb>
    <v>6</v>
  </rv>
  <rv s="3">
    <fb>1442.85</fb>
    <v>6</v>
  </rv>
  <rv s="3">
    <fb>4719.75</fb>
    <v>6</v>
  </rv>
  <rv s="3">
    <fb>1235.7</fb>
    <v>6</v>
  </rv>
  <rv s="3">
    <fb>61.45</fb>
    <v>6</v>
  </rv>
  <rv s="3">
    <fb>1425.85</fb>
    <v>6</v>
  </rv>
  <rv s="3">
    <fb>4762</fb>
    <v>6</v>
  </rv>
  <rv s="3">
    <fb>1251.2249999999999</fb>
    <v>6</v>
  </rv>
  <rv s="3">
    <fb>184</fb>
    <v>6</v>
  </rv>
  <rv s="3">
    <fb>61.09</fb>
    <v>6</v>
  </rv>
  <rv s="3">
    <fb>1432.3</fb>
    <v>6</v>
  </rv>
  <rv s="3">
    <fb>4782.75</fb>
    <v>6</v>
  </rv>
  <rv s="3">
    <fb>1274.0999999999999</fb>
    <v>6</v>
  </rv>
  <rv s="3">
    <fb>182.16</fb>
    <v>6</v>
  </rv>
  <rv s="3">
    <fb>60.13</fb>
    <v>6</v>
  </rv>
  <rv s="3">
    <fb>1428.05</fb>
    <v>6</v>
  </rv>
  <rv s="3">
    <fb>4758.6499999999996</fb>
    <v>6</v>
  </rv>
  <rv s="3">
    <fb>1270.9749999999999</fb>
    <v>6</v>
  </rv>
  <rv s="3">
    <fb>184.02</fb>
    <v>6</v>
  </rv>
  <rv s="3">
    <fb>1452.7</fb>
    <v>6</v>
  </rv>
  <rv s="3">
    <fb>4850.6499999999996</fb>
    <v>6</v>
  </rv>
  <rv s="3">
    <fb>1268.6500000000001</fb>
    <v>6</v>
  </rv>
  <rv s="3">
    <fb>179.65</fb>
    <v>6</v>
  </rv>
  <rv s="3">
    <fb>1449.9</fb>
    <v>6</v>
  </rv>
  <rv s="3">
    <fb>4801.5</fb>
    <v>6</v>
  </rv>
  <rv s="3">
    <fb>1275.875</fb>
    <v>6</v>
  </rv>
  <rv s="3">
    <fb>184.94</fb>
    <v>6</v>
  </rv>
  <rv s="3">
    <fb>1469.9</fb>
    <v>6</v>
  </rv>
  <rv s="3">
    <fb>4935.1000000000004</fb>
    <v>6</v>
  </rv>
  <rv s="3">
    <fb>1271.25</fb>
    <v>6</v>
  </rv>
  <rv s="3">
    <fb>186.24</fb>
    <v>6</v>
  </rv>
  <rv s="3">
    <fb>60.6</fb>
    <v>6</v>
  </rv>
  <rv s="3">
    <fb>1473.55</fb>
    <v>6</v>
  </rv>
  <rv s="3">
    <fb>4936.1000000000004</fb>
    <v>6</v>
  </rv>
  <rv s="3">
    <fb>1275.175</fb>
    <v>6</v>
  </rv>
  <rv s="3">
    <fb>188.61</fb>
    <v>6</v>
  </rv>
  <rv s="3">
    <fb>60.33</fb>
    <v>6</v>
  </rv>
  <rv s="3">
    <fb>1449.2</fb>
    <v>6</v>
  </rv>
  <rv s="3">
    <fb>4880.75</fb>
    <v>6</v>
  </rv>
  <rv s="3">
    <fb>1263.0250000000001</fb>
    <v>6</v>
  </rv>
  <rv s="3">
    <fb>198.49</fb>
    <v>6</v>
  </rv>
  <rv s="3">
    <fb>60.71</fb>
    <v>6</v>
  </rv>
  <rv s="3">
    <fb>1455.5</fb>
    <v>6</v>
  </rv>
  <rv s="3">
    <fb>4876.8999999999996</fb>
    <v>6</v>
  </rv>
  <rv s="3">
    <fb>1269.875</fb>
    <v>6</v>
  </rv>
  <rv s="3">
    <fb>197.05</fb>
    <v>6</v>
  </rv>
  <rv s="3">
    <fb>61.03</fb>
    <v>6</v>
  </rv>
  <rv s="3">
    <fb>1464.15</fb>
    <v>6</v>
  </rv>
  <rv s="3">
    <fb>4845.5</fb>
    <v>6</v>
  </rv>
  <rv s="3">
    <fb>1249.2</fb>
    <v>6</v>
  </rv>
  <rv s="3">
    <fb>193.95</fb>
    <v>6</v>
  </rv>
  <rv s="3">
    <fb>61.53</fb>
    <v>6</v>
  </rv>
  <rv s="3">
    <fb>1452.75</fb>
    <v>6</v>
  </rv>
  <rv s="3">
    <fb>4870.8999999999996</fb>
    <v>6</v>
  </rv>
  <rv s="3">
    <fb>1265.0250000000001</fb>
    <v>6</v>
  </rv>
  <rv s="3">
    <fb>198.92</fb>
    <v>6</v>
  </rv>
  <rv s="3">
    <fb>1462</fb>
    <v>6</v>
  </rv>
  <rv s="3">
    <fb>4775.05</fb>
    <v>6</v>
  </rv>
  <rv s="3">
    <fb>1257.7249999999999</fb>
    <v>6</v>
  </rv>
  <rv s="3">
    <fb>202.27</fb>
    <v>6</v>
  </rv>
  <rv s="3">
    <fb>60.75</fb>
    <v>6</v>
  </rv>
  <rv s="3">
    <fb>1450.9</fb>
    <v>6</v>
  </rv>
  <rv s="3">
    <fb>4739.7</fb>
    <v>6</v>
  </rv>
  <rv s="3">
    <fb>1267.125</fb>
    <v>6</v>
  </rv>
  <rv s="3">
    <fb>60.46</fb>
    <v>6</v>
  </rv>
  <rv s="3">
    <fb>1463.45</fb>
    <v>6</v>
  </rv>
  <rv s="3">
    <fb>4713.8</fb>
    <v>6</v>
  </rv>
  <rv s="3">
    <fb>1266.875</fb>
    <v>6</v>
  </rv>
  <rv s="3">
    <fb>200.15</fb>
    <v>6</v>
  </rv>
  <rv s="3">
    <fb>60.32</fb>
    <v>6</v>
  </rv>
  <rv s="3">
    <fb>1491.95</fb>
    <v>6</v>
  </rv>
  <rv s="3">
    <fb>1275.825</fb>
    <v>6</v>
  </rv>
  <rv s="3">
    <fb>200.56</fb>
    <v>6</v>
  </rv>
  <rv s="3">
    <fb>60.63</fb>
    <v>6</v>
  </rv>
  <rv s="3">
    <fb>1501.85</fb>
    <v>6</v>
  </rv>
  <rv s="3">
    <fb>4635.55</fb>
    <v>6</v>
  </rv>
  <rv s="3">
    <fb>1284.05</fb>
    <v>6</v>
  </rv>
  <rv s="3">
    <fb>203.97</fb>
    <v>6</v>
  </rv>
  <rv s="3">
    <fb>1494.9</fb>
    <v>6</v>
  </rv>
  <rv s="3">
    <fb>4625.75</fb>
    <v>6</v>
  </rv>
  <rv s="3">
    <fb>1272.2249999999999</fb>
    <v>6</v>
  </rv>
  <rv s="3">
    <fb>209.09</fb>
    <v>6</v>
  </rv>
  <rv s="3">
    <fb>1496.35</fb>
    <v>6</v>
  </rv>
  <rv s="3">
    <fb>4692.3</fb>
    <v>6</v>
  </rv>
  <rv s="3">
    <fb>1275.75</fb>
    <v>6</v>
  </rv>
  <rv s="3">
    <fb>208.44</fb>
    <v>6</v>
  </rv>
  <rv s="3">
    <fb>61.07</fb>
    <v>6</v>
  </rv>
  <rv s="3">
    <fb>1507.75</fb>
    <v>6</v>
  </rv>
  <rv s="3">
    <fb>4689.5</fb>
    <v>6</v>
  </rv>
  <rv s="3">
    <fb>1272.575</fb>
    <v>6</v>
  </rv>
  <rv s="3">
    <fb>207.44</fb>
    <v>6</v>
  </rv>
  <rv s="3">
    <fb>1529.4</fb>
    <v>6</v>
  </rv>
  <rv s="3">
    <fb>4737.3</fb>
    <v>6</v>
  </rv>
  <rv s="3">
    <fb>1287.075</fb>
    <v>6</v>
  </rv>
  <rv s="3">
    <fb>207.57</fb>
    <v>6</v>
  </rv>
  <rv s="3">
    <fb>61.48</fb>
    <v>6</v>
  </rv>
  <rv s="3">
    <fb>1514.95</fb>
    <v>6</v>
  </rv>
  <rv s="3">
    <fb>4754.45</fb>
    <v>6</v>
  </rv>
  <rv s="3">
    <fb>1301.7</fb>
    <v>6</v>
  </rv>
  <rv s="3">
    <fb>207.93</fb>
    <v>6</v>
  </rv>
  <rv s="3">
    <fb>61.57</fb>
    <v>6</v>
  </rv>
  <rv s="3">
    <fb>1524.75</fb>
    <v>6</v>
  </rv>
  <rv s="3">
    <fb>4828.7</fb>
    <v>6</v>
  </rv>
  <rv s="3">
    <fb>1316.55</fb>
    <v>6</v>
  </rv>
  <rv s="3">
    <fb>212.56</fb>
    <v>6</v>
  </rv>
  <rv s="3">
    <fb>61.38</fb>
    <v>6</v>
  </rv>
  <rv s="3">
    <fb>1558.8</fb>
    <v>6</v>
  </rv>
  <rv s="3">
    <fb>4849.1499999999996</fb>
    <v>6</v>
  </rv>
  <rv s="3">
    <fb>1308.2249999999999</fb>
    <v>6</v>
  </rv>
  <rv s="3">
    <fb>211.37</fb>
    <v>6</v>
  </rv>
  <rv s="3">
    <fb>61.54</fb>
    <v>6</v>
  </rv>
  <rv s="3">
    <fb>4828.6499999999996</fb>
    <v>6</v>
  </rv>
  <rv s="3">
    <fb>1296.5999999999999</fb>
    <v>6</v>
  </rv>
  <rv s="3">
    <fb>217.14</fb>
    <v>6</v>
  </rv>
  <rv s="3">
    <fb>61.68</fb>
    <v>6</v>
  </rv>
  <rv s="3">
    <fb>1562.85</fb>
    <v>6</v>
  </rv>
  <rv s="3">
    <fb>4860.7</fb>
    <v>6</v>
  </rv>
  <rv s="3">
    <fb>1304.5</fb>
    <v>6</v>
  </rv>
  <rv s="3">
    <fb>222.47</fb>
    <v>6</v>
  </rv>
  <rv s="3">
    <fb>1613.45</fb>
    <v>6</v>
  </rv>
  <rv s="3">
    <fb>4881.3500000000004</fb>
    <v>6</v>
  </rv>
  <rv s="3">
    <fb>1302.55</fb>
    <v>6</v>
  </rv>
  <rv s="3">
    <fb>229.15</fb>
    <v>6</v>
  </rv>
  <rv s="3">
    <fb>1621.35</fb>
    <v>6</v>
  </rv>
  <rv s="3">
    <fb>4916.1000000000004</fb>
    <v>6</v>
  </rv>
  <rv s="3">
    <fb>1303.6500000000001</fb>
    <v>6</v>
  </rv>
  <rv s="3">
    <fb>217.49</fb>
    <v>6</v>
  </rv>
  <rv s="3">
    <fb>62.44</fb>
    <v>6</v>
  </rv>
  <rv s="3">
    <fb>1659.8</fb>
    <v>6</v>
  </rv>
  <rv s="3">
    <fb>4941.1000000000004</fb>
    <v>6</v>
  </rv>
  <rv s="3">
    <fb>1313.5250000000001</fb>
    <v>6</v>
  </rv>
  <rv s="3">
    <fb>220.62</fb>
    <v>6</v>
  </rv>
  <rv s="3">
    <fb>62.91</fb>
    <v>6</v>
  </rv>
  <rv s="3">
    <fb>1647.7</fb>
    <v>6</v>
  </rv>
  <rv s="3">
    <fb>4850.7</fb>
    <v>6</v>
  </rv>
  <rv s="3">
    <fb>1298.925</fb>
    <v>6</v>
  </rv>
  <rv s="3">
    <fb>218.89</fb>
    <v>6</v>
  </rv>
  <rv s="3">
    <fb>62.41</fb>
    <v>6</v>
  </rv>
  <rv s="3">
    <fb>1621.15</fb>
    <v>6</v>
  </rv>
  <rv s="3">
    <fb>4857.3500000000004</fb>
    <v>6</v>
  </rv>
  <rv s="3">
    <fb>1293.6500000000001</fb>
    <v>6</v>
  </rv>
  <rv s="3">
    <fb>221.66</fb>
    <v>6</v>
  </rv>
  <rv s="3">
    <fb>62.08</fb>
    <v>6</v>
  </rv>
  <rv s="3">
    <fb>1594.85</fb>
    <v>6</v>
  </rv>
  <rv s="3">
    <fb>4919.55</fb>
    <v>6</v>
  </rv>
  <rv s="3">
    <fb>1290.7750000000001</fb>
    <v>6</v>
  </rv>
  <rv s="3">
    <fb>217.91</fb>
    <v>6</v>
  </rv>
  <rv s="3">
    <fb>60.16</fb>
    <v>6</v>
  </rv>
  <rv s="3">
    <fb>1632.95</fb>
    <v>6</v>
  </rv>
  <rv s="3">
    <fb>4915.3500000000004</fb>
    <v>6</v>
  </rv>
  <rv s="3">
    <fb>1270.7</fb>
    <v>6</v>
  </rv>
  <rv s="3">
    <fb>223.49</fb>
    <v>6</v>
  </rv>
  <rv s="3">
    <fb>59.6</fb>
    <v>6</v>
  </rv>
  <rv s="3">
    <fb>1695.4</fb>
    <v>6</v>
  </rv>
  <rv s="3">
    <fb>4900.6499999999996</fb>
    <v>6</v>
  </rv>
  <rv s="3">
    <fb>1240.325</fb>
    <v>6</v>
  </rv>
  <rv s="3">
    <fb>219.31</fb>
    <v>6</v>
  </rv>
  <rv s="3">
    <fb>59.37</fb>
    <v>6</v>
  </rv>
  <rv s="3">
    <fb>1750.95</fb>
    <v>6</v>
  </rv>
  <rv s="3">
    <fb>5012.5</fb>
    <v>6</v>
  </rv>
  <rv s="3">
    <fb>1238.45</fb>
    <v>6</v>
  </rv>
  <rv s="3">
    <fb>224.62</fb>
    <v>6</v>
  </rv>
  <rv s="3">
    <fb>59.99</fb>
    <v>6</v>
  </rv>
  <rv s="3">
    <fb>1746.7</fb>
    <v>6</v>
  </rv>
  <rv s="3">
    <fb>4962.25</fb>
    <v>6</v>
  </rv>
  <rv s="3">
    <fb>1235.1500000000001</fb>
    <v>6</v>
  </rv>
  <rv s="3">
    <fb>226.89</fb>
    <v>6</v>
  </rv>
  <rv s="3">
    <fb>58.78</fb>
    <v>6</v>
  </rv>
  <rv s="3">
    <fb>1721.05</fb>
    <v>6</v>
  </rv>
  <rv s="3">
    <fb>4951.8500000000004</fb>
    <v>6</v>
  </rv>
  <rv s="3">
    <fb>1228.825</fb>
    <v>6</v>
  </rv>
  <rv s="3">
    <fb>227.13</fb>
    <v>6</v>
  </rv>
  <rv s="3">
    <fb>58.35</fb>
    <v>6</v>
  </rv>
  <rv s="3">
    <fb>1753.65</fb>
    <v>6</v>
  </rv>
  <rv s="3">
    <fb>4962.7</fb>
    <v>6</v>
  </rv>
  <rv s="3">
    <fb>1228.175</fb>
    <v>6</v>
  </rv>
  <rv s="3">
    <fb>229.45</fb>
    <v>6</v>
  </rv>
  <rv s="3">
    <fb>58.68</fb>
    <v>6</v>
  </rv>
  <rv s="3">
    <fb>1767.25</fb>
    <v>6</v>
  </rv>
  <rv s="3">
    <fb>4968.8</fb>
    <v>6</v>
  </rv>
  <rv s="3">
    <fb>1242</fb>
    <v>6</v>
  </rv>
  <rv s="3">
    <fb>234.09</fb>
    <v>6</v>
  </rv>
  <rv s="3">
    <fb>59.09</fb>
    <v>6</v>
  </rv>
  <rv s="3">
    <fb>1744.9</fb>
    <v>6</v>
  </rv>
  <rv s="3">
    <fb>4726.7</fb>
    <v>6</v>
  </rv>
  <rv s="3">
    <fb>1247.55</fb>
    <v>6</v>
  </rv>
  <rv s="3">
    <fb>262.33999999999997</fb>
    <v>6</v>
  </rv>
  <rv s="3">
    <fb>59.67</fb>
    <v>6</v>
  </rv>
  <rv s="3">
    <fb>1722.2</fb>
    <v>6</v>
  </rv>
  <rv s="3">
    <fb>4675.75</fb>
    <v>6</v>
  </rv>
  <rv s="3">
    <fb>1255.45</fb>
    <v>6</v>
  </rv>
  <rv s="3">
    <fb>256.29000000000002</fb>
    <v>6</v>
  </rv>
  <rv s="3">
    <fb>58.74</fb>
    <v>6</v>
  </rv>
  <rv s="3">
    <fb>1674.5</fb>
    <v>6</v>
  </rv>
  <rv s="3">
    <fb>4653.8999999999996</fb>
    <v>6</v>
  </rv>
  <rv s="3">
    <fb>1254.25</fb>
    <v>6</v>
  </rv>
  <rv s="3">
    <fb>249.08</fb>
    <v>6</v>
  </rv>
  <rv s="3">
    <fb>58.62</fb>
    <v>6</v>
  </rv>
  <rv s="3">
    <fb>1685.7</fb>
    <v>6</v>
  </rv>
  <rv s="3">
    <fb>4597.1499999999996</fb>
    <v>6</v>
  </rv>
  <rv s="3">
    <fb>1261.4000000000001</fb>
    <v>6</v>
  </rv>
  <rv s="3">
    <fb>265.67</fb>
    <v>6</v>
  </rv>
  <rv s="3">
    <fb>58.2</fb>
    <v>6</v>
  </rv>
  <rv s="3">
    <fb>1706.3</fb>
    <v>6</v>
  </rv>
  <rv s="3">
    <fb>4576.8999999999996</fb>
    <v>6</v>
  </rv>
  <rv s="3">
    <fb>1244.55</fb>
    <v>6</v>
  </rv>
  <rv s="3">
    <fb>265.58999999999997</fb>
    <v>6</v>
  </rv>
  <rv s="3">
    <fb>58.09</fb>
    <v>6</v>
  </rv>
  <rv s="3">
    <fb>1725.1</fb>
    <v>6</v>
  </rv>
  <rv s="3">
    <fb>4830.6000000000004</fb>
    <v>6</v>
  </rv>
  <rv s="3">
    <fb>1252.3499999999999</fb>
    <v>6</v>
  </rv>
  <rv s="3">
    <fb>267.08999999999997</fb>
    <v>6</v>
  </rv>
  <rv s="3">
    <fb>58.66</fb>
    <v>6</v>
  </rv>
  <rv s="3">
    <fb>1705</fb>
    <v>6</v>
  </rv>
  <rv s="3">
    <fb>4808.8</fb>
    <v>6</v>
  </rv>
  <rv s="3">
    <fb>1236.55</fb>
    <v>6</v>
  </rv>
  <rv s="3">
    <fb>263.43</fb>
    <v>6</v>
  </rv>
  <rv s="3">
    <fb>59.02</fb>
    <v>6</v>
  </rv>
  <rv s="3">
    <fb>1682.4</fb>
    <v>6</v>
  </rv>
  <rv s="3">
    <fb>4802.25</fb>
    <v>6</v>
  </rv>
  <rv s="3">
    <fb>1242.3499999999999</fb>
    <v>6</v>
  </rv>
  <rv s="3">
    <fb>257.08</fb>
    <v>6</v>
  </rv>
  <rv s="3">
    <fb>59.4</fb>
    <v>6</v>
  </rv>
  <rv s="3">
    <fb>1692.1</fb>
    <v>6</v>
  </rv>
  <rv s="3">
    <fb>4733.25</fb>
    <v>6</v>
  </rv>
  <rv s="3">
    <fb>1237.3</fb>
    <v>6</v>
  </rv>
  <rv s="3">
    <fb>260.14</fb>
    <v>6</v>
  </rv>
  <rv s="3">
    <fb>59.61</fb>
    <v>6</v>
  </rv>
  <rv s="3">
    <fb>1688.9</fb>
    <v>6</v>
  </rv>
  <rv s="3">
    <fb>4818</fb>
    <v>6</v>
  </rv>
  <rv s="3">
    <fb>1262.7249999999999</fb>
    <v>6</v>
  </rv>
  <rv s="3">
    <fb>264.43</fb>
    <v>6</v>
  </rv>
  <rv s="3">
    <fb>59.47</fb>
    <v>6</v>
  </rv>
  <rv s="3">
    <fb>1671.55</fb>
    <v>6</v>
  </rv>
  <rv s="3">
    <fb>4813.3</fb>
    <v>6</v>
  </rv>
  <rv s="3">
    <fb>1251.575</fb>
    <v>6</v>
  </rv>
  <rv s="3">
    <fb>262.17</fb>
    <v>6</v>
  </rv>
  <rv s="3">
    <fb>60.34</fb>
    <v>6</v>
  </rv>
  <rv s="3">
    <fb>1761.3</fb>
    <v>6</v>
  </rv>
  <rv s="3">
    <fb>4883.25</fb>
    <v>6</v>
  </rv>
  <rv s="3">
    <fb>1259.25</fb>
    <v>6</v>
  </rv>
  <rv s="3">
    <fb>263.12</fb>
    <v>6</v>
  </rv>
  <rv s="3">
    <fb>60.67</fb>
    <v>6</v>
  </rv>
  <rv s="3">
    <fb>1800.6</fb>
    <v>6</v>
  </rv>
  <rv s="3">
    <fb>4913.55</fb>
    <v>6</v>
  </rv>
  <rv s="3">
    <fb>260.02999999999997</fb>
    <v>6</v>
  </rv>
  <rv s="3">
    <fb>60.38</fb>
    <v>6</v>
  </rv>
  <rv s="3">
    <fb>1795.25</fb>
    <v>6</v>
  </rv>
  <rv s="3">
    <fb>4933.55</fb>
    <v>6</v>
  </rv>
  <rv s="3">
    <fb>1275.5</fb>
    <v>6</v>
  </rv>
  <rv s="3">
    <fb>257.95999999999998</fb>
    <v>6</v>
  </rv>
  <rv s="3">
    <fb>60.45</fb>
    <v>6</v>
  </rv>
  <rv s="3">
    <fb>1789.3</fb>
    <v>6</v>
  </rv>
  <rv s="3">
    <fb>4898.1000000000004</fb>
    <v>6</v>
  </rv>
  <rv s="3">
    <fb>1264.5999999999999</fb>
    <v>6</v>
  </rv>
  <rv s="3">
    <fb>262.64999999999998</fb>
    <v>6</v>
  </rv>
  <rv s="3">
    <fb>1796.25</fb>
    <v>6</v>
  </rv>
  <rv s="3">
    <fb>4875.2</fb>
    <v>6</v>
  </rv>
  <rv s="3">
    <fb>1259.7750000000001</fb>
    <v>6</v>
  </rv>
  <rv s="3">
    <fb>259.39</fb>
    <v>6</v>
  </rv>
  <rv s="3">
    <fb>60.83</fb>
    <v>6</v>
  </rv>
  <rv s="3">
    <fb>1838.95</fb>
    <v>6</v>
  </rv>
  <rv s="3">
    <fb>4868.8500000000004</fb>
    <v>6</v>
  </rv>
  <rv s="3">
    <fb>1260.7249999999999</fb>
    <v>6</v>
  </rv>
  <rv s="3">
    <fb>256.05</fb>
    <v>6</v>
  </rv>
  <rv s="3">
    <fb>1843.7</fb>
    <v>6</v>
  </rv>
  <rv s="3">
    <fb>4946.8500000000004</fb>
    <v>6</v>
  </rv>
  <rv s="3">
    <fb>1246.25</fb>
    <v>6</v>
  </rv>
  <rv s="3">
    <fb>253.04</fb>
    <v>6</v>
  </rv>
  <rv s="3">
    <fb>4915.8999999999996</fb>
    <v>6</v>
  </rv>
  <rv s="3">
    <fb>1252.2750000000001</fb>
    <v>6</v>
  </rv>
  <rv s="3">
    <fb>252.34</fb>
    <v>6</v>
  </rv>
  <rv s="3">
    <fb>60.57</fb>
    <v>6</v>
  </rv>
  <rv s="3">
    <fb>1850.3</fb>
    <v>6</v>
  </rv>
  <rv s="3">
    <fb>4960.5</fb>
    <v>6</v>
  </rv>
  <rv s="3">
    <fb>1250.375</fb>
    <v>6</v>
  </rv>
  <rv s="3">
    <fb>250.53</fb>
    <v>6</v>
  </rv>
  <rv s="3">
    <fb>60.66</fb>
    <v>6</v>
  </rv>
  <rv s="3">
    <fb>1888.75</fb>
    <v>6</v>
  </rv>
  <rv s="3">
    <fb>4911.95</fb>
    <v>6</v>
  </rv>
  <rv s="3">
    <fb>1254.95</fb>
    <v>6</v>
  </rv>
  <rv s="3">
    <fb>244.45</fb>
    <v>6</v>
  </rv>
  <rv s="3">
    <fb>1928.65</fb>
    <v>6</v>
  </rv>
  <rv s="3">
    <fb>4865.8</fb>
    <v>6</v>
  </rv>
  <rv s="3">
    <fb>1265.375</fb>
    <v>6</v>
  </rv>
  <rv s="3">
    <fb>247.7</fb>
    <v>6</v>
  </rv>
  <rv s="3">
    <fb>60.36</fb>
    <v>6</v>
  </rv>
  <rv s="3">
    <fb>1912.2</fb>
    <v>6</v>
  </rv>
  <rv s="3">
    <fb>4833.55</fb>
    <v>6</v>
  </rv>
  <rv s="3">
    <fb>1267.375</fb>
    <v>6</v>
  </rv>
  <rv s="3">
    <fb>242.85</fb>
    <v>6</v>
  </rv>
  <rv s="3">
    <fb>59.83</fb>
    <v>6</v>
  </rv>
  <rv s="3">
    <fb>1907.85</fb>
    <v>6</v>
  </rv>
  <rv s="3">
    <fb>4800.1000000000004</fb>
    <v>6</v>
  </rv>
  <rv s="3">
    <fb>1252.45</fb>
    <v>6</v>
  </rv>
  <rv s="3">
    <fb>254.85</fb>
    <v>6</v>
  </rv>
  <rv s="3">
    <fb>1896.3</fb>
    <v>6</v>
  </rv>
  <rv s="3">
    <fb>4752.5</fb>
    <v>6</v>
  </rv>
  <rv s="3">
    <fb>1251.5999999999999</fb>
    <v>6</v>
  </rv>
  <rv s="3">
    <fb>259.95</fb>
    <v>6</v>
  </rv>
  <rv s="3">
    <fb>1901.75</fb>
    <v>6</v>
  </rv>
  <rv s="3">
    <fb>4747.3500000000004</fb>
    <v>6</v>
  </rv>
  <rv s="3">
    <fb>1258.375</fb>
    <v>6</v>
  </rv>
  <rv s="3">
    <fb>263.2</fb>
    <v>6</v>
  </rv>
  <rv s="3">
    <fb>1853.45</fb>
    <v>6</v>
  </rv>
  <rv s="3">
    <fb>4737.2</fb>
    <v>6</v>
  </rv>
  <rv s="3">
    <fb>1267.75</fb>
    <v>6</v>
  </rv>
  <rv s="3">
    <fb>267.7</fb>
    <v>6</v>
  </rv>
  <rv s="3">
    <fb>1859.15</fb>
    <v>6</v>
  </rv>
  <rv s="3">
    <fb>4726.6499999999996</fb>
    <v>6</v>
  </rv>
  <rv s="3">
    <fb>1263.425</fb>
    <v>6</v>
  </rv>
  <rv s="3">
    <fb>271.75</fb>
    <v>6</v>
  </rv>
  <rv s="3">
    <fb>1875.95</fb>
    <v>6</v>
  </rv>
  <rv s="3">
    <fb>4875</fb>
    <v>6</v>
  </rv>
  <rv s="3">
    <fb>1263.925</fb>
    <v>6</v>
  </rv>
  <rv s="3">
    <fb>283.89999999999998</fb>
    <v>6</v>
  </rv>
  <rv s="3">
    <fb>60.61</fb>
    <v>6</v>
  </rv>
  <rv s="3">
    <fb>1846.5</fb>
    <v>6</v>
  </rv>
  <rv s="3">
    <fb>4858.3</fb>
    <v>6</v>
  </rv>
  <rv s="3">
    <fb>1265.7</fb>
    <v>6</v>
  </rv>
  <rv s="3">
    <fb>272.89999999999998</fb>
    <v>6</v>
  </rv>
  <rv s="3">
    <fb>61.64</fb>
    <v>6</v>
  </rv>
  <rv s="3">
    <fb>1821.25</fb>
    <v>6</v>
  </rv>
  <rv s="3">
    <fb>4899.2</fb>
    <v>6</v>
  </rv>
  <rv s="3">
    <fb>277.7</fb>
    <v>6</v>
  </rv>
  <rv s="3">
    <fb>62.05</fb>
    <v>6</v>
  </rv>
  <rv s="3">
    <fb>1819.15</fb>
    <v>6</v>
  </rv>
  <rv s="3">
    <fb>4850.2</fb>
    <v>6</v>
  </rv>
  <rv s="3">
    <fb>1273.425</fb>
    <v>6</v>
  </rv>
  <rv s="3">
    <fb>270.75</fb>
    <v>6</v>
  </rv>
  <rv s="3">
    <fb>61.77</fb>
    <v>6</v>
  </rv>
  <rv s="3">
    <fb>1842.45</fb>
    <v>6</v>
  </rv>
  <rv s="3">
    <fb>4850.3500000000004</fb>
    <v>6</v>
  </rv>
  <rv s="3">
    <fb>1298.575</fb>
    <v>6</v>
  </rv>
  <rv s="3">
    <fb>275.85000000000002</fb>
    <v>6</v>
  </rv>
  <rv s="3">
    <fb>1840.95</fb>
    <v>6</v>
  </rv>
  <rv s="3">
    <fb>4864.8999999999996</fb>
    <v>6</v>
  </rv>
  <rv s="3">
    <fb>1317.1</fb>
    <v>6</v>
  </rv>
  <rv s="3">
    <fb>278.85000000000002</fb>
    <v>6</v>
  </rv>
  <rv s="3">
    <fb>62.19</fb>
    <v>6</v>
  </rv>
  <rv s="3">
    <fb>1870.25</fb>
    <v>6</v>
  </rv>
  <rv s="3">
    <fb>4963.1499999999996</fb>
    <v>6</v>
  </rv>
  <rv s="3">
    <fb>1349.7750000000001</fb>
    <v>6</v>
  </rv>
  <rv s="3">
    <fb>290.5</fb>
    <v>6</v>
  </rv>
  <rv s="3">
    <fb>62.43</fb>
    <v>6</v>
  </rv>
  <rv s="3">
    <fb>1920.15</fb>
    <v>6</v>
  </rv>
  <rv s="3">
    <fb>4879.55</fb>
    <v>6</v>
  </rv>
  <rv s="3">
    <fb>1362.575</fb>
    <v>6</v>
  </rv>
  <rv s="3">
    <fb>297</fb>
    <v>6</v>
  </rv>
  <rv s="3">
    <fb>62.81</fb>
    <v>6</v>
  </rv>
  <rv s="3">
    <fb>1864.35</fb>
    <v>6</v>
  </rv>
  <rv s="3">
    <fb>1348.2</fb>
    <v>6</v>
  </rv>
  <rv s="3">
    <fb>291.7</fb>
    <v>6</v>
  </rv>
  <rv s="3">
    <fb>62.99</fb>
    <v>6</v>
  </rv>
  <rv s="3">
    <fb>1863.6</fb>
    <v>6</v>
  </rv>
  <rv s="3">
    <fb>4895.25</fb>
    <v>6</v>
  </rv>
  <rv s="3">
    <fb>1348.675</fb>
    <v>6</v>
  </rv>
  <rv s="3">
    <fb>285.39999999999998</fb>
    <v>6</v>
  </rv>
  <rv s="3">
    <fb>63.66</fb>
    <v>6</v>
  </rv>
  <rv s="3">
    <fb>1898.3</fb>
    <v>6</v>
  </rv>
  <rv s="3">
    <fb>4994.25</fb>
    <v>6</v>
  </rv>
  <rv s="3">
    <fb>1377.75</fb>
    <v>6</v>
  </rv>
  <rv s="3">
    <fb>63.77</fb>
    <v>6</v>
  </rv>
  <rv s="3">
    <fb>1882.65</fb>
    <v>6</v>
  </rv>
  <rv s="3">
    <fb>5062.6000000000004</fb>
    <v>6</v>
  </rv>
  <rv s="3">
    <fb>1372.85</fb>
    <v>6</v>
  </rv>
  <rv s="3">
    <fb>278.14999999999998</fb>
    <v>6</v>
  </rv>
  <rv s="3">
    <fb>63.48</fb>
    <v>6</v>
  </rv>
  <rv s="3">
    <fb>1844</fb>
    <v>6</v>
  </rv>
  <rv s="3">
    <fb>5026.25</fb>
    <v>6</v>
  </rv>
  <rv s="3">
    <fb>1344.9749999999999</fb>
    <v>6</v>
  </rv>
  <rv s="3">
    <fb>273.3</fb>
    <v>6</v>
  </rv>
  <rv s="3">
    <fb>63.55</fb>
    <v>6</v>
  </rv>
  <rv s="3">
    <fb>1834.2</fb>
    <v>6</v>
  </rv>
  <rv s="3">
    <fb>4972.6499999999996</fb>
    <v>6</v>
  </rv>
  <rv s="3">
    <fb>1353.5250000000001</fb>
    <v>6</v>
  </rv>
  <rv s="3">
    <fb>274.14999999999998</fb>
    <v>6</v>
  </rv>
  <rv s="3">
    <fb>63.59</fb>
    <v>6</v>
  </rv>
  <rv s="3">
    <fb>1805.55</fb>
    <v>6</v>
  </rv>
  <rv s="3">
    <fb>4782.5</fb>
    <v>6</v>
  </rv>
  <rv s="3">
    <fb>1337.425</fb>
    <v>6</v>
  </rv>
  <rv s="3">
    <fb>269</fb>
    <v>6</v>
  </rv>
  <rv s="3">
    <fb>63.69</fb>
    <v>6</v>
  </rv>
  <rv s="3">
    <fb>1798.1</fb>
    <v>6</v>
  </rv>
  <rv s="3">
    <fb>4706.8</fb>
    <v>6</v>
  </rv>
  <rv s="3">
    <fb>1299.075</fb>
    <v>6</v>
  </rv>
  <rv s="3">
    <fb>275.3</fb>
    <v>6</v>
  </rv>
  <rv s="3">
    <fb>63.99</fb>
    <v>6</v>
  </rv>
  <rv s="3">
    <fb>1787.95</fb>
    <v>6</v>
  </rv>
  <rv s="3">
    <fb>4667.95</fb>
    <v>6</v>
  </rv>
  <rv s="3">
    <fb>1286.925</fb>
    <v>6</v>
  </rv>
  <rv s="3">
    <fb>266.10000000000002</fb>
    <v>6</v>
  </rv>
  <rv s="3">
    <fb>63.81</fb>
    <v>6</v>
  </rv>
  <rv s="3">
    <fb>1728.05</fb>
    <v>6</v>
  </rv>
  <rv s="3">
    <fb>4693.45</fb>
    <v>6</v>
  </rv>
  <rv s="3">
    <fb>1290.875</fb>
    <v>6</v>
  </rv>
  <rv s="3">
    <fb>278.7</fb>
    <v>6</v>
  </rv>
  <rv s="3">
    <fb>63.45</fb>
    <v>6</v>
  </rv>
  <rv s="3">
    <fb>1737.4</fb>
    <v>6</v>
  </rv>
  <rv s="3">
    <fb>4708.8999999999996</fb>
    <v>6</v>
  </rv>
  <rv s="3">
    <fb>1258</fb>
    <v>6</v>
  </rv>
  <rv s="3">
    <fb>279.95</fb>
    <v>6</v>
  </rv>
  <rv s="3">
    <fb>63.02</fb>
    <v>6</v>
  </rv>
  <rv s="3">
    <fb>1734.5</fb>
    <v>6</v>
  </rv>
  <rv s="3">
    <fb>4697.8999999999996</fb>
    <v>6</v>
  </rv>
  <rv s="3">
    <fb>1256.2249999999999</fb>
    <v>6</v>
  </rv>
  <rv s="3">
    <fb>275.35000000000002</fb>
    <v>6</v>
  </rv>
  <rv s="3">
    <fb>63.01</fb>
    <v>6</v>
  </rv>
  <rv s="3">
    <fb>1735.05</fb>
    <v>6</v>
  </rv>
  <rv s="3">
    <fb>4728.05</fb>
    <v>6</v>
  </rv>
  <rv s="3">
    <fb>1255.9000000000001</fb>
    <v>6</v>
  </rv>
  <rv s="3">
    <fb>277.55</fb>
    <v>6</v>
  </rv>
  <rv s="3">
    <fb>63.54</fb>
    <v>6</v>
  </rv>
  <rv s="3">
    <fb>1738.3</fb>
    <v>6</v>
  </rv>
  <rv s="3">
    <fb>4779.8</fb>
    <v>6</v>
  </rv>
  <rv s="3">
    <fb>1251.0250000000001</fb>
    <v>6</v>
  </rv>
  <rv s="3">
    <fb>280.05</fb>
    <v>6</v>
  </rv>
  <rv s="3">
    <fb>63.98</fb>
    <v>6</v>
  </rv>
  <rv s="3">
    <fb>1723.75</fb>
    <v>6</v>
  </rv>
  <rv s="3">
    <fb>4722.1000000000004</fb>
    <v>6</v>
  </rv>
  <rv s="3">
    <fb>1242.125</fb>
    <v>6</v>
  </rv>
  <rv s="3">
    <fb>279.55</fb>
    <v>6</v>
  </rv>
  <rv s="3">
    <fb>63.86</fb>
    <v>6</v>
  </rv>
  <rv s="3">
    <fb>1733.75</fb>
    <v>6</v>
  </rv>
  <rv s="3">
    <fb>4678.25</fb>
    <v>6</v>
  </rv>
  <rv s="3">
    <fb>1231.125</fb>
    <v>6</v>
  </rv>
  <rv s="3">
    <fb>274.25</fb>
    <v>6</v>
  </rv>
  <rv s="3">
    <fb>64.44</fb>
    <v>6</v>
  </rv>
  <rv s="3">
    <fb>1702</fb>
    <v>6</v>
  </rv>
  <rv s="3">
    <fb>4623.8500000000004</fb>
    <v>6</v>
  </rv>
  <rv s="3">
    <fb>1189.3499999999999</fb>
    <v>6</v>
  </rv>
  <rv s="3">
    <fb>270.55</fb>
    <v>6</v>
  </rv>
  <rv s="3">
    <fb>1706.05</fb>
    <v>6</v>
  </rv>
  <rv s="3">
    <fb>4765.6499999999996</fb>
    <v>6</v>
  </rv>
  <rv s="3">
    <fb>1175.125</fb>
    <v>6</v>
  </rv>
  <rv s="3">
    <fb>257.45</fb>
    <v>6</v>
  </rv>
  <rv s="3">
    <fb>65.180000000000007</fb>
    <v>6</v>
  </rv>
  <rv s="3">
    <fb>1711.85</fb>
    <v>6</v>
  </rv>
  <rv s="3">
    <fb>4810.45</fb>
    <v>6</v>
  </rv>
  <rv s="3">
    <fb>1177.325</fb>
    <v>6</v>
  </rv>
  <rv s="3">
    <fb>265.7</fb>
    <v>6</v>
  </rv>
  <rv s="3">
    <fb>65.790000000000006</fb>
    <v>6</v>
  </rv>
  <rv s="3">
    <fb>1698.15</fb>
    <v>6</v>
  </rv>
  <rv s="3">
    <fb>4759.05</fb>
    <v>6</v>
  </rv>
  <rv s="3">
    <fb>256.35000000000002</fb>
    <v>6</v>
  </rv>
  <rv s="3">
    <fb>65.73</fb>
    <v>6</v>
  </rv>
  <rv s="3">
    <fb>1716</fb>
    <v>6</v>
  </rv>
  <rv s="3">
    <fb>4677.75</fb>
    <v>6</v>
  </rv>
  <rv s="3">
    <fb>1163.575</fb>
    <v>6</v>
  </rv>
  <rv s="3">
    <fb>264.05</fb>
    <v>6</v>
  </rv>
  <rv s="3">
    <fb>66.16</fb>
    <v>6</v>
  </rv>
  <rv s="3">
    <fb>1635.3</fb>
    <v>6</v>
  </rv>
  <rv s="3">
    <fb>4668.5</fb>
    <v>6</v>
  </rv>
  <rv s="3">
    <fb>1129.325</fb>
    <v>6</v>
  </rv>
  <rv s="3">
    <fb>254.3</fb>
    <v>6</v>
  </rv>
  <rv s="3">
    <fb>65.75</fb>
    <v>6</v>
  </rv>
  <rv s="3">
    <fb>1616.75</fb>
    <v>6</v>
  </rv>
  <rv s="3">
    <fb>4591.6000000000004</fb>
    <v>6</v>
  </rv>
  <rv s="3">
    <fb>1130.3499999999999</fb>
    <v>6</v>
  </rv>
  <rv s="3">
    <fb>253.8</fb>
    <v>6</v>
  </rv>
  <rv s="3">
    <fb>65.45</fb>
    <v>6</v>
  </rv>
  <rv s="3">
    <fb>1605.9</fb>
    <v>6</v>
  </rv>
  <rv s="3">
    <fb>4720.6499999999996</fb>
    <v>6</v>
  </rv>
  <rv s="3">
    <fb>1136.0250000000001</fb>
    <v>6</v>
  </rv>
  <rv s="3">
    <fb>253.95</fb>
    <v>6</v>
  </rv>
  <rv s="3">
    <fb>65.78</fb>
    <v>6</v>
  </rv>
  <rv s="3">
    <fb>1661.35</fb>
    <v>6</v>
  </rv>
  <rv s="3">
    <fb>4898.1499999999996</fb>
    <v>6</v>
  </rv>
  <rv s="3">
    <fb>1133.7</fb>
    <v>6</v>
  </rv>
  <rv s="3">
    <fb>252.25</fb>
    <v>6</v>
  </rv>
  <rv s="3">
    <fb>66.3</fb>
    <v>6</v>
  </rv>
  <rv s="3">
    <fb>1624.15</fb>
    <v>6</v>
  </rv>
  <rv s="3">
    <fb>4869.25</fb>
    <v>6</v>
  </rv>
  <rv s="3">
    <fb>1138.1500000000001</fb>
    <v>6</v>
  </rv>
  <rv s="3">
    <fb>246.85</fb>
    <v>6</v>
  </rv>
  <rv s="3">
    <fb>67.02</fb>
    <v>6</v>
  </rv>
  <rv s="3">
    <fb>1622.15</fb>
    <v>6</v>
  </rv>
  <rv s="3">
    <fb>4894.6499999999996</fb>
    <v>6</v>
  </rv>
  <rv s="3">
    <fb>1131.4749999999999</fb>
    <v>6</v>
  </rv>
  <rv s="3">
    <fb>241.75</fb>
    <v>6</v>
  </rv>
  <rv s="3">
    <fb>66.92</fb>
    <v>6</v>
  </rv>
  <rv s="3">
    <fb>1628.85</fb>
    <v>6</v>
  </rv>
  <rv s="3">
    <fb>4953.6000000000004</fb>
    <v>6</v>
  </rv>
  <rv s="3">
    <fb>1141.1500000000001</fb>
    <v>6</v>
  </rv>
  <rv s="3">
    <fb>248.99</fb>
    <v>6</v>
  </rv>
  <rv s="3">
    <fb>66.62</fb>
    <v>6</v>
  </rv>
  <rv s="3">
    <fb>1608.8</fb>
    <v>6</v>
  </rv>
  <rv s="3">
    <fb>4831.8500000000004</fb>
    <v>6</v>
  </rv>
  <rv s="3">
    <fb>1123.0999999999999</fb>
    <v>6</v>
  </rv>
  <rv s="3">
    <fb>245.08</fb>
    <v>6</v>
  </rv>
  <rv s="3">
    <fb>66.02</fb>
    <v>6</v>
  </rv>
  <rv s="3">
    <fb>1633.2</fb>
    <v>6</v>
  </rv>
  <rv s="3">
    <fb>4899.8</fb>
    <v>6</v>
  </rv>
  <rv s="3">
    <fb>1131.2249999999999</fb>
    <v>6</v>
  </rv>
  <rv s="3">
    <fb>241.87</fb>
    <v>6</v>
  </rv>
  <rv s="3">
    <fb>65.94</fb>
    <v>6</v>
  </rv>
  <rv s="3">
    <fb>1603.95</fb>
    <v>6</v>
  </rv>
  <rv s="3">
    <fb>4917.1499999999996</fb>
    <v>6</v>
  </rv>
  <rv s="3">
    <fb>1137.8</fb>
    <v>6</v>
  </rv>
  <rv s="3">
    <fb>254.94</fb>
    <v>6</v>
  </rv>
  <rv s="3">
    <fb>65.59</fb>
    <v>6</v>
  </rv>
  <rv s="3">
    <fb>1589.85</fb>
    <v>6</v>
  </rv>
  <rv s="3">
    <fb>4878</fb>
    <v>6</v>
  </rv>
  <rv s="3">
    <fb>1131.425</fb>
    <v>6</v>
  </rv>
  <rv s="3">
    <fb>255.22</fb>
    <v>6</v>
  </rv>
  <rv s="3">
    <fb>64.33</fb>
    <v>6</v>
  </rv>
  <rv s="3">
    <fb>1569.95</fb>
    <v>6</v>
  </rv>
  <rv s="3">
    <fb>4785.25</fb>
    <v>6</v>
  </rv>
  <rv s="3">
    <fb>1147.825</fb>
    <v>6</v>
  </rv>
  <rv s="3">
    <fb>248.73</fb>
    <v>6</v>
  </rv>
  <rv s="3">
    <fb>65</fb>
    <v>6</v>
  </rv>
  <rv s="3">
    <fb>1566</fb>
    <v>6</v>
  </rv>
  <rv s="3">
    <fb>4793.45</fb>
    <v>6</v>
  </rv>
  <rv s="3">
    <fb>1139.5250000000001</fb>
    <v>6</v>
  </rv>
  <rv s="3">
    <fb>258.62</fb>
    <v>6</v>
  </rv>
  <rv s="3">
    <fb>64.489999999999995</fb>
    <v>6</v>
  </rv>
  <rv s="3">
    <fb>1562.45</fb>
    <v>6</v>
  </rv>
  <rv s="3">
    <fb>4738.2</fb>
    <v>6</v>
  </rv>
  <rv s="3">
    <fb>1128.0999999999999</fb>
    <v>6</v>
  </rv>
  <rv s="3">
    <fb>260.99</fb>
    <v>6</v>
  </rv>
  <rv s="3">
    <fb>62.84</fb>
    <v>6</v>
  </rv>
  <rv s="3">
    <fb>1546.7</fb>
    <v>6</v>
  </rv>
  <rv s="3">
    <fb>4588.7</fb>
    <v>6</v>
  </rv>
  <rv s="3">
    <fb>1117.625</fb>
    <v>6</v>
  </rv>
  <rv s="3">
    <fb>258.39999999999998</fb>
    <v>6</v>
  </rv>
  <rv s="3">
    <fb>63.25</fb>
    <v>6</v>
  </rv>
  <rv s="3">
    <fb>1562.3</fb>
    <v>6</v>
  </rv>
  <rv s="3">
    <fb>4883.7</fb>
    <v>6</v>
  </rv>
  <rv s="3">
    <fb>1091.4000000000001</fb>
    <v>6</v>
  </rv>
  <rv s="3">
    <fb>269.66000000000003</fb>
    <v>6</v>
  </rv>
  <rv s="3">
    <fb>61.79</fb>
    <v>6</v>
  </rv>
  <rv s="3">
    <fb>1562.6</fb>
    <v>6</v>
  </rv>
  <rv s="3">
    <fb>4875.6499999999996</fb>
    <v>6</v>
  </rv>
  <rv s="3">
    <fb>1106.5999999999999</fb>
    <v>6</v>
  </rv>
  <rv s="3">
    <fb>270.79000000000002</fb>
    <v>6</v>
  </rv>
  <rv s="3">
    <fb>62.9</fb>
    <v>6</v>
  </rv>
  <rv s="3">
    <fb>1522.9</fb>
    <v>6</v>
  </rv>
  <rv s="3">
    <fb>4965.45</fb>
    <v>6</v>
  </rv>
  <rv s="3">
    <fb>1107.075</fb>
    <v>6</v>
  </rv>
  <rv s="3">
    <fb>271.36</fb>
    <v>6</v>
  </rv>
  <rv s="3">
    <fb>63.72</fb>
    <v>6</v>
  </rv>
  <rv s="3">
    <fb>1477.95</fb>
    <v>6</v>
  </rv>
  <rv s="3">
    <fb>4882.1000000000004</fb>
    <v>6</v>
  </rv>
  <rv s="3">
    <fb>1105.5999999999999</fb>
    <v>6</v>
  </rv>
  <rv s="3">
    <fb>266.81</fb>
    <v>6</v>
  </rv>
  <rv s="3">
    <fb>64.569999999999993</fb>
    <v>6</v>
  </rv>
  <rv s="3">
    <fb>1485.15</fb>
    <v>6</v>
  </rv>
  <rv s="3">
    <fb>4986.2</fb>
    <v>6</v>
  </rv>
  <rv s="3">
    <fb>1123.6500000000001</fb>
    <v>6</v>
  </rv>
  <rv s="3">
    <fb>264.2</fb>
    <v>6</v>
  </rv>
  <rv s="3">
    <fb>65.33</fb>
    <v>6</v>
  </rv>
  <rv s="3">
    <fb>1495.2</fb>
    <v>6</v>
  </rv>
  <rv s="3">
    <fb>5002.3500000000004</fb>
    <v>6</v>
  </rv>
  <rv s="3">
    <fb>1128.4749999999999</fb>
    <v>6</v>
  </rv>
  <rv s="3">
    <fb>273.31</fb>
    <v>6</v>
  </rv>
  <rv s="3">
    <fb>64.38</fb>
    <v>6</v>
  </rv>
  <rv s="3">
    <fb>1506.75</fb>
    <v>6</v>
  </rv>
  <rv s="3">
    <fb>4931.75</fb>
    <v>6</v>
  </rv>
  <rv s="3">
    <fb>1132.625</fb>
    <v>6</v>
  </rv>
  <rv s="3">
    <fb>280.11</fb>
    <v>6</v>
  </rv>
  <rv s="3">
    <fb>63.39</fb>
    <v>6</v>
  </rv>
  <rv s="3">
    <fb>1505.4</fb>
    <v>6</v>
  </rv>
  <rv s="3">
    <fb>4917.5</fb>
    <v>6</v>
  </rv>
  <rv s="3">
    <fb>1136.9749999999999</fb>
    <v>6</v>
  </rv>
  <rv s="3">
    <fb>284.72000000000003</fb>
    <v>6</v>
  </rv>
  <rv s="3">
    <fb>63.96</fb>
    <v>6</v>
  </rv>
  <rv s="3">
    <fb>1428.6</fb>
    <v>6</v>
  </rv>
  <rv s="3">
    <fb>4815.7</fb>
    <v>6</v>
  </rv>
  <rv s="3">
    <fb>1118.125</fb>
    <v>6</v>
  </rv>
  <rv s="3">
    <fb>286.13</fb>
    <v>6</v>
  </rv>
  <rv s="3">
    <fb>64.040000000000006</fb>
    <v>6</v>
  </rv>
  <rv s="3">
    <fb>1437.75</fb>
    <v>6</v>
  </rv>
  <rv s="3">
    <fb>1117.325</fb>
    <v>6</v>
  </rv>
  <rv s="3">
    <fb>279.76</fb>
    <v>6</v>
  </rv>
  <rv s="3">
    <fb>64.290000000000006</fb>
    <v>6</v>
  </rv>
  <rv s="3">
    <fb>1422.05</fb>
    <v>6</v>
  </rv>
  <rv s="3">
    <fb>4820.7</fb>
    <v>6</v>
  </rv>
  <rv s="3">
    <fb>1125.925</fb>
    <v>6</v>
  </rv>
  <rv s="3">
    <fb>282.5</fb>
    <v>6</v>
  </rv>
  <rv s="3">
    <fb>63.76</fb>
    <v>6</v>
  </rv>
  <rv s="3">
    <fb>1440.95</fb>
    <v>6</v>
  </rv>
  <rv s="3">
    <fb>4844.3500000000004</fb>
    <v>6</v>
  </rv>
  <rv s="3">
    <fb>1130.8499999999999</fb>
    <v>6</v>
  </rv>
  <rv s="3">
    <fb>279.85000000000002</fb>
    <v>6</v>
  </rv>
  <rv s="3">
    <fb>64.06</fb>
    <v>6</v>
  </rv>
  <rv s="3">
    <fb>1452.6</fb>
    <v>6</v>
  </rv>
  <rv s="3">
    <fb>4797.05</fb>
    <v>6</v>
  </rv>
  <rv s="3">
    <fb>1128.9000000000001</fb>
    <v>6</v>
  </rv>
  <rv s="3">
    <fb>286.25</fb>
    <v>6</v>
  </rv>
  <rv s="3">
    <fb>64.010000000000005</fb>
    <v>6</v>
  </rv>
  <rv s="3">
    <fb>1431.85</fb>
    <v>6</v>
  </rv>
  <rv s="3">
    <fb>4837.55</fb>
    <v>6</v>
  </rv>
  <rv s="3">
    <fb>1132.75</fb>
    <v>6</v>
  </rv>
  <rv s="3">
    <fb>299.35000000000002</fb>
    <v>6</v>
  </rv>
  <rv s="3">
    <fb>1448.55</fb>
    <v>6</v>
  </rv>
  <rv s="3">
    <fb>4877.05</fb>
    <v>6</v>
  </rv>
  <rv s="3">
    <fb>1133.9000000000001</fb>
    <v>6</v>
  </rv>
  <rv s="3">
    <fb>302.95</fb>
    <v>6</v>
  </rv>
  <rv s="3">
    <fb>1469.3</fb>
    <v>6</v>
  </rv>
  <rv s="3">
    <fb>4842.1000000000004</fb>
    <v>6</v>
  </rv>
  <rv s="3">
    <fb>1114.425</fb>
    <v>6</v>
  </rv>
  <rv s="3">
    <fb>295.3</fb>
    <v>6</v>
  </rv>
  <rv s="3">
    <fb>1461.85</fb>
    <v>6</v>
  </rv>
  <rv s="3">
    <fb>4813.05</fb>
    <v>6</v>
  </rv>
  <rv s="3">
    <fb>1107.2249999999999</fb>
    <v>6</v>
  </rv>
  <rv s="3">
    <fb>295.85000000000002</fb>
    <v>6</v>
  </rv>
  <rv s="3">
    <fb>64.67</fb>
    <v>6</v>
  </rv>
  <rv s="3">
    <fb>1456.15</fb>
    <v>6</v>
  </rv>
  <rv s="3">
    <fb>4801.95</fb>
    <v>6</v>
  </rv>
  <rv s="3">
    <fb>1120.5250000000001</fb>
    <v>6</v>
  </rv>
  <rv s="3">
    <fb>291.8</fb>
    <v>6</v>
  </rv>
  <rv s="3">
    <fb>65.040000000000006</fb>
    <v>6</v>
  </rv>
  <rv s="3">
    <fb>1432.5</fb>
    <v>6</v>
  </rv>
  <rv s="3">
    <fb>4807.6499999999996</fb>
    <v>6</v>
  </rv>
  <rv s="3">
    <fb>1112.0250000000001</fb>
    <v>6</v>
  </rv>
  <rv s="3">
    <fb>284.89999999999998</fb>
    <v>6</v>
  </rv>
  <rv s="3">
    <fb>65.489999999999995</fb>
    <v>6</v>
  </rv>
  <rv s="3">
    <fb>1428.8</fb>
    <v>6</v>
  </rv>
  <rv s="3">
    <fb>4825.8999999999996</fb>
    <v>6</v>
  </rv>
  <rv s="3">
    <fb>1126.75</fb>
    <v>6</v>
  </rv>
  <rv s="3">
    <fb>288.25</fb>
    <v>6</v>
  </rv>
  <rv s="3">
    <fb>64.61</fb>
    <v>6</v>
  </rv>
  <rv s="3">
    <fb>1421.65</fb>
    <v>6</v>
  </rv>
  <rv s="3">
    <fb>4838.5</fb>
    <v>6</v>
  </rv>
  <rv s="3">
    <fb>1119.375</fb>
    <v>6</v>
  </rv>
  <rv s="3">
    <fb>294.14999999999998</fb>
    <v>6</v>
  </rv>
  <rv s="3">
    <fb>64.48</fb>
    <v>6</v>
  </rv>
  <rv s="3">
    <fb>4742.6499999999996</fb>
    <v>6</v>
  </rv>
  <rv s="3">
    <fb>1101.4749999999999</fb>
    <v>6</v>
  </rv>
  <rv s="3">
    <fb>296.8</fb>
    <v>6</v>
  </rv>
  <rv s="3">
    <fb>64.099999999999994</fb>
    <v>6</v>
  </rv>
  <rv s="3">
    <fb>1398</fb>
    <v>6</v>
  </rv>
  <rv s="3">
    <fb>4749.8500000000004</fb>
    <v>6</v>
  </rv>
  <rv s="3">
    <fb>1094.0250000000001</fb>
    <v>6</v>
  </rv>
  <rv s="3">
    <fb>291.89999999999998</fb>
    <v>6</v>
  </rv>
  <rv s="3">
    <fb>1405.9</fb>
    <v>6</v>
  </rv>
  <rv s="3">
    <fb>4771.95</fb>
    <v>6</v>
  </rv>
  <rv s="3">
    <fb>1080.2</fb>
    <v>6</v>
  </rv>
  <rv s="3">
    <fb>288.5</fb>
    <v>6</v>
  </rv>
  <rv s="3">
    <fb>63.78</fb>
    <v>6</v>
  </rv>
  <rv s="3">
    <fb>1400.6</fb>
    <v>6</v>
  </rv>
  <rv s="3">
    <fb>4734.5</fb>
    <v>6</v>
  </rv>
  <rv s="3">
    <fb>1081.75</fb>
    <v>6</v>
  </rv>
  <rv s="3">
    <fb>282.10000000000002</fb>
    <v>6</v>
  </rv>
  <rv s="3">
    <fb>63.32</fb>
    <v>6</v>
  </rv>
  <rv s="3">
    <fb>1405.3</fb>
    <v>6</v>
  </rv>
  <rv s="3">
    <fb>4750.55</fb>
    <v>6</v>
  </rv>
  <rv s="3">
    <fb>1075.8</fb>
    <v>6</v>
  </rv>
  <rv s="3">
    <fb>273.95</fb>
    <v>6</v>
  </rv>
  <rv s="3">
    <fb>63.97</fb>
    <v>6</v>
  </rv>
  <rv s="3">
    <fb>1387</fb>
    <v>6</v>
  </rv>
  <rv s="3">
    <fb>4792.8999999999996</fb>
    <v>6</v>
  </rv>
  <rv s="3">
    <fb>1083.3499999999999</fb>
    <v>6</v>
  </rv>
  <rv s="3">
    <fb>274.85000000000002</fb>
    <v>6</v>
  </rv>
  <rv s="3">
    <fb>63.68</fb>
    <v>6</v>
  </rv>
  <rv s="3">
    <fb>1409.05</fb>
    <v>6</v>
  </rv>
  <rv s="3">
    <fb>4801.3500000000004</fb>
    <v>6</v>
  </rv>
  <rv s="3">
    <fb>1074.95</fb>
    <v>6</v>
  </rv>
  <rv s="3">
    <fb>273.2</fb>
    <v>6</v>
  </rv>
  <rv s="3">
    <fb>64</fb>
    <v>6</v>
  </rv>
  <rv s="3">
    <fb>1082.8</fb>
    <v>6</v>
  </rv>
  <rv s="3">
    <fb>271.25</fb>
    <v>6</v>
  </rv>
  <rv s="3">
    <fb>64.209999999999994</fb>
    <v>6</v>
  </rv>
  <rv s="3">
    <fb>1403.85</fb>
    <v>6</v>
  </rv>
  <rv s="3">
    <fb>4855.8</fb>
    <v>6</v>
  </rv>
  <rv s="3">
    <fb>1079.95</fb>
    <v>6</v>
  </rv>
  <rv s="3">
    <fb>1390.4</fb>
    <v>6</v>
  </rv>
  <rv s="3">
    <fb>4821.8999999999996</fb>
    <v>6</v>
  </rv>
  <rv s="3">
    <fb>1085.0250000000001</fb>
    <v>6</v>
  </rv>
  <rv s="3">
    <fb>278.05</fb>
    <v>6</v>
  </rv>
  <rv s="3">
    <fb>64.09</fb>
    <v>6</v>
  </rv>
  <rv s="3">
    <fb>1400.4</fb>
    <v>6</v>
  </rv>
  <rv s="3">
    <fb>4885.3</fb>
    <v>6</v>
  </rv>
  <rv s="3">
    <fb>1084.625</fb>
    <v>6</v>
  </rv>
  <rv s="3">
    <fb>276.5</fb>
    <v>6</v>
  </rv>
  <rv s="3">
    <fb>64.349999999999994</fb>
    <v>6</v>
  </rv>
  <rv s="3">
    <fb>1422.25</fb>
    <v>6</v>
  </rv>
  <rv s="3">
    <fb>5308.1</fb>
    <v>6</v>
  </rv>
  <rv s="3">
    <fb>1100.0999999999999</fb>
    <v>6</v>
  </rv>
  <rv s="3">
    <fb>284.60000000000002</fb>
    <v>6</v>
  </rv>
  <rv s="3">
    <fb>64.599999999999994</fb>
    <v>6</v>
  </rv>
  <rv s="3">
    <fb>1447.7</fb>
    <v>6</v>
  </rv>
  <rv s="3">
    <fb>5310.75</fb>
    <v>6</v>
  </rv>
  <rv s="3">
    <fb>1116.3499999999999</fb>
    <v>6</v>
  </rv>
  <rv s="3">
    <fb>272.85000000000002</fb>
    <v>6</v>
  </rv>
  <rv s="3">
    <fb>65.069999999999993</fb>
    <v>6</v>
  </rv>
  <rv s="3">
    <fb>1434.65</fb>
    <v>6</v>
  </rv>
  <rv s="3">
    <fb>5250.1</fb>
    <v>6</v>
  </rv>
  <rv s="3">
    <fb>1092.5</fb>
    <v>6</v>
  </rv>
  <rv s="3">
    <fb>264.85000000000002</fb>
    <v>6</v>
  </rv>
  <rv s="3">
    <fb>1477.75</fb>
    <v>6</v>
  </rv>
  <rv s="3">
    <fb>5177.3</fb>
    <v>6</v>
  </rv>
  <rv s="3">
    <fb>1106.325</fb>
    <v>6</v>
  </rv>
  <rv s="3">
    <fb>252.45</fb>
    <v>6</v>
  </rv>
  <rv s="3">
    <fb>64.77</fb>
    <v>6</v>
  </rv>
  <rv s="3">
    <fb>1463.15</fb>
    <v>6</v>
  </rv>
  <rv s="3">
    <fb>5163.2</fb>
    <v>6</v>
  </rv>
  <rv s="3">
    <fb>1109.95</fb>
    <v>6</v>
  </rv>
  <rv s="3">
    <fb>250.05</fb>
    <v>6</v>
  </rv>
  <rv s="3">
    <fb>65.12</fb>
    <v>6</v>
  </rv>
  <rv s="3">
    <fb>1468.45</fb>
    <v>6</v>
  </rv>
  <rv s="3">
    <fb>5139.8999999999996</fb>
    <v>6</v>
  </rv>
  <rv s="3">
    <fb>1128.0250000000001</fb>
    <v>6</v>
  </rv>
  <rv s="3">
    <fb>245.35</fb>
    <v>6</v>
  </rv>
  <rv s="3">
    <fb>65.400000000000006</fb>
    <v>6</v>
  </rv>
  <rv s="3">
    <fb>1478.3</fb>
    <v>6</v>
  </rv>
  <rv s="3">
    <fb>5058.45</fb>
    <v>6</v>
  </rv>
  <rv s="3">
    <fb>1123.95</fb>
    <v>6</v>
  </rv>
  <rv s="3">
    <fb>242.95</fb>
    <v>6</v>
  </rv>
  <rv s="3">
    <fb>65.930000000000007</fb>
    <v>6</v>
  </rv>
  <rv s="3">
    <fb>1467.4</fb>
    <v>6</v>
  </rv>
  <rv s="3">
    <fb>4939.1000000000004</fb>
    <v>6</v>
  </rv>
  <rv s="3">
    <fb>1118.675</fb>
    <v>6</v>
  </rv>
  <rv s="3">
    <fb>227.15</fb>
    <v>6</v>
  </rv>
  <rv s="3">
    <fb>66.25</fb>
    <v>6</v>
  </rv>
  <rv s="3">
    <fb>1499.25</fb>
    <v>6</v>
  </rv>
  <rv s="3">
    <fb>5029.55</fb>
    <v>6</v>
  </rv>
  <rv s="3">
    <fb>1109.5250000000001</fb>
    <v>6</v>
  </rv>
  <rv s="3">
    <fb>233.6</fb>
    <v>6</v>
  </rv>
  <rv s="3">
    <fb>66.040000000000006</fb>
    <v>6</v>
  </rv>
  <rv s="3">
    <fb>1472.75</fb>
    <v>6</v>
  </rv>
  <rv s="3">
    <fb>5081.8999999999996</fb>
    <v>6</v>
  </rv>
  <rv s="3">
    <fb>1099.825</fb>
    <v>6</v>
  </rv>
  <rv s="3">
    <fb>243.9</fb>
    <v>6</v>
  </rv>
  <rv s="3">
    <fb>66.260000000000005</fb>
    <v>6</v>
  </rv>
  <rv s="3">
    <fb>1513.6</fb>
    <v>6</v>
  </rv>
  <rv s="3">
    <fb>5047.8</fb>
    <v>6</v>
  </rv>
  <rv s="3">
    <fb>1084.6500000000001</fb>
    <v>6</v>
  </rv>
  <rv s="3">
    <fb>241.9</fb>
    <v>6</v>
  </rv>
  <rv s="3">
    <fb>66.59</fb>
    <v>6</v>
  </rv>
  <rv s="3">
    <fb>1540.5</fb>
    <v>6</v>
  </rv>
  <rv s="3">
    <fb>5012.3</fb>
    <v>6</v>
  </rv>
  <rv s="3">
    <fb>1108.5999999999999</fb>
    <v>6</v>
  </rv>
  <rv s="3">
    <fb>248.8</fb>
    <v>6</v>
  </rv>
  <rv s="3">
    <fb>66.66</fb>
    <v>6</v>
  </rv>
  <rv s="3">
    <fb>1499.7</fb>
    <v>6</v>
  </rv>
  <rv s="3">
    <fb>5016.75</fb>
    <v>6</v>
  </rv>
  <rv s="3">
    <fb>1107</fb>
    <v>6</v>
  </rv>
  <rv s="3">
    <fb>239.75</fb>
    <v>6</v>
  </rv>
  <rv s="3">
    <fb>1466.55</fb>
    <v>6</v>
  </rv>
  <rv s="3">
    <fb>4969.95</fb>
    <v>6</v>
  </rv>
  <rv s="3">
    <fb>1098.2249999999999</fb>
    <v>6</v>
  </rv>
  <rv s="3">
    <fb>214.55</fb>
    <v>6</v>
  </rv>
  <rv s="3">
    <fb>66.95</fb>
    <v>6</v>
  </rv>
  <rv s="3">
    <fb>5009.7</fb>
    <v>6</v>
  </rv>
  <rv s="3">
    <fb>1103.9000000000001</fb>
    <v>6</v>
  </rv>
  <rv s="3">
    <fb>216.45</fb>
    <v>6</v>
  </rv>
  <rv s="3">
    <fb>67.62</fb>
    <v>6</v>
  </rv>
  <rv s="3">
    <fb>1449.85</fb>
    <v>6</v>
  </rv>
  <rv s="3">
    <fb>5116.2</fb>
    <v>6</v>
  </rv>
  <rv s="3">
    <fb>1099.4749999999999</fb>
    <v>6</v>
  </rv>
  <rv s="3">
    <fb>221.95</fb>
    <v>6</v>
  </rv>
  <rv s="3">
    <fb>67.430000000000007</fb>
    <v>6</v>
  </rv>
  <rv s="3">
    <fb>1440.4</fb>
    <v>6</v>
  </rv>
  <rv s="3">
    <fb>5206.3</fb>
    <v>6</v>
  </rv>
  <rv s="3">
    <fb>1103.95</fb>
    <v>6</v>
  </rv>
  <rv s="3">
    <fb>215.6</fb>
    <v>6</v>
  </rv>
  <rv s="3">
    <fb>67.77</fb>
    <v>6</v>
  </rv>
  <rv s="3">
    <fb>1424.4</fb>
    <v>6</v>
  </rv>
  <rv s="3">
    <fb>5144.5</fb>
    <v>6</v>
  </rv>
  <rv s="3">
    <fb>1087.375</fb>
    <v>6</v>
  </rv>
  <rv s="3">
    <fb>206.2</fb>
    <v>6</v>
  </rv>
  <rv s="3">
    <fb>67.69</fb>
    <v>6</v>
  </rv>
  <rv s="3">
    <fb>1419.5</fb>
    <v>6</v>
  </rv>
  <rv s="3">
    <fb>5105.3999999999996</fb>
    <v>6</v>
  </rv>
  <rv s="3">
    <fb>1078.1500000000001</fb>
    <v>6</v>
  </rv>
  <rv s="3">
    <fb>208.2</fb>
    <v>6</v>
  </rv>
  <rv s="3">
    <fb>67.58</fb>
    <v>6</v>
  </rv>
  <rv s="3">
    <fb>5182.8999999999996</fb>
    <v>6</v>
  </rv>
  <rv s="3">
    <fb>1090.3499999999999</fb>
    <v>6</v>
  </rv>
  <rv s="3">
    <fb>222.5</fb>
    <v>6</v>
  </rv>
  <rv s="3">
    <fb>67.86</fb>
    <v>6</v>
  </rv>
  <rv s="3">
    <fb>1472.9</fb>
    <v>6</v>
  </rv>
  <rv s="3">
    <fb>5164.3500000000004</fb>
    <v>6</v>
  </rv>
  <rv s="3">
    <fb>1108.675</fb>
    <v>6</v>
  </rv>
  <rv s="3">
    <fb>218.8</fb>
    <v>6</v>
  </rv>
  <rv s="3">
    <fb>68.09</fb>
    <v>6</v>
  </rv>
  <rv s="3">
    <fb>1483.6</fb>
    <v>6</v>
  </rv>
  <rv s="3">
    <fb>5194.3</fb>
    <v>6</v>
  </rv>
  <rv s="3">
    <fb>1156.5999999999999</fb>
    <v>6</v>
  </rv>
  <rv s="3">
    <fb>220.35</fb>
    <v>6</v>
  </rv>
  <rv s="3">
    <fb>69.08</fb>
    <v>6</v>
  </rv>
  <rv s="3">
    <fb>1454.35</fb>
    <v>6</v>
  </rv>
  <rv s="3">
    <fb>5390.15</fb>
    <v>6</v>
  </rv>
  <rv s="3">
    <fb>1163.5999999999999</fb>
    <v>6</v>
  </rv>
  <rv s="3">
    <fb>236.32</fb>
    <v>6</v>
  </rv>
  <rv s="3">
    <fb>68.95</fb>
    <v>6</v>
  </rv>
  <rv s="3">
    <fb>1459.95</fb>
    <v>6</v>
  </rv>
  <rv s="3">
    <fb>5485.25</fb>
    <v>6</v>
  </rv>
  <rv s="3">
    <fb>1158.55</fb>
    <v>6</v>
  </rv>
  <rv s="3">
    <fb>238.2</fb>
    <v>6</v>
  </rv>
  <rv s="3">
    <fb>69.64</fb>
    <v>6</v>
  </rv>
  <rv s="3">
    <fb>1472.4</fb>
    <v>6</v>
  </rv>
  <rv s="3">
    <fb>5450.1</fb>
    <v>6</v>
  </rv>
  <rv s="3">
    <fb>1149.7249999999999</fb>
    <v>6</v>
  </rv>
  <rv s="3">
    <fb>234.54</fb>
    <v>6</v>
  </rv>
  <rv s="3">
    <fb>70.08</fb>
    <v>6</v>
  </rv>
  <rv s="3">
    <fb>1469.15</fb>
    <v>6</v>
  </rv>
  <rv s="3">
    <fb>5417.2</fb>
    <v>6</v>
  </rv>
  <rv s="3">
    <fb>1124.4749999999999</fb>
    <v>6</v>
  </rv>
  <rv s="3">
    <fb>231.12</fb>
    <v>6</v>
  </rv>
  <rv s="3">
    <fb>71.569999999999993</fb>
    <v>6</v>
  </rv>
  <rv s="3">
    <fb>1465.1</fb>
    <v>6</v>
  </rv>
  <rv s="3">
    <fb>5342</fb>
    <v>6</v>
  </rv>
  <rv s="3">
    <fb>1119.7249999999999</fb>
    <v>6</v>
  </rv>
  <rv s="3">
    <fb>229.05</fb>
    <v>6</v>
  </rv>
  <rv s="3">
    <fb>71.430000000000007</fb>
    <v>6</v>
  </rv>
  <rv s="3">
    <fb>1470.95</fb>
    <v>6</v>
  </rv>
  <rv s="3">
    <fb>5372.55</fb>
    <v>6</v>
  </rv>
  <rv s="3">
    <fb>1112.55</fb>
    <v>6</v>
  </rv>
  <rv s="3">
    <fb>233.9</fb>
    <v>6</v>
  </rv>
  <rv s="3">
    <fb>71.540000000000006</fb>
    <v>6</v>
  </rv>
  <rv s="3">
    <fb>1448.2</fb>
    <v>6</v>
  </rv>
  <rv s="3">
    <fb>5335.35</fb>
    <v>6</v>
  </rv>
  <rv s="3">
    <fb>1110.5250000000001</fb>
    <v>6</v>
  </rv>
  <rv s="3">
    <fb>227.25</fb>
    <v>6</v>
  </rv>
  <rv s="3">
    <fb>72.52</fb>
    <v>6</v>
  </rv>
  <rv s="3">
    <fb>1419</fb>
    <v>6</v>
  </rv>
  <rv s="3">
    <fb>4972.3500000000004</fb>
    <v>6</v>
  </rv>
  <rv s="3">
    <fb>1097.75</fb>
    <v>6</v>
  </rv>
  <rv s="3">
    <fb>215.45</fb>
    <v>6</v>
  </rv>
  <rv s="3">
    <fb>71.98</fb>
    <v>6</v>
  </rv>
  <rv s="3">
    <fb>1452.15</fb>
    <v>6</v>
  </rv>
  <rv s="3">
    <fb>4849.45</fb>
    <v>6</v>
  </rv>
  <rv s="3">
    <fb>1096.875</fb>
    <v>6</v>
  </rv>
  <rv s="3">
    <fb>214.7</fb>
    <v>6</v>
  </rv>
  <rv s="3">
    <fb>71.47</fb>
    <v>6</v>
  </rv>
  <rv s="3">
    <fb>1470.5</fb>
    <v>6</v>
  </rv>
  <rv s="3">
    <fb>4820.3999999999996</fb>
    <v>6</v>
  </rv>
  <rv s="3">
    <fb>1088.7750000000001</fb>
    <v>6</v>
  </rv>
  <rv s="3">
    <fb>217.87</fb>
    <v>6</v>
  </rv>
  <rv s="3">
    <fb>71.87</fb>
    <v>6</v>
  </rv>
  <rv s="3">
    <fb>1465.45</fb>
    <v>6</v>
  </rv>
  <rv s="3">
    <fb>4703.3500000000004</fb>
    <v>6</v>
  </rv>
  <rv s="3">
    <fb>1097.925</fb>
    <v>6</v>
  </rv>
  <rv s="3">
    <fb>215.99</fb>
    <v>6</v>
  </rv>
  <rv s="3">
    <fb>72.22</fb>
    <v>6</v>
  </rv>
  <rv s="3">
    <fb>1476.2</fb>
    <v>6</v>
  </rv>
  <rv s="3">
    <fb>4745.2</fb>
    <v>6</v>
  </rv>
  <rv s="3">
    <fb>1108.25</fb>
    <v>6</v>
  </rv>
  <rv s="3">
    <fb>218.53</fb>
    <v>6</v>
  </rv>
  <rv s="3">
    <fb>71.650000000000006</fb>
    <v>6</v>
  </rv>
  <rv s="3">
    <fb>1475.35</fb>
    <v>6</v>
  </rv>
  <rv s="3">
    <fb>4719.3999999999996</fb>
    <v>6</v>
  </rv>
  <rv s="3">
    <fb>1111.2</fb>
    <v>6</v>
  </rv>
  <rv s="3">
    <fb>223.31</fb>
    <v>6</v>
  </rv>
  <rv s="3">
    <fb>1475.6</fb>
    <v>6</v>
  </rv>
  <rv s="3">
    <fb>4810.6000000000004</fb>
    <v>6</v>
  </rv>
  <rv s="3">
    <fb>1102.4749999999999</fb>
    <v>6</v>
  </rv>
  <rv s="3">
    <fb>234.1</fb>
    <v>6</v>
  </rv>
  <rv s="3">
    <fb>72.73</fb>
    <v>6</v>
  </rv>
  <rv s="3">
    <fb>1469.8</fb>
    <v>6</v>
  </rv>
  <rv s="3">
    <fb>4888.3999999999996</fb>
    <v>6</v>
  </rv>
  <rv s="3">
    <fb>1103.375</fb>
    <v>6</v>
  </rv>
  <rv s="3">
    <fb>233.93</fb>
    <v>6</v>
  </rv>
  <rv s="3">
    <fb>72.489999999999995</fb>
    <v>6</v>
  </rv>
  <rv s="3">
    <fb>1495.4</fb>
    <v>6</v>
  </rv>
  <rv s="3">
    <fb>4962.45</fb>
    <v>6</v>
  </rv>
  <rv s="3">
    <fb>1107.4749999999999</fb>
    <v>6</v>
  </rv>
  <rv s="3">
    <fb>230.36</fb>
    <v>6</v>
  </rv>
  <rv s="3">
    <fb>72.08</fb>
    <v>6</v>
  </rv>
  <rv s="3">
    <fb>1486.5</fb>
    <v>6</v>
  </rv>
  <rv s="3">
    <fb>5010.8</fb>
    <v>6</v>
  </rv>
  <rv s="3">
    <fb>1110.2</fb>
    <v>6</v>
  </rv>
  <rv s="3">
    <fb>222.69</fb>
    <v>6</v>
  </rv>
  <rv s="3">
    <fb>72.599999999999994</fb>
    <v>6</v>
  </rv>
  <rv s="3">
    <fb>1471.75</fb>
    <v>6</v>
  </rv>
  <rv s="3">
    <fb>4989.8</fb>
    <v>6</v>
  </rv>
  <rv s="3">
    <fb>1125.2</fb>
    <v>6</v>
  </rv>
  <rv s="3">
    <fb>225.63</fb>
    <v>6</v>
  </rv>
  <rv s="3">
    <fb>72.75</fb>
    <v>6</v>
  </rv>
  <rv s="3">
    <fb>1469.75</fb>
    <v>6</v>
  </rv>
  <rv s="3">
    <fb>4935.5</fb>
    <v>6</v>
  </rv>
  <rv s="3">
    <fb>1139.0999999999999</fb>
    <v>6</v>
  </rv>
  <rv s="3">
    <fb>229.04</fb>
    <v>6</v>
  </rv>
  <rv s="3">
    <fb>71.88</fb>
    <v>6</v>
  </rv>
  <rv s="3">
    <fb>1430.5</fb>
    <v>6</v>
  </rv>
  <rv s="3">
    <fb>4773.6000000000004</fb>
    <v>6</v>
  </rv>
  <rv s="3">
    <fb>1094.825</fb>
    <v>6</v>
  </rv>
  <rv s="3">
    <fb>222.1</fb>
    <v>6</v>
  </rv>
  <rv s="3">
    <fb>71.099999999999994</fb>
    <v>6</v>
  </rv>
  <rv s="3">
    <fb>1408.5</fb>
    <v>6</v>
  </rv>
  <rv s="3">
    <fb>4906.6000000000004</fb>
    <v>6</v>
  </rv>
  <rv s="3">
    <fb>1092.7750000000001</fb>
    <v>6</v>
  </rv>
  <rv s="3">
    <fb>222.14</fb>
    <v>6</v>
  </rv>
  <rv s="3">
    <fb>71.36</fb>
    <v>6</v>
  </rv>
  <rv s="3">
    <fb>1393.1</fb>
    <v>6</v>
  </rv>
  <rv s="3">
    <fb>4815.1000000000004</fb>
    <v>6</v>
  </rv>
  <rv s="3">
    <fb>1073.25</fb>
    <v>6</v>
  </rv>
  <rv s="3">
    <fb>227.61</fb>
    <v>6</v>
  </rv>
  <rv s="3">
    <fb>72.42</fb>
    <v>6</v>
  </rv>
  <rv s="3">
    <fb>1420.7</fb>
    <v>6</v>
  </rv>
  <rv s="3">
    <fb>4988.3</fb>
    <v>6</v>
  </rv>
  <rv s="3">
    <fb>1098.5</fb>
    <v>6</v>
  </rv>
  <rv s="3">
    <fb>227.02</fb>
    <v>6</v>
  </rv>
  <rv s="3">
    <fb>72.27</fb>
    <v>6</v>
  </rv>
  <rv s="3">
    <fb>1421.3</fb>
    <v>6</v>
  </rv>
  <rv s="3">
    <fb>5094.3999999999996</fb>
    <v>6</v>
  </rv>
  <rv s="3">
    <fb>1100.5999999999999</fb>
    <v>6</v>
  </rv>
  <rv s="3">
    <fb>225.43</fb>
    <v>6</v>
  </rv>
  <rv s="3">
    <fb>71.89</fb>
    <v>6</v>
  </rv>
  <rv s="3">
    <fb>1411.6</fb>
    <v>6</v>
  </rv>
  <rv s="3">
    <fb>5100.7</fb>
    <v>6</v>
  </rv>
  <rv s="3">
    <fb>1119.2249999999999</fb>
    <v>6</v>
  </rv>
  <rv s="3">
    <fb>216.83</fb>
    <v>6</v>
  </rv>
  <rv s="3">
    <fb>72.209999999999994</fb>
    <v>6</v>
  </rv>
  <rv s="3">
    <fb>1419.45</fb>
    <v>6</v>
  </rv>
  <rv s="3">
    <fb>4990.55</fb>
    <v>6</v>
  </rv>
  <rv s="3">
    <fb>1124.2</fb>
    <v>6</v>
  </rv>
  <rv s="3">
    <fb>211.28</fb>
    <v>6</v>
  </rv>
  <rv s="3">
    <fb>72.17</fb>
    <v>6</v>
  </rv>
  <rv s="3">
    <fb>1417.25</fb>
    <v>6</v>
  </rv>
  <rv s="3">
    <fb>4985.55</fb>
    <v>6</v>
  </rv>
  <rv s="3">
    <fb>1125.7</fb>
    <v>6</v>
  </rv>
  <rv s="3">
    <fb>208.07</fb>
    <v>6</v>
  </rv>
  <rv s="3">
    <fb>1409</fb>
    <v>6</v>
  </rv>
  <rv s="3">
    <fb>5017.45</fb>
    <v>6</v>
  </rv>
  <rv s="3">
    <fb>205.46</fb>
    <v>6</v>
  </rv>
  <rv s="3">
    <fb>72.319999999999993</fb>
    <v>6</v>
  </rv>
  <rv s="3">
    <fb>1385.55</fb>
    <v>6</v>
  </rv>
  <rv s="3">
    <fb>5015.25</fb>
    <v>6</v>
  </rv>
  <rv s="3">
    <fb>1095.9749999999999</fb>
    <v>6</v>
  </rv>
  <rv s="3">
    <fb>201.43</fb>
    <v>6</v>
  </rv>
  <rv s="3">
    <fb>72.819999999999993</fb>
    <v>6</v>
  </rv>
  <rv s="3">
    <fb>1434.25</fb>
    <v>6</v>
  </rv>
  <rv s="3">
    <fb>5050.25</fb>
    <v>6</v>
  </rv>
  <rv s="3">
    <fb>1087.175</fb>
    <v>6</v>
  </rv>
  <rv s="3">
    <fb>203.69</fb>
    <v>6</v>
  </rv>
  <rv s="3">
    <fb>73.53</fb>
    <v>6</v>
  </rv>
  <rv s="3">
    <fb>1457.5</fb>
    <v>6</v>
  </rv>
  <rv s="3">
    <fb>5127.3999999999996</fb>
    <v>6</v>
  </rv>
  <rv s="3">
    <fb>1101.0250000000001</fb>
    <v>6</v>
  </rv>
  <rv s="3">
    <fb>218.19</fb>
    <v>6</v>
  </rv>
  <rv s="3">
    <fb>74.13</fb>
    <v>6</v>
  </rv>
  <rv s="3">
    <fb>1484.9</fb>
    <v>6</v>
  </rv>
  <rv s="3">
    <fb>5100.8999999999996</fb>
    <v>6</v>
  </rv>
  <rv s="3">
    <fb>1092</fb>
    <v>6</v>
  </rv>
  <rv s="3">
    <fb>223.53</fb>
    <v>6</v>
  </rv>
  <rv s="3">
    <fb>74.25</fb>
    <v>6</v>
  </rv>
  <rv s="3">
    <fb>1498.35</fb>
    <v>6</v>
  </rv>
  <rv s="3">
    <fb>5229.3500000000004</fb>
    <v>6</v>
  </rv>
  <rv s="3">
    <fb>1110.7750000000001</fb>
    <v>6</v>
  </rv>
  <rv s="3">
    <fb>224.47</fb>
    <v>6</v>
  </rv>
  <rv s="3">
    <fb>74.489999999999995</fb>
    <v>6</v>
  </rv>
  <rv s="3">
    <fb>1546.4</fb>
    <v>6</v>
  </rv>
  <rv s="3">
    <fb>5305.95</fb>
    <v>6</v>
  </rv>
  <rv s="3">
    <fb>1134.425</fb>
    <v>6</v>
  </rv>
  <rv s="3">
    <fb>227.52</fb>
    <v>6</v>
  </rv>
  <rv s="3">
    <fb>73.95</fb>
    <v>6</v>
  </rv>
  <rv s="3">
    <fb>1569.8</fb>
    <v>6</v>
  </rv>
  <rv s="3">
    <fb>5424.2</fb>
    <v>6</v>
  </rv>
  <rv s="3">
    <fb>1131.7750000000001</fb>
    <v>6</v>
  </rv>
  <rv s="3">
    <fb>222.8</fb>
    <v>6</v>
  </rv>
  <rv s="3">
    <fb>73</fb>
    <v>6</v>
  </rv>
  <rv s="3">
    <fb>1557.2</fb>
    <v>6</v>
  </rv>
  <rv s="3">
    <fb>5431.25</fb>
    <v>6</v>
  </rv>
  <rv s="3">
    <fb>1127.425</fb>
    <v>6</v>
  </rv>
  <rv s="3">
    <fb>209.81</fb>
    <v>6</v>
  </rv>
  <rv s="3">
    <fb>73.23</fb>
    <v>6</v>
  </rv>
  <rv s="3">
    <fb>1541.3</fb>
    <v>6</v>
  </rv>
  <rv s="3">
    <fb>5403.3</fb>
    <v>6</v>
  </rv>
  <rv s="3">
    <fb>1121.7249999999999</fb>
    <v>6</v>
  </rv>
  <rv s="3">
    <fb>203.29</fb>
    <v>6</v>
  </rv>
  <rv s="3">
    <fb>73.25</fb>
    <v>6</v>
  </rv>
  <rv s="3">
    <fb>1544.9</fb>
    <v>6</v>
  </rv>
  <rv s="3">
    <fb>5345.75</fb>
    <v>6</v>
  </rv>
  <rv s="3">
    <fb>1121.0250000000001</fb>
    <v>6</v>
  </rv>
  <rv s="3">
    <fb>206.28</fb>
    <v>6</v>
  </rv>
  <rv s="3">
    <fb>73.8</fb>
    <v>6</v>
  </rv>
  <rv s="3">
    <fb>1547.85</fb>
    <v>6</v>
  </rv>
  <rv s="3">
    <fb>5347.7</fb>
    <v>6</v>
  </rv>
  <rv s="3">
    <fb>1125.375</fb>
    <v>6</v>
  </rv>
  <rv s="3">
    <fb>201.7</fb>
    <v>6</v>
  </rv>
  <rv s="3">
    <fb>74.16</fb>
    <v>6</v>
  </rv>
  <rv s="3">
    <fb>1545.25</fb>
    <v>6</v>
  </rv>
  <rv s="3">
    <fb>5307.2</fb>
    <v>6</v>
  </rv>
  <rv s="3">
    <fb>1117</fb>
    <v>6</v>
  </rv>
  <rv s="3">
    <fb>202.01</fb>
    <v>6</v>
  </rv>
  <rv s="3">
    <fb>76.72</fb>
    <v>6</v>
  </rv>
  <rv s="3">
    <fb>1559.85</fb>
    <v>6</v>
  </rv>
  <rv s="3">
    <fb>5355.5</fb>
    <v>6</v>
  </rv>
  <rv s="3">
    <fb>1105.3499999999999</fb>
    <v>6</v>
  </rv>
  <rv s="3">
    <fb>212.03</fb>
    <v>6</v>
  </rv>
  <rv s="3">
    <fb>76.23</fb>
    <v>6</v>
  </rv>
  <rv s="3">
    <fb>1542.25</fb>
    <v>6</v>
  </rv>
  <rv s="3">
    <fb>5379.15</fb>
    <v>6</v>
  </rv>
  <rv s="3">
    <fb>1122.825</fb>
    <v>6</v>
  </rv>
  <rv s="3">
    <fb>210.9</fb>
    <v>6</v>
  </rv>
  <rv s="3">
    <fb>75.849999999999994</fb>
    <v>6</v>
  </rv>
  <rv s="3">
    <fb>1512.6</fb>
    <v>6</v>
  </rv>
  <rv s="3">
    <fb>5247.9</fb>
    <v>6</v>
  </rv>
  <rv s="3">
    <fb>1131.075</fb>
    <v>6</v>
  </rv>
  <rv s="3">
    <fb>210.53</fb>
    <v>6</v>
  </rv>
  <rv s="3">
    <fb>74.989999999999995</fb>
    <v>6</v>
  </rv>
  <rv s="3">
    <fb>5065.25</fb>
    <v>6</v>
  </rv>
  <rv s="3">
    <fb>1124.5</fb>
    <v>6</v>
  </rv>
  <rv s="3">
    <fb>209.63</fb>
    <v>6</v>
  </rv>
  <rv s="3">
    <fb>73.83</fb>
    <v>6</v>
  </rv>
  <rv s="3">
    <fb>1488</fb>
    <v>6</v>
  </rv>
  <rv s="3">
    <fb>5231.3500000000004</fb>
    <v>6</v>
  </rv>
  <rv s="3">
    <fb>1137.7</fb>
    <v>6</v>
  </rv>
  <rv s="3">
    <fb>215.19</fb>
    <v>6</v>
  </rv>
  <rv s="3">
    <fb>73.680000000000007</fb>
    <v>6</v>
  </rv>
  <rv s="3">
    <fb>1481.65</fb>
    <v>6</v>
  </rv>
  <rv s="3">
    <fb>5258.3</fb>
    <v>6</v>
  </rv>
  <rv s="3">
    <fb>1172.425</fb>
    <v>6</v>
  </rv>
  <rv s="3">
    <fb>211.39</fb>
    <v>6</v>
  </rv>
  <rv s="3">
    <fb>74.89</fb>
    <v>6</v>
  </rv>
  <rv s="3">
    <fb>1521.9</fb>
    <v>6</v>
  </rv>
  <rv s="3">
    <fb>5350.9</fb>
    <v>6</v>
  </rv>
  <rv s="3">
    <fb>1180.7</fb>
    <v>6</v>
  </rv>
  <rv s="3">
    <fb>217.2</fb>
    <v>6</v>
  </rv>
  <rv s="3">
    <fb>77.900000000000006</fb>
    <v>6</v>
  </rv>
  <rv s="3">
    <fb>5529</fb>
    <v>6</v>
  </rv>
  <rv s="3">
    <fb>1183.95</fb>
    <v>6</v>
  </rv>
  <rv s="3">
    <fb>222.23</fb>
    <v>6</v>
  </rv>
  <rv s="3">
    <fb>77.66</fb>
    <v>6</v>
  </rv>
  <rv s="3">
    <fb>1565.4</fb>
    <v>6</v>
  </rv>
  <rv s="3">
    <fb>5615.5</fb>
    <v>6</v>
  </rv>
  <rv s="3">
    <fb>1191.6500000000001</fb>
    <v>6</v>
  </rv>
  <rv s="3">
    <fb>222.08</fb>
    <v>6</v>
  </rv>
  <rv s="3">
    <fb>79.23</fb>
    <v>6</v>
  </rv>
  <rv s="3">
    <fb>1608.2</fb>
    <v>6</v>
  </rv>
  <rv s="3">
    <fb>5678.5</fb>
    <v>6</v>
  </rv>
  <rv s="3">
    <fb>1208.3</fb>
    <v>6</v>
  </rv>
  <rv s="3">
    <fb>231.6</fb>
    <v>6</v>
  </rv>
  <rv s="3">
    <fb>79.53</fb>
    <v>6</v>
  </rv>
  <rv s="3">
    <fb>1628.5</fb>
    <v>6</v>
  </rv>
  <rv s="3">
    <fb>5810.5</fb>
    <v>6</v>
  </rv>
  <rv s="3">
    <fb>1199.7</fb>
    <v>6</v>
  </rv>
  <rv s="3">
    <fb>234.24</fb>
    <v>6</v>
  </rv>
  <rv s="3">
    <fb>81.069999999999993</fb>
    <v>6</v>
  </rv>
  <rv s="3">
    <fb>1619</fb>
    <v>6</v>
  </rv>
  <rv s="3">
    <fb>5784</fb>
    <v>6</v>
  </rv>
  <rv s="3">
    <fb>1203.6500000000001</fb>
    <v>6</v>
  </rv>
  <rv s="3">
    <fb>237.47</fb>
    <v>6</v>
  </rv>
  <rv s="3">
    <fb>82.9</fb>
    <v>6</v>
  </rv>
  <rv s="3">
    <fb>1615.5</fb>
    <v>6</v>
  </rv>
  <rv s="3">
    <fb>5740</fb>
    <v>6</v>
  </rv>
  <rv s="3">
    <fb>1216.7</fb>
    <v>6</v>
  </rv>
  <rv s="3">
    <fb>239.24</fb>
    <v>6</v>
  </rv>
  <rv s="3">
    <fb>80.39</fb>
    <v>6</v>
  </rv>
  <rv s="3">
    <fb>5650.5</fb>
    <v>6</v>
  </rv>
  <rv s="3">
    <fb>1216.5999999999999</fb>
    <v>6</v>
  </rv>
  <rv s="3">
    <fb>236.38</fb>
    <v>6</v>
  </rv>
  <rv s="3">
    <fb>80.510000000000005</fb>
    <v>6</v>
  </rv>
  <rv s="3">
    <fb>1695.1</fb>
    <v>6</v>
  </rv>
  <rv s="3">
    <fb>5575.5</fb>
    <v>6</v>
  </rv>
  <rv s="3">
    <fb>1206.75</fb>
    <v>6</v>
  </rv>
  <rv s="3">
    <fb>228.81</fb>
    <v>6</v>
  </rv>
  <rv s="3">
    <fb>80.03</fb>
    <v>6</v>
  </rv>
  <rv s="3">
    <fb>1736.1</fb>
    <v>6</v>
  </rv>
  <rv s="3">
    <fb>5622</fb>
    <v>6</v>
  </rv>
  <rv s="3">
    <fb>1203</fb>
    <v>6</v>
  </rv>
  <rv s="3">
    <fb>227.21</fb>
    <v>6</v>
  </rv>
  <rv s="3">
    <fb>79.05</fb>
    <v>6</v>
  </rv>
  <rv s="3">
    <fb>1730.1</fb>
    <v>6</v>
  </rv>
  <rv s="3">
    <fb>5579</fb>
    <v>6</v>
  </rv>
  <rv s="3">
    <fb>1193.75</fb>
    <v>6</v>
  </rv>
  <rv s="3">
    <fb>231.11</fb>
    <v>6</v>
  </rv>
  <rv s="3">
    <fb>80.040000000000006</fb>
    <v>6</v>
  </rv>
  <rv s="3">
    <fb>1765.8</fb>
    <v>6</v>
  </rv>
  <rv s="3">
    <fb>5567</fb>
    <v>6</v>
  </rv>
  <rv s="3">
    <fb>1194.0999999999999</fb>
    <v>6</v>
  </rv>
  <rv s="3">
    <fb>232.52</fb>
    <v>6</v>
  </rv>
  <rv s="3">
    <fb>79.09</fb>
    <v>6</v>
  </rv>
  <rv s="3">
    <fb>1764.7</fb>
    <v>6</v>
  </rv>
  <rv s="3">
    <fb>5437.5</fb>
    <v>6</v>
  </rv>
  <rv s="3">
    <fb>1168.8499999999999</fb>
    <v>6</v>
  </rv>
  <rv s="3">
    <fb>234.29</fb>
    <v>6</v>
  </rv>
  <rv s="3">
    <fb>78.91</fb>
    <v>6</v>
  </rv>
  <rv s="3">
    <fb>1769.9</fb>
    <v>6</v>
  </rv>
  <rv s="3">
    <fb>5460.5</fb>
    <v>6</v>
  </rv>
  <rv s="3">
    <fb>1164.0999999999999</fb>
    <v>6</v>
  </rv>
  <rv s="3">
    <fb>239.9</fb>
    <v>6</v>
  </rv>
  <rv s="3">
    <fb>79.58</fb>
    <v>6</v>
  </rv>
  <rv s="3">
    <fb>1726</fb>
    <v>6</v>
  </rv>
  <rv s="3">
    <fb>5515</fb>
    <v>6</v>
  </rv>
  <rv s="3">
    <fb>1178.25</fb>
    <v>6</v>
  </rv>
  <rv s="3">
    <fb>232.64</fb>
    <v>6</v>
  </rv>
  <rv s="3">
    <fb>82.13</fb>
    <v>6</v>
  </rv>
  <rv s="3">
    <fb>1744.5</fb>
    <v>6</v>
  </rv>
  <rv s="3">
    <fb>5489</fb>
    <v>6</v>
  </rv>
  <rv s="3">
    <fb>1169.2</fb>
    <v>6</v>
  </rv>
  <rv s="3">
    <fb>236.9</fb>
    <v>6</v>
  </rv>
  <rv s="3">
    <fb>81.28</fb>
    <v>6</v>
  </rv>
  <rv s="3">
    <fb>1731.5</fb>
    <v>6</v>
  </rv>
  <rv s="3">
    <fb>5372.5</fb>
    <v>6</v>
  </rv>
  <rv s="3">
    <fb>1170.3499999999999</fb>
    <v>6</v>
  </rv>
  <rv s="3">
    <fb>229.81</fb>
    <v>6</v>
  </rv>
  <rv s="3">
    <fb>80.94</fb>
    <v>6</v>
  </rv>
  <rv s="3">
    <fb>1699.8</fb>
    <v>6</v>
  </rv>
  <rv s="3">
    <fb>5324</fb>
    <v>6</v>
  </rv>
  <rv s="3">
    <fb>1162.7</fb>
    <v>6</v>
  </rv>
  <rv s="3">
    <fb>227.14</fb>
    <v>6</v>
  </rv>
  <rv s="3">
    <fb>80.8</fb>
    <v>6</v>
  </rv>
  <rv s="3">
    <fb>1751.5</fb>
    <v>6</v>
  </rv>
  <rv s="3">
    <fb>5520</fb>
    <v>6</v>
  </rv>
  <rv s="3">
    <fb>1191.9000000000001</fb>
    <v>6</v>
  </rv>
  <rv s="3">
    <fb>239.5</fb>
    <v>6</v>
  </rv>
  <rv s="3">
    <fb>77.98</fb>
    <v>6</v>
  </rv>
  <rv s="3">
    <fb>1740</fb>
    <v>6</v>
  </rv>
  <rv s="3">
    <fb>5419</fb>
    <v>6</v>
  </rv>
  <rv s="3">
    <fb>1185.0999999999999</fb>
    <v>6</v>
  </rv>
  <rv s="3">
    <fb>231.65</fb>
    <v>6</v>
  </rv>
  <rv s="3">
    <fb>79.069999999999993</fb>
    <v>6</v>
  </rv>
  <rv s="3">
    <fb>1755.2</fb>
    <v>6</v>
  </rv>
  <rv s="3">
    <fb>5446.5</fb>
    <v>6</v>
  </rv>
  <rv s="3">
    <fb>1185.2</fb>
    <v>6</v>
  </rv>
  <rv s="3">
    <fb>236.86</fb>
    <v>6</v>
  </rv>
  <rv s="3">
    <fb>78.58</fb>
    <v>6</v>
  </rv>
  <rv s="3">
    <fb>1784.6</fb>
    <v>6</v>
  </rv>
  <rv s="3">
    <fb>5466</fb>
    <v>6</v>
  </rv>
  <rv s="3">
    <fb>1199.05</fb>
    <v>6</v>
  </rv>
  <rv s="3">
    <fb>242.59</fb>
    <v>6</v>
  </rv>
  <rv s="3">
    <fb>77.040000000000006</fb>
    <v>6</v>
  </rv>
  <rv s="3">
    <fb>1773.4</fb>
    <v>6</v>
  </rv>
  <rv s="3">
    <fb>5509.5</fb>
    <v>6</v>
  </rv>
  <rv s="3">
    <fb>1204.4000000000001</fb>
    <v>6</v>
  </rv>
  <rv s="3">
    <fb>245.76</fb>
    <v>6</v>
  </rv>
  <rv s="3">
    <fb>77.78</fb>
    <v>6</v>
  </rv>
  <rv s="3">
    <fb>1770</fb>
    <v>6</v>
  </rv>
  <rv s="3">
    <fb>5530</fb>
    <v>6</v>
  </rv>
  <rv s="3">
    <fb>1203.9000000000001</fb>
    <v>6</v>
  </rv>
  <rv s="3">
    <fb>238.03</fb>
    <v>6</v>
  </rv>
  <rv s="3">
    <fb>78.319999999999993</fb>
    <v>6</v>
  </rv>
  <rv s="3">
    <fb>1757.8</fb>
    <v>6</v>
  </rv>
  <rv s="3">
    <fb>5387.5</fb>
    <v>6</v>
  </rv>
  <rv s="3">
    <fb>1179.25</fb>
    <v>6</v>
  </rv>
  <rv s="3">
    <fb>228.28</fb>
    <v>6</v>
  </rv>
  <rv s="3">
    <fb>78.19</fb>
    <v>6</v>
  </rv>
  <rv s="3">
    <fb>1763.9</fb>
    <v>6</v>
  </rv>
  <rv s="3">
    <fb>5409</fb>
    <v>6</v>
  </rv>
  <rv s="3">
    <fb>1196.3</fb>
    <v>6</v>
  </rv>
  <rv s="3">
    <fb>229.97</fb>
    <v>6</v>
  </rv>
  <rv s="3">
    <fb>79.5</fb>
    <v>6</v>
  </rv>
  <rv s="3">
    <fb>1759.3</fb>
    <v>6</v>
  </rv>
  <rv s="3">
    <fb>5387</fb>
    <v>6</v>
  </rv>
  <rv s="3">
    <fb>1180.8499999999999</fb>
    <v>6</v>
  </rv>
  <rv s="3">
    <fb>229.02</fb>
    <v>6</v>
  </rv>
  <rv s="3">
    <fb>79.81</fb>
    <v>6</v>
  </rv>
  <rv s="3">
    <fb>1798.7</fb>
    <v>6</v>
  </rv>
  <rv s="3">
    <fb>5400</fb>
    <v>6</v>
  </rv>
  <rv s="3">
    <fb>1207.2</fb>
    <v>6</v>
  </rv>
  <rv s="3">
    <fb>237.55</fb>
    <v>6</v>
  </rv>
  <rv s="3">
    <fb>79.510000000000005</fb>
    <v>6</v>
  </rv>
  <rv s="3">
    <fb>1801.6</fb>
    <v>6</v>
  </rv>
  <rv s="3">
    <fb>5427.5</fb>
    <v>6</v>
  </rv>
  <rv s="3">
    <fb>1227</fb>
    <v>6</v>
  </rv>
  <rv s="3">
    <fb>226.8</fb>
    <v>6</v>
  </rv>
  <rv s="3">
    <fb>79.77</fb>
    <v>6</v>
  </rv>
  <rv s="3">
    <fb>1803.3</fb>
    <v>6</v>
  </rv>
  <rv s="3">
    <fb>5389.5</fb>
    <v>6</v>
  </rv>
  <rv s="3">
    <fb>1230.45</fb>
    <v>6</v>
  </rv>
  <rv s="3">
    <fb>224.79</fb>
    <v>6</v>
  </rv>
  <rv s="3">
    <fb>79.56</fb>
    <v>6</v>
  </rv>
  <rv s="3">
    <fb>1807.4</fb>
    <v>6</v>
  </rv>
  <rv s="3">
    <fb>5326.5</fb>
    <v>6</v>
  </rv>
  <rv s="3">
    <fb>1209.5</fb>
    <v>6</v>
  </rv>
  <rv s="3">
    <fb>224.18</fb>
    <v>6</v>
  </rv>
  <rv s="3">
    <fb>80.06</fb>
    <v>6</v>
  </rv>
  <rv s="3">
    <fb>1825</fb>
    <v>6</v>
  </rv>
  <rv s="3">
    <fb>5379</fb>
    <v>6</v>
  </rv>
  <rv s="3">
    <fb>1217.5</fb>
    <v>6</v>
  </rv>
  <rv s="3">
    <fb>228.37</fb>
    <v>6</v>
  </rv>
  <rv s="3">
    <fb>79.099999999999994</fb>
    <v>6</v>
  </rv>
  <rv s="3">
    <fb>1812.2</fb>
    <v>6</v>
  </rv>
  <rv s="3">
    <fb>5333.5</fb>
    <v>6</v>
  </rv>
  <rv s="3">
    <fb>1198.0999999999999</fb>
    <v>6</v>
  </rv>
  <rv s="3">
    <fb>238.31</fb>
    <v>6</v>
  </rv>
  <rv s="3">
    <fb>79.489999999999995</fb>
    <v>6</v>
  </rv>
  <rv s="3">
    <fb>1802.5</fb>
    <v>6</v>
  </rv>
  <rv s="3">
    <fb>5361</fb>
    <v>6</v>
  </rv>
  <rv s="3">
    <fb>1203.1500000000001</fb>
    <v>6</v>
  </rv>
  <rv s="3">
    <fb>241.2</fb>
    <v>6</v>
  </rv>
  <rv s="3">
    <fb>80.52</fb>
    <v>6</v>
  </rv>
  <rv s="3">
    <fb>1775.3</fb>
    <v>6</v>
  </rv>
  <rv s="3">
    <fb>5354</fb>
    <v>6</v>
  </rv>
  <rv s="3">
    <fb>1195.7</fb>
    <v>6</v>
  </rv>
  <rv s="3">
    <fb>237.7</fb>
    <v>6</v>
  </rv>
  <rv s="3">
    <fb>80.97</fb>
    <v>6</v>
  </rv>
  <rv s="3">
    <fb>1775.9</fb>
    <v>6</v>
  </rv>
  <rv s="3">
    <fb>5319.5</fb>
    <v>6</v>
  </rv>
  <rv s="3">
    <fb>1198.75</fb>
    <v>6</v>
  </rv>
  <rv s="3">
    <fb>245.68</fb>
    <v>6</v>
  </rv>
  <rv s="3">
    <fb>81.31</fb>
    <v>6</v>
  </rv>
  <rv s="3">
    <fb>1774.8</fb>
    <v>6</v>
  </rv>
  <rv s="3">
    <fb>5308.5</fb>
    <v>6</v>
  </rv>
  <rv s="3">
    <fb>1200.6500000000001</fb>
    <v>6</v>
  </rv>
  <rv s="3">
    <fb>256.56</fb>
    <v>6</v>
  </rv>
  <rv s="3">
    <fb>81.73</fb>
    <v>6</v>
  </rv>
  <rv s="3">
    <fb>1780.6</fb>
    <v>6</v>
  </rv>
  <rv s="3">
    <fb>5394</fb>
    <v>6</v>
  </rv>
  <rv s="3">
    <fb>1208.5999999999999</fb>
    <v>6</v>
  </rv>
  <rv s="3">
    <fb>261.86</fb>
    <v>6</v>
  </rv>
  <rv s="3">
    <fb>81.23</fb>
    <v>6</v>
  </rv>
  <rv s="3">
    <fb>1790.8</fb>
    <v>6</v>
  </rv>
  <rv s="3">
    <fb>5391</fb>
    <v>6</v>
  </rv>
  <rv s="3">
    <fb>1207.6500000000001</fb>
    <v>6</v>
  </rv>
  <rv s="3">
    <fb>256.83999999999997</fb>
    <v>6</v>
  </rv>
  <rv s="3">
    <fb>80.48</fb>
    <v>6</v>
  </rv>
  <rv s="3">
    <fb>1785.5</fb>
    <v>6</v>
  </rv>
  <rv s="3">
    <fb>5377.5</fb>
    <v>6</v>
  </rv>
  <rv s="3">
    <fb>1215.7</fb>
    <v>6</v>
  </rv>
  <rv s="3">
    <fb>255.68</fb>
    <v>6</v>
  </rv>
  <rv s="3">
    <fb>80.61</fb>
    <v>6</v>
  </rv>
  <rv s="3">
    <fb>1799.3</fb>
    <v>6</v>
  </rv>
  <rv s="3">
    <fb>5352</fb>
    <v>6</v>
  </rv>
  <rv s="3">
    <fb>1209.5999999999999</fb>
    <v>6</v>
  </rv>
  <rv s="3">
    <fb>257.07</fb>
    <v>6</v>
  </rv>
  <rv s="3">
    <fb>80.760000000000005</fb>
    <v>6</v>
  </rv>
  <rv s="3">
    <fb>1766</fb>
    <v>6</v>
  </rv>
  <rv s="3">
    <fb>5315.5</fb>
    <v>6</v>
  </rv>
  <rv s="3">
    <fb>1192.8</fb>
    <v>6</v>
  </rv>
  <rv s="3">
    <fb>251.56</fb>
    <v>6</v>
  </rv>
  <rv s="3">
    <fb>81.39</fb>
    <v>6</v>
  </rv>
  <rv s="3">
    <fb>5319</fb>
    <v>6</v>
  </rv>
  <rv s="3">
    <fb>1188.4000000000001</fb>
    <v>6</v>
  </rv>
  <rv s="3">
    <fb>83.13</fb>
    <v>6</v>
  </rv>
  <rv s="3">
    <fb>1797.8</fb>
    <v>6</v>
  </rv>
  <rv s="3">
    <fb>5365</fb>
    <v>6</v>
  </rv>
  <rv s="3">
    <fb>1194.9000000000001</fb>
    <v>6</v>
  </rv>
  <rv s="3">
    <fb>252.15</fb>
    <v>6</v>
  </rv>
  <rv s="3">
    <fb>83.09</fb>
    <v>6</v>
  </rv>
  <rv s="3">
    <fb>1800.2</fb>
    <v>6</v>
  </rv>
  <rv s="3">
    <fb>5341</fb>
    <v>6</v>
  </rv>
  <rv s="3">
    <fb>1181</fb>
    <v>6</v>
  </rv>
  <rv s="3">
    <fb>247.25</fb>
    <v>6</v>
  </rv>
  <rv s="3">
    <fb>82.56</fb>
    <v>6</v>
  </rv>
  <rv s="3">
    <fb>1797.2</fb>
    <v>6</v>
  </rv>
  <rv s="3">
    <fb>5393</fb>
    <v>6</v>
  </rv>
  <rv s="3">
    <fb>1170.4000000000001</fb>
    <v>6</v>
  </rv>
  <rv s="3">
    <fb>248.41</fb>
    <v>6</v>
  </rv>
  <rv s="3">
    <fb>82.79</fb>
    <v>6</v>
  </rv>
  <rv s="3">
    <fb>1789.4</fb>
    <v>6</v>
  </rv>
  <rv s="3">
    <fb>5493.5</fb>
    <v>6</v>
  </rv>
  <rv s="3">
    <fb>1159.45</fb>
    <v>6</v>
  </rv>
  <rv s="3">
    <fb>249.42</fb>
    <v>6</v>
  </rv>
  <rv s="3">
    <fb>1810.9</fb>
    <v>6</v>
  </rv>
  <rv s="3">
    <fb>5525</fb>
    <v>6</v>
  </rv>
  <rv s="3">
    <fb>1180.2</fb>
    <v>6</v>
  </rv>
  <rv s="3">
    <fb>253.33</fb>
    <v>6</v>
  </rv>
  <rv s="3">
    <fb>82.23</fb>
    <v>6</v>
  </rv>
  <rv s="3">
    <fb>1818.6</fb>
    <v>6</v>
  </rv>
  <rv s="3">
    <fb>5552.5</fb>
    <v>6</v>
  </rv>
  <rv s="3">
    <fb>1179.55</fb>
    <v>6</v>
  </rv>
  <rv s="3">
    <fb>254.64</fb>
    <v>6</v>
  </rv>
  <rv s="3">
    <fb>82.66</fb>
    <v>6</v>
  </rv>
  <rv s="3">
    <fb>1843</fb>
    <v>6</v>
  </rv>
  <rv s="3">
    <fb>5629</fb>
    <v>6</v>
  </rv>
  <rv s="3">
    <fb>1182.9000000000001</fb>
    <v>6</v>
  </rv>
  <rv s="3">
    <fb>255.07</fb>
    <v>6</v>
  </rv>
  <rv s="3">
    <fb>80.98</fb>
    <v>6</v>
  </rv>
  <rv s="3">
    <fb>1842.7</fb>
    <v>6</v>
  </rv>
  <rv s="3">
    <fb>5576</fb>
    <v>6</v>
  </rv>
  <rv s="3">
    <fb>1202.2</fb>
    <v>6</v>
  </rv>
  <rv s="3">
    <fb>258.86</fb>
    <v>6</v>
  </rv>
  <rv s="3">
    <fb>81.11</fb>
    <v>6</v>
  </rv>
  <rv s="3">
    <fb>1860.8</fb>
    <v>6</v>
  </rv>
  <rv s="3">
    <fb>5611.5</fb>
    <v>6</v>
  </rv>
  <rv s="3">
    <fb>265.18</fb>
    <v>6</v>
  </rv>
  <rv s="3">
    <fb>81.12</fb>
    <v>6</v>
  </rv>
  <rv s="3">
    <fb>1850.6</fb>
    <v>6</v>
  </rv>
  <rv s="3">
    <fb>5660</fb>
    <v>6</v>
  </rv>
  <rv s="3">
    <fb>1838.3</fb>
    <v>6</v>
  </rv>
  <rv s="3">
    <fb>5656.5</fb>
    <v>6</v>
  </rv>
  <rv s="3">
    <fb>1232.6500000000001</fb>
    <v>6</v>
  </rv>
  <rv s="3">
    <fb>264.14999999999998</fb>
    <v>6</v>
  </rv>
  <rv s="3">
    <fb>79.989999999999995</fb>
    <v>6</v>
  </rv>
  <rv s="3">
    <fb>1862.5</fb>
    <v>6</v>
  </rv>
  <rv s="3">
    <fb>5715.5</fb>
    <v>6</v>
  </rv>
  <rv s="3">
    <fb>1205.05</fb>
    <v>6</v>
  </rv>
  <rv s="3">
    <fb>261</fb>
    <v>6</v>
  </rv>
  <rv s="3">
    <fb>81.05</fb>
    <v>6</v>
  </rv>
  <rv s="3">
    <fb>1856.8</fb>
    <v>6</v>
  </rv>
  <rv s="3">
    <fb>5722.5</fb>
    <v>6</v>
  </rv>
  <rv s="3">
    <fb>1194</fb>
    <v>6</v>
  </rv>
  <rv s="3">
    <fb>259.75</fb>
    <v>6</v>
  </rv>
  <rv s="3">
    <fb>1810.2</fb>
    <v>6</v>
  </rv>
  <rv s="3">
    <fb>5716</fb>
    <v>6</v>
  </rv>
  <rv s="3">
    <fb>1194.2</fb>
    <v>6</v>
  </rv>
  <rv s="3">
    <fb>260.85000000000002</fb>
    <v>6</v>
  </rv>
  <rv s="3">
    <fb>81.010000000000005</fb>
    <v>6</v>
  </rv>
  <rv s="3">
    <fb>1799.7</fb>
    <v>6</v>
  </rv>
  <rv s="3">
    <fb>1196.4000000000001</fb>
    <v>6</v>
  </rv>
  <rv s="3">
    <fb>261.39999999999998</fb>
    <v>6</v>
  </rv>
  <rv s="3">
    <fb>80.89</fb>
    <v>6</v>
  </rv>
  <rv s="3">
    <fb>1808.3</fb>
    <v>6</v>
  </rv>
  <rv s="3">
    <fb>5682.5</fb>
    <v>6</v>
  </rv>
  <rv s="3">
    <fb>1211.05</fb>
    <v>6</v>
  </rv>
  <rv s="3">
    <fb>258.55</fb>
    <v>6</v>
  </rv>
  <rv s="3">
    <fb>80.53</fb>
    <v>6</v>
  </rv>
  <rv s="3">
    <fb>1816.9</fb>
    <v>6</v>
  </rv>
  <rv s="3">
    <fb>5679.5</fb>
    <v>6</v>
  </rv>
  <rv s="3">
    <fb>1208.95</fb>
    <v>6</v>
  </rv>
  <rv s="3">
    <fb>263.5</fb>
    <v>6</v>
  </rv>
  <rv s="3">
    <fb>80.78</fb>
    <v>6</v>
  </rv>
  <rv s="3">
    <fb>1814.9</fb>
    <v>6</v>
  </rv>
  <rv s="3">
    <fb>5695</fb>
    <v>6</v>
  </rv>
  <rv s="3">
    <fb>1213.9000000000001</fb>
    <v>6</v>
  </rv>
  <rv s="3">
    <fb>264.55</fb>
    <v>6</v>
  </rv>
  <rv s="3">
    <fb>5652</fb>
    <v>6</v>
  </rv>
  <rv s="3">
    <fb>1200.7</fb>
    <v>6</v>
  </rv>
  <rv s="3">
    <fb>262.85000000000002</fb>
    <v>6</v>
  </rv>
  <rv s="3">
    <fb>80.709999999999994</fb>
    <v>6</v>
  </rv>
  <rv s="3">
    <fb>1835.2</fb>
    <v>6</v>
  </rv>
  <rv s="3">
    <fb>5612.5</fb>
    <v>6</v>
  </rv>
  <rv s="3">
    <fb>1201.75</fb>
    <v>6</v>
  </rv>
  <rv s="3">
    <fb>263.35000000000002</fb>
    <v>6</v>
  </rv>
  <rv s="3">
    <fb>81.150000000000006</fb>
    <v>6</v>
  </rv>
  <rv s="3">
    <fb>1851.3</fb>
    <v>6</v>
  </rv>
  <rv s="3">
    <fb>5540.5</fb>
    <v>6</v>
  </rv>
  <rv s="3">
    <fb>1196.45</fb>
    <v>6</v>
  </rv>
  <rv s="3">
    <fb>270.60000000000002</fb>
    <v>6</v>
  </rv>
  <rv s="3">
    <fb>81.88</fb>
    <v>6</v>
  </rv>
  <rv s="3">
    <fb>1824.8</fb>
    <v>6</v>
  </rv>
  <rv s="3">
    <fb>5591</fb>
    <v>6</v>
  </rv>
  <rv s="3">
    <fb>1208.1500000000001</fb>
    <v>6</v>
  </rv>
  <rv s="3">
    <fb>266.45</fb>
    <v>6</v>
  </rv>
  <rv s="3">
    <fb>81.67</fb>
    <v>6</v>
  </rv>
  <rv s="3">
    <fb>1829.1</fb>
    <v>6</v>
  </rv>
  <rv s="3">
    <fb>5626.5</fb>
    <v>6</v>
  </rv>
  <rv s="3">
    <fb>1230</fb>
    <v>6</v>
  </rv>
  <rv s="3">
    <fb>262.35000000000002</fb>
    <v>6</v>
  </rv>
  <rv s="3">
    <fb>81.349999999999994</fb>
    <v>6</v>
  </rv>
  <rv s="3">
    <fb>1802.8</fb>
    <v>6</v>
  </rv>
  <rv s="3">
    <fb>5650</fb>
    <v>6</v>
  </rv>
  <rv s="3">
    <fb>1224.55</fb>
    <v>6</v>
  </rv>
  <rv s="3">
    <fb>259.64999999999998</fb>
    <v>6</v>
  </rv>
  <rv s="3">
    <fb>81.16</fb>
    <v>6</v>
  </rv>
  <rv s="3">
    <fb>1788.4</fb>
    <v>6</v>
  </rv>
  <rv s="3">
    <fb>5627.5</fb>
    <v>6</v>
  </rv>
  <rv s="3">
    <fb>1236.0999999999999</fb>
    <v>6</v>
  </rv>
  <rv s="3">
    <fb>257.2</fb>
    <v>6</v>
  </rv>
  <rv s="3">
    <fb>1804.7</fb>
    <v>6</v>
  </rv>
  <rv s="3">
    <fb>5558</fb>
    <v>6</v>
  </rv>
  <rv s="3">
    <fb>1236.3</fb>
    <v>6</v>
  </rv>
  <rv s="3">
    <fb>271.7</fb>
    <v>6</v>
  </rv>
  <rv s="3">
    <fb>1809</fb>
    <v>6</v>
  </rv>
  <rv s="3">
    <fb>5439.5</fb>
    <v>6</v>
  </rv>
  <rv s="3">
    <fb>1221.75</fb>
    <v>6</v>
  </rv>
  <rv s="3">
    <fb>299.8</fb>
    <v>6</v>
  </rv>
  <rv s="3">
    <fb>82.77</fb>
    <v>6</v>
  </rv>
  <rv s="3">
    <fb>1809.5</fb>
    <v>6</v>
  </rv>
  <rv s="3">
    <fb>5441.5</fb>
    <v>6</v>
  </rv>
  <rv s="3">
    <fb>1226.25</fb>
    <v>6</v>
  </rv>
  <rv s="3">
    <fb>302.05</fb>
    <v>6</v>
  </rv>
  <rv s="3">
    <fb>83.75</fb>
    <v>6</v>
  </rv>
  <rv s="3">
    <fb>1793.6</fb>
    <v>6</v>
  </rv>
  <rv s="3">
    <fb>5469</fb>
    <v>6</v>
  </rv>
  <rv s="3">
    <fb>1161.05</fb>
    <v>6</v>
  </rv>
  <rv s="3">
    <fb>313.14999999999998</fb>
    <v>6</v>
  </rv>
  <rv s="3">
    <fb>82.3</fb>
    <v>6</v>
  </rv>
  <rv s="3">
    <fb>1832.1</fb>
    <v>6</v>
  </rv>
  <rv s="3">
    <fb>5433</fb>
    <v>6</v>
  </rv>
  <rv s="3">
    <fb>1137.3</fb>
    <v>6</v>
  </rv>
  <rv s="3">
    <fb>310.55</fb>
    <v>6</v>
  </rv>
  <rv s="3">
    <fb>82.1</fb>
    <v>6</v>
  </rv>
  <rv s="3">
    <fb>1850.5</fb>
    <v>6</v>
  </rv>
  <rv s="3">
    <fb>5386</fb>
    <v>6</v>
  </rv>
  <rv s="3">
    <fb>1114.6500000000001</fb>
    <v>6</v>
  </rv>
  <rv s="3">
    <fb>307.3</fb>
    <v>6</v>
  </rv>
  <rv s="3">
    <fb>82.03</fb>
    <v>6</v>
  </rv>
  <rv s="3">
    <fb>1833.4</fb>
    <v>6</v>
  </rv>
  <rv s="3">
    <fb>5470.5</fb>
    <v>6</v>
  </rv>
  <rv s="3">
    <fb>1111.8499999999999</fb>
    <v>6</v>
  </rv>
  <rv s="3">
    <fb>306.55</fb>
    <v>6</v>
  </rv>
  <rv s="3">
    <fb>81.91</fb>
    <v>6</v>
  </rv>
  <rv s="3">
    <fb>1839.1</fb>
    <v>6</v>
  </rv>
  <rv s="3">
    <fb>5481</fb>
    <v>6</v>
  </rv>
  <rv s="3">
    <fb>1115.75</fb>
    <v>6</v>
  </rv>
  <rv s="3">
    <fb>303.45</fb>
    <v>6</v>
  </rv>
  <rv s="3">
    <fb>82.39</fb>
    <v>6</v>
  </rv>
  <rv s="3">
    <fb>1840.7</fb>
    <v>6</v>
  </rv>
  <rv s="3">
    <fb>5468.5</fb>
    <v>6</v>
  </rv>
  <rv s="3">
    <fb>1123.8499999999999</fb>
    <v>6</v>
  </rv>
  <rv s="3">
    <fb>307.8</fb>
    <v>6</v>
  </rv>
  <rv s="3">
    <fb>82.2</fb>
    <v>6</v>
  </rv>
  <rv s="3">
    <fb>1796.2</fb>
    <v>6</v>
  </rv>
  <rv s="3">
    <fb>5528</fb>
    <v>6</v>
  </rv>
  <rv s="3">
    <fb>1138.25</fb>
    <v>6</v>
  </rv>
  <rv s="3">
    <fb>304.75</fb>
    <v>6</v>
  </rv>
  <rv s="3">
    <fb>81.95</fb>
    <v>6</v>
  </rv>
  <rv s="3">
    <fb>1831.5</fb>
    <v>6</v>
  </rv>
  <rv s="3">
    <fb>5621</fb>
    <v>6</v>
  </rv>
  <rv s="3">
    <fb>1138.7</fb>
    <v>6</v>
  </rv>
  <rv s="3">
    <fb>305.25</fb>
    <v>6</v>
  </rv>
  <rv s="3">
    <fb>83.23</fb>
    <v>6</v>
  </rv>
  <rv s="3">
    <fb>1857</fb>
    <v>6</v>
  </rv>
  <rv s="3">
    <fb>5681</fb>
    <v>6</v>
  </rv>
  <rv s="3">
    <fb>1133.6500000000001</fb>
    <v>6</v>
  </rv>
  <rv s="3">
    <fb>302.14999999999998</fb>
    <v>6</v>
  </rv>
  <rv s="3">
    <fb>83.61</fb>
    <v>6</v>
  </rv>
  <rv s="3">
    <fb>1854.3</fb>
    <v>6</v>
  </rv>
  <rv s="3">
    <fb>5668</fb>
    <v>6</v>
  </rv>
  <rv s="3">
    <fb>1116.6500000000001</fb>
    <v>6</v>
  </rv>
  <rv s="3">
    <fb>298.85000000000002</fb>
    <v>6</v>
  </rv>
  <rv s="3">
    <fb>83.44</fb>
    <v>6</v>
  </rv>
  <rv s="3">
    <fb>1861.1</fb>
    <v>6</v>
  </rv>
  <rv s="3">
    <fb>5681.5</fb>
    <v>6</v>
  </rv>
  <rv s="3">
    <fb>1117.3</fb>
    <v>6</v>
  </rv>
  <rv s="3">
    <fb>301.75</fb>
    <v>6</v>
  </rv>
  <rv s="3">
    <fb>83.94</fb>
    <v>6</v>
  </rv>
  <rv s="3">
    <fb>1833.6</fb>
    <v>6</v>
  </rv>
  <rv s="3">
    <fb>5663</fb>
    <v>6</v>
  </rv>
  <rv s="3">
    <fb>1096.5</fb>
    <v>6</v>
  </rv>
  <rv s="3">
    <fb>300.89999999999998</fb>
    <v>6</v>
  </rv>
  <rv s="3">
    <fb>84.36</fb>
    <v>6</v>
  </rv>
  <rv s="3">
    <fb>1851</fb>
    <v>6</v>
  </rv>
  <rv s="3">
    <fb>5671.5</fb>
    <v>6</v>
  </rv>
  <rv s="3">
    <fb>1105</fb>
    <v>6</v>
  </rv>
  <rv s="3">
    <fb>309.39999999999998</fb>
    <v>6</v>
  </rv>
  <rv s="3">
    <fb>1838</fb>
    <v>6</v>
  </rv>
  <rv s="3">
    <fb>5658</fb>
    <v>6</v>
  </rv>
  <rv s="3">
    <fb>1091.0999999999999</fb>
    <v>6</v>
  </rv>
  <rv s="3">
    <fb>305.89999999999998</fb>
    <v>6</v>
  </rv>
  <rv s="3">
    <fb>82.98</fb>
    <v>6</v>
  </rv>
  <rv s="3">
    <fb>1840.3</fb>
    <v>6</v>
  </rv>
  <rv s="3">
    <fb>5714.5</fb>
    <v>6</v>
  </rv>
  <rv s="3">
    <fb>1096.9000000000001</fb>
    <v>6</v>
  </rv>
  <rv s="3">
    <fb>312.35000000000002</fb>
    <v>6</v>
  </rv>
  <rv s="3">
    <fb>83.19</fb>
    <v>6</v>
  </rv>
  <rv s="3">
    <fb>1840.6</fb>
    <v>6</v>
  </rv>
  <rv s="3">
    <fb>5764</fb>
    <v>6</v>
  </rv>
  <rv s="3">
    <fb>1089.4000000000001</fb>
    <v>6</v>
  </rv>
  <rv s="3">
    <fb>318.39999999999998</fb>
    <v>6</v>
  </rv>
  <rv s="3">
    <fb>83.14</fb>
    <v>6</v>
  </rv>
  <rv s="3">
    <fb>1863</fb>
    <v>6</v>
  </rv>
  <rv s="3">
    <fb>5912</fb>
    <v>6</v>
  </rv>
  <rv s="3">
    <fb>1144.0999999999999</fb>
    <v>6</v>
  </rv>
  <rv s="3">
    <fb>314.89999999999998</fb>
    <v>6</v>
  </rv>
  <rv s="3">
    <fb>82.75</fb>
    <v>6</v>
  </rv>
  <rv s="3">
    <fb>1854.1</fb>
    <v>6</v>
  </rv>
  <rv s="3">
    <fb>5938.5</fb>
    <v>6</v>
  </rv>
  <rv s="3">
    <fb>1161.4000000000001</fb>
    <v>6</v>
  </rv>
  <rv s="3">
    <fb>321.45</fb>
    <v>6</v>
  </rv>
  <rv s="3">
    <fb>82.31</fb>
    <v>6</v>
  </rv>
  <rv s="3">
    <fb>1858.5</fb>
    <v>6</v>
  </rv>
  <rv s="3">
    <fb>5937.5</fb>
    <v>6</v>
  </rv>
  <rv s="3">
    <fb>1190.3</fb>
    <v>6</v>
  </rv>
  <rv s="3">
    <fb>326.55</fb>
    <v>6</v>
  </rv>
  <rv s="3">
    <fb>82.08</fb>
    <v>6</v>
  </rv>
  <rv s="3">
    <fb>1877.3</fb>
    <v>6</v>
  </rv>
  <rv s="3">
    <fb>5975</fb>
    <v>6</v>
  </rv>
  <rv s="3">
    <fb>1179.4000000000001</fb>
    <v>6</v>
  </rv>
  <rv s="3">
    <fb>321.8</fb>
    <v>6</v>
  </rv>
  <rv s="3">
    <fb>82.55</fb>
    <v>6</v>
  </rv>
  <rv s="3">
    <fb>1859</fb>
    <v>6</v>
  </rv>
  <rv s="3">
    <fb>5924.5</fb>
    <v>6</v>
  </rv>
  <rv s="3">
    <fb>1162.9000000000001</fb>
    <v>6</v>
  </rv>
  <rv s="3">
    <fb>319.10000000000002</fb>
    <v>6</v>
  </rv>
  <rv s="3">
    <fb>82.62</fb>
    <v>6</v>
  </rv>
  <rv s="3">
    <fb>1846.8</fb>
    <v>6</v>
  </rv>
  <rv s="3">
    <fb>5990.5</fb>
    <v>6</v>
  </rv>
  <rv s="3">
    <fb>1153</fb>
    <v>6</v>
  </rv>
  <rv s="3">
    <fb>319.25</fb>
    <v>6</v>
  </rv>
  <rv s="3">
    <fb>83.5</fb>
    <v>6</v>
  </rv>
  <rv s="3">
    <fb>1816.6</fb>
    <v>6</v>
  </rv>
  <rv s="3">
    <fb>6151</fb>
    <v>6</v>
  </rv>
  <rv s="3">
    <fb>1162.2</fb>
    <v>6</v>
  </rv>
  <rv s="3">
    <fb>317.89999999999998</fb>
    <v>6</v>
  </rv>
  <rv s="3">
    <fb>83.83</fb>
    <v>6</v>
  </rv>
  <rv s="3">
    <fb>1816.8</fb>
    <v>6</v>
  </rv>
  <rv s="3">
    <fb>6133</fb>
    <v>6</v>
  </rv>
  <rv s="3">
    <fb>1162.4000000000001</fb>
    <v>6</v>
  </rv>
  <rv s="3">
    <fb>315.5</fb>
    <v>6</v>
  </rv>
  <rv s="3">
    <fb>84.42</fb>
    <v>6</v>
  </rv>
  <rv s="3">
    <fb>1805.5</fb>
    <v>6</v>
  </rv>
  <rv s="3">
    <fb>6103</fb>
    <v>6</v>
  </rv>
  <rv s="3">
    <fb>1156.2</fb>
    <v>6</v>
  </rv>
  <rv s="3">
    <fb>313.95</fb>
    <v>6</v>
  </rv>
  <rv s="3">
    <fb>85.34</fb>
    <v>6</v>
  </rv>
  <rv s="3">
    <fb>1809.8</fb>
    <v>6</v>
  </rv>
  <rv s="3">
    <fb>6280</fb>
    <v>6</v>
  </rv>
  <rv s="3">
    <fb>1174.4000000000001</fb>
    <v>6</v>
  </rv>
  <rv s="3">
    <fb>321.10000000000002</fb>
    <v>6</v>
  </rv>
  <rv s="3">
    <fb>86.61</fb>
    <v>6</v>
  </rv>
  <rv s="3">
    <fb>1814.5</fb>
    <v>6</v>
  </rv>
  <rv s="3">
    <fb>6349</fb>
    <v>6</v>
  </rv>
  <rv s="3">
    <fb>1200.9000000000001</fb>
    <v>6</v>
  </rv>
  <rv s="3">
    <fb>322.39999999999998</fb>
    <v>6</v>
  </rv>
  <rv s="3">
    <fb>1810.7</fb>
    <v>6</v>
  </rv>
  <rv s="3">
    <fb>6371.5</fb>
    <v>6</v>
  </rv>
  <rv s="3">
    <fb>1194.8</fb>
    <v>6</v>
  </rv>
  <rv s="3">
    <fb>326.10000000000002</fb>
    <v>6</v>
  </rv>
  <rv s="3">
    <fb>87.88</fb>
    <v>6</v>
  </rv>
  <rv s="3">
    <fb>1791.1</fb>
    <v>6</v>
  </rv>
  <rv s="3">
    <fb>6425</fb>
    <v>6</v>
  </rv>
  <rv s="3">
    <fb>1212.5999999999999</fb>
    <v>6</v>
  </rv>
  <rv s="3">
    <fb>326.25</fb>
    <v>6</v>
  </rv>
  <rv s="3">
    <fb>88.16</fb>
    <v>6</v>
  </rv>
  <rv s="3">
    <fb>1805.3</fb>
    <v>6</v>
  </rv>
  <rv s="3">
    <fb>6580.5</fb>
    <v>6</v>
  </rv>
  <rv s="3">
    <fb>1208.5</fb>
    <v>6</v>
  </rv>
  <rv s="3">
    <fb>329.15</fb>
    <v>6</v>
  </rv>
  <rv s="3">
    <fb>88.65</fb>
    <v>6</v>
  </rv>
  <rv s="3">
    <fb>1780.9</fb>
    <v>6</v>
  </rv>
  <rv s="3">
    <fb>6815</fb>
    <v>6</v>
  </rv>
  <rv s="3">
    <fb>1187.7</fb>
    <v>6</v>
  </rv>
  <rv s="3">
    <fb>329.65</fb>
    <v>6</v>
  </rv>
  <rv s="3">
    <fb>89.98</fb>
    <v>6</v>
  </rv>
  <rv s="3">
    <fb>1805.7</fb>
    <v>6</v>
  </rv>
  <rv s="3">
    <fb>6874.5</fb>
    <v>6</v>
  </rv>
  <rv s="3">
    <fb>325.7</fb>
    <v>6</v>
  </rv>
  <rv s="3">
    <fb>91.17</fb>
    <v>6</v>
  </rv>
  <rv s="3">
    <fb>1833.7</fb>
    <v>6</v>
  </rv>
  <rv s="3">
    <fb>6836.5</fb>
    <v>6</v>
  </rv>
  <rv s="3">
    <fb>324.39999999999998</fb>
    <v>6</v>
  </rv>
  <rv s="3">
    <fb>90.9</fb>
    <v>6</v>
  </rv>
  <rv s="3">
    <fb>1814.2</fb>
    <v>6</v>
  </rv>
  <rv s="3">
    <fb>6758</fb>
    <v>6</v>
  </rv>
  <rv s="3">
    <fb>1220.8</fb>
    <v>6</v>
  </rv>
  <rv s="3">
    <fb>328.1</fb>
    <v>6</v>
  </rv>
  <rv s="3">
    <fb>90.62</fb>
    <v>6</v>
  </rv>
  <rv s="3">
    <fb>1830.2</fb>
    <v>6</v>
  </rv>
  <rv s="3">
    <fb>6875</fb>
    <v>6</v>
  </rv>
  <rv s="3">
    <fb>1217.5999999999999</fb>
    <v>6</v>
  </rv>
  <rv s="3">
    <fb>321.39999999999998</fb>
    <v>6</v>
  </rv>
  <rv s="3">
    <fb>91.26</fb>
    <v>6</v>
  </rv>
  <rv s="3">
    <fb>1822.2</fb>
    <v>6</v>
  </rv>
  <rv s="3">
    <fb>6801</fb>
    <v>6</v>
  </rv>
  <rv s="3">
    <fb>1212.5</fb>
    <v>6</v>
  </rv>
  <rv s="3">
    <fb>323.3</fb>
    <v>6</v>
  </rv>
  <rv s="3">
    <fb>90.92</fb>
    <v>6</v>
  </rv>
  <rv s="3">
    <fb>1818.8</fb>
    <v>6</v>
  </rv>
  <rv s="3">
    <fb>6927.5</fb>
    <v>6</v>
  </rv>
  <rv s="3">
    <fb>1204.2</fb>
    <v>6</v>
  </rv>
  <rv s="3">
    <fb>327.3</fb>
    <v>6</v>
  </rv>
  <rv s="3">
    <fb>92.27</fb>
    <v>6</v>
  </rv>
  <rv s="3">
    <fb>1804</fb>
    <v>6</v>
  </rv>
  <rv s="3">
    <fb>6890.5</fb>
    <v>6</v>
  </rv>
  <rv s="3">
    <fb>1204.3</fb>
    <v>6</v>
  </rv>
  <rv s="3">
    <fb>328.25</fb>
    <v>6</v>
  </rv>
  <rv s="3">
    <fb>91.25</fb>
    <v>6</v>
  </rv>
  <rv s="3">
    <fb>1821.8</fb>
    <v>6</v>
  </rv>
  <rv s="3">
    <fb>6924.5</fb>
    <v>6</v>
  </rv>
  <rv s="3">
    <fb>1209.0999999999999</fb>
    <v>6</v>
  </rv>
  <rv s="3">
    <fb>337.85</fb>
    <v>6</v>
  </rv>
  <rv s="3">
    <fb>91.6</fb>
    <v>6</v>
  </rv>
  <rv s="3">
    <fb>1841.7</fb>
    <v>6</v>
  </rv>
  <rv s="3">
    <fb>6973.5</fb>
    <v>6</v>
  </rv>
  <rv s="3">
    <fb>1194.5</fb>
    <v>6</v>
  </rv>
  <rv s="3">
    <fb>336.55</fb>
    <v>6</v>
  </rv>
  <rv s="3">
    <fb>91.29</fb>
    <v>6</v>
  </rv>
  <rv s="3">
    <fb>1857.7</fb>
    <v>6</v>
  </rv>
  <rv s="3">
    <fb>6946</fb>
    <v>6</v>
  </rv>
  <rv s="3">
    <fb>1188.3</fb>
    <v>6</v>
  </rv>
  <rv s="3">
    <fb>341.85</fb>
    <v>6</v>
  </rv>
  <rv s="3">
    <fb>93.14</fb>
    <v>6</v>
  </rv>
  <rv s="3">
    <fb>1819.4</fb>
    <v>6</v>
  </rv>
  <rv s="3">
    <fb>6990.5</fb>
    <v>6</v>
  </rv>
  <rv s="3">
    <fb>1168.4000000000001</fb>
    <v>6</v>
  </rv>
  <rv s="3">
    <fb>338.35</fb>
    <v>6</v>
  </rv>
  <rv s="3">
    <fb>95.13</fb>
    <v>6</v>
  </rv>
  <rv s="3">
    <fb>1817.1</fb>
    <v>6</v>
  </rv>
  <rv s="3">
    <fb>7011.5</fb>
    <v>6</v>
  </rv>
  <rv s="3">
    <fb>1178.5999999999999</fb>
    <v>6</v>
  </rv>
  <rv s="3">
    <fb>335.8</fb>
    <v>6</v>
  </rv>
  <rv s="3">
    <fb>94.64</fb>
    <v>6</v>
  </rv>
  <rv s="3">
    <fb>6986</fb>
    <v>6</v>
  </rv>
  <rv s="3">
    <fb>1173.5</fb>
    <v>6</v>
  </rv>
  <rv s="3">
    <fb>332.25</fb>
    <v>6</v>
  </rv>
  <rv s="3">
    <fb>94.43</fb>
    <v>6</v>
  </rv>
  <rv s="3">
    <fb>1798.8</fb>
    <v>6</v>
  </rv>
  <rv s="3">
    <fb>7047</fb>
    <v>6</v>
  </rv>
  <rv s="3">
    <fb>1162.5999999999999</fb>
    <v>6</v>
  </rv>
  <rv s="3">
    <fb>321</fb>
    <v>6</v>
  </rv>
  <rv s="3">
    <fb>94.22</fb>
    <v>6</v>
  </rv>
  <rv s="3">
    <fb>1788.7</fb>
    <v>6</v>
  </rv>
  <rv s="3">
    <fb>6985</fb>
    <v>6</v>
  </rv>
  <rv s="3">
    <fb>1152.5</fb>
    <v>6</v>
  </rv>
  <rv s="3">
    <fb>324.85000000000002</fb>
    <v>6</v>
  </rv>
  <rv s="3">
    <fb>95.9</fb>
    <v>6</v>
  </rv>
  <rv s="3">
    <fb>1790.6</fb>
    <v>6</v>
  </rv>
  <rv s="3">
    <fb>7005.5</fb>
    <v>6</v>
  </rv>
  <rv s="3">
    <fb>1152.9000000000001</fb>
    <v>6</v>
  </rv>
  <rv s="3">
    <fb>325.5</fb>
    <v>6</v>
  </rv>
  <rv s="3">
    <fb>95.85</fb>
    <v>6</v>
  </rv>
  <rv s="3">
    <fb>1801.1</fb>
    <v>6</v>
  </rv>
  <rv s="3">
    <fb>7021.5</fb>
    <v>6</v>
  </rv>
  <rv s="3">
    <fb>1166.4000000000001</fb>
    <v>6</v>
  </rv>
  <rv s="3">
    <fb>329</fb>
    <v>6</v>
  </rv>
  <rv s="3">
    <fb>97.63</fb>
    <v>6</v>
  </rv>
  <rv s="3">
    <fb>1785.1</fb>
    <v>6</v>
  </rv>
  <rv s="3">
    <fb>6941</fb>
    <v>6</v>
  </rv>
  <rv s="3">
    <fb>1169.9000000000001</fb>
    <v>6</v>
  </rv>
  <rv s="3">
    <fb>328.45</fb>
    <v>6</v>
  </rv>
  <rv s="3">
    <fb>97.07</fb>
    <v>6</v>
  </rv>
  <rv s="3">
    <fb>1770.9</fb>
    <v>6</v>
  </rv>
  <rv s="3">
    <fb>6880</fb>
    <v>6</v>
  </rv>
  <rv s="3">
    <fb>1181.7</fb>
    <v>6</v>
  </rv>
  <rv s="3">
    <fb>335.1</fb>
    <v>6</v>
  </rv>
  <rv s="3">
    <fb>99.22</fb>
    <v>6</v>
  </rv>
  <rv s="3">
    <fb>1784.1</fb>
    <v>6</v>
  </rv>
  <rv s="3">
    <fb>6957</fb>
    <v>6</v>
  </rv>
  <rv s="3">
    <fb>1176.8</fb>
    <v>6</v>
  </rv>
  <rv s="3">
    <fb>99.66</fb>
    <v>6</v>
  </rv>
  <rv s="3">
    <fb>1772.9</fb>
    <v>6</v>
  </rv>
  <rv s="3">
    <fb>6902.5</fb>
    <v>6</v>
  </rv>
  <rv s="3">
    <fb>1180.5</fb>
    <v>6</v>
  </rv>
  <rv s="3">
    <fb>341.65</fb>
    <v>6</v>
  </rv>
  <rv s="3">
    <fb>101.69</fb>
    <v>6</v>
  </rv>
  <rv s="3">
    <fb>6896.5</fb>
    <v>6</v>
  </rv>
  <rv s="3">
    <fb>1187.8</fb>
    <v>6</v>
  </rv>
  <rv s="3">
    <fb>345.5</fb>
    <v>6</v>
  </rv>
  <rv s="3">
    <fb>101.47</fb>
    <v>6</v>
  </rv>
  <rv s="3">
    <fb>1810.4</fb>
    <v>6</v>
  </rv>
  <rv s="3">
    <fb>6965</fb>
    <v>6</v>
  </rv>
  <rv s="3">
    <fb>1199.5</fb>
    <v>6</v>
  </rv>
  <rv s="3">
    <fb>348.3</fb>
    <v>6</v>
  </rv>
  <rv s="3">
    <fb>100.67</fb>
    <v>6</v>
  </rv>
  <rv s="3">
    <fb>1815.3</fb>
    <v>6</v>
  </rv>
  <rv s="3">
    <fb>6912</fb>
    <v>6</v>
  </rv>
  <rv s="3">
    <fb>1188.0999999999999</fb>
    <v>6</v>
  </rv>
  <rv s="3">
    <fb>348.35</fb>
    <v>6</v>
  </rv>
  <rv s="3">
    <fb>102.65</fb>
    <v>6</v>
  </rv>
  <rv s="3">
    <fb>1816.2</fb>
    <v>6</v>
  </rv>
  <rv s="3">
    <fb>6887</fb>
    <v>6</v>
  </rv>
  <rv s="3">
    <fb>1175.5</fb>
    <v>6</v>
  </rv>
  <rv s="3">
    <fb>347.75</fb>
    <v>6</v>
  </rv>
  <rv s="3">
    <fb>105.09</fb>
    <v>6</v>
  </rv>
  <rv s="3">
    <fb>6895</fb>
    <v>6</v>
  </rv>
  <rv s="3">
    <fb>1221.4000000000001</fb>
    <v>6</v>
  </rv>
  <rv s="3">
    <fb>354.35</fb>
    <v>6</v>
  </rv>
  <rv s="3">
    <fb>105.29</fb>
    <v>6</v>
  </rv>
  <rv s="3">
    <fb>1835.7</fb>
    <v>6</v>
  </rv>
  <rv s="3">
    <fb>6988</fb>
    <v>6</v>
  </rv>
  <rv s="3">
    <fb>1276.5999999999999</fb>
    <v>6</v>
  </rv>
  <rv s="3">
    <fb>347.85</fb>
    <v>6</v>
  </rv>
  <rv s="3">
    <fb>105.37</fb>
    <v>6</v>
  </rv>
  <rv s="3">
    <fb>1844.1</fb>
    <v>6</v>
  </rv>
  <rv s="3">
    <fb>7042.5</fb>
    <v>6</v>
  </rv>
  <rv s="3">
    <fb>342.65</fb>
    <v>6</v>
  </rv>
  <rv s="3">
    <fb>108.11</fb>
    <v>6</v>
  </rv>
  <rv s="3">
    <fb>1839.7</fb>
    <v>6</v>
  </rv>
  <rv s="3">
    <fb>7013.5</fb>
    <v>6</v>
  </rv>
  <rv s="3">
    <fb>1285.4000000000001</fb>
    <v>6</v>
  </rv>
  <rv s="3">
    <fb>338.15</fb>
    <v>6</v>
  </rv>
  <rv s="3">
    <fb>105.14</fb>
    <v>6</v>
  </rv>
  <rv s="3">
    <fb>1841</fb>
    <v>6</v>
  </rv>
  <rv s="3">
    <fb>7018.5</fb>
    <v>6</v>
  </rv>
  <rv s="3">
    <fb>1287.3</fb>
    <v>6</v>
  </rv>
  <rv s="3">
    <fb>338.1</fb>
    <v>6</v>
  </rv>
  <rv s="3">
    <fb>105.69</fb>
    <v>6</v>
  </rv>
  <rv s="3">
    <fb>1852.7</fb>
    <v>6</v>
  </rv>
  <rv s="3">
    <fb>6884.5</fb>
    <v>6</v>
  </rv>
  <rv s="3">
    <fb>1272.8</fb>
    <v>6</v>
  </rv>
  <rv s="3">
    <fb>328.35</fb>
    <v>6</v>
  </rv>
  <rv s="3">
    <fb>101.7</fb>
    <v>6</v>
  </rv>
  <rv s="3">
    <fb>1839.8</fb>
    <v>6</v>
  </rv>
  <rv s="3">
    <fb>6840</fb>
    <v>6</v>
  </rv>
  <rv s="3">
    <fb>1282</fb>
    <v>6</v>
  </rv>
  <rv s="3">
    <fb>326.60000000000002</fb>
    <v>6</v>
  </rv>
  <rv s="3">
    <fb>100.42</fb>
    <v>6</v>
  </rv>
  <rv s="3">
    <fb>1903.1</fb>
    <v>6</v>
  </rv>
  <rv s="3">
    <fb>6906.5</fb>
    <v>6</v>
  </rv>
  <rv s="3">
    <fb>1283</fb>
    <v>6</v>
  </rv>
  <rv s="3">
    <fb>333.7</fb>
    <v>6</v>
  </rv>
  <rv s="3">
    <fb>100.14</fb>
    <v>6</v>
  </rv>
  <rv s="3">
    <fb>1936.8</fb>
    <v>6</v>
  </rv>
  <rv s="3">
    <fb>7002.5</fb>
    <v>6</v>
  </rv>
  <rv s="3">
    <fb>1271</fb>
    <v>6</v>
  </rv>
  <rv s="3">
    <fb>334.6</fb>
    <v>6</v>
  </rv>
  <rv s="3">
    <fb>96.84</fb>
    <v>6</v>
  </rv>
  <rv s="3">
    <fb>1970.4</fb>
    <v>6</v>
  </rv>
  <rv s="3">
    <fb>6952</fb>
    <v>6</v>
  </rv>
  <rv s="3">
    <fb>1273</fb>
    <v>6</v>
  </rv>
  <rv s="3">
    <fb>330.45</fb>
    <v>6</v>
  </rv>
  <rv s="3">
    <fb>1968.4</fb>
    <v>6</v>
  </rv>
  <rv s="3">
    <fb>6889</fb>
    <v>6</v>
  </rv>
  <rv s="3">
    <fb>1279.9000000000001</fb>
    <v>6</v>
  </rv>
  <rv s="3">
    <fb>329.35</fb>
    <v>6</v>
  </rv>
  <rv s="3">
    <fb>99.68</fb>
    <v>6</v>
  </rv>
  <rv s="3">
    <fb>1955.7</fb>
    <v>6</v>
  </rv>
  <rv s="3">
    <fb>7007</fb>
    <v>6</v>
  </rv>
  <rv s="3">
    <fb>1271.5999999999999</fb>
    <v>6</v>
  </rv>
  <rv s="3">
    <fb>317.75</fb>
    <v>6</v>
  </rv>
  <rv s="3">
    <fb>100.02</fb>
    <v>6</v>
  </rv>
  <rv s="3">
    <fb>1969.6</fb>
    <v>6</v>
  </rv>
  <rv s="3">
    <fb>7023.5</fb>
    <v>6</v>
  </rv>
  <rv s="3">
    <fb>1266.7</fb>
    <v>6</v>
  </rv>
  <rv s="3">
    <fb>322.60000000000002</fb>
    <v>6</v>
  </rv>
  <rv s="3">
    <fb>1971.5</fb>
    <v>6</v>
  </rv>
  <rv s="3">
    <fb>6930</fb>
    <v>6</v>
  </rv>
  <rv s="3">
    <fb>1265</fb>
    <v>6</v>
  </rv>
  <rv s="3">
    <fb>313.5</fb>
    <v>6</v>
  </rv>
  <rv s="3">
    <fb>99.8</fb>
    <v>6</v>
  </rv>
  <rv s="3">
    <fb>1970.8</fb>
    <v>6</v>
  </rv>
  <rv s="3">
    <fb>6806.5</fb>
    <v>6</v>
  </rv>
  <rv s="3">
    <fb>1266.0999999999999</fb>
    <v>6</v>
  </rv>
  <rv s="3">
    <fb>305.64999999999998</fb>
    <v>6</v>
  </rv>
  <rv s="3">
    <fb>100.07</fb>
    <v>6</v>
  </rv>
  <rv s="3">
    <fb>1998.9</fb>
    <v>6</v>
  </rv>
  <rv s="3">
    <fb>6886</fb>
    <v>6</v>
  </rv>
  <rv s="3">
    <fb>1262.7</fb>
    <v>6</v>
  </rv>
  <rv s="3">
    <fb>306.10000000000002</fb>
    <v>6</v>
  </rv>
  <rv s="3">
    <fb>99.94</fb>
    <v>6</v>
  </rv>
  <rv s="3">
    <fb>1989.3</fb>
    <v>6</v>
  </rv>
  <rv s="3">
    <fb>6866.5</fb>
    <v>6</v>
  </rv>
  <rv s="3">
    <fb>1262.9000000000001</fb>
    <v>6</v>
  </rv>
  <rv s="3">
    <fb>301.45</fb>
    <v>6</v>
  </rv>
  <rv s="3">
    <fb>1997.3</fb>
    <v>6</v>
  </rv>
  <rv s="3">
    <fb>6873</fb>
    <v>6</v>
  </rv>
  <rv s="3">
    <fb>305.8</fb>
    <v>6</v>
  </rv>
  <rv s="3">
    <fb>103.29</fb>
    <v>6</v>
  </rv>
  <rv s="3">
    <fb>1996.7</fb>
    <v>6</v>
  </rv>
  <rv s="3">
    <fb>6879</fb>
    <v>6</v>
  </rv>
  <rv s="3">
    <fb>1278.2</fb>
    <v>6</v>
  </rv>
  <rv s="3">
    <fb>308.8</fb>
    <v>6</v>
  </rv>
  <rv s="3">
    <fb>102.69</fb>
    <v>6</v>
  </rv>
  <rv s="3">
    <fb>1987.9</fb>
    <v>6</v>
  </rv>
  <rv s="3">
    <fb>6855</fb>
    <v>6</v>
  </rv>
  <rv s="3">
    <fb>1275.2</fb>
    <v>6</v>
  </rv>
  <rv s="3">
    <fb>297.75</fb>
    <v>6</v>
  </rv>
  <rv s="3">
    <fb>2000.9</fb>
    <v>6</v>
  </rv>
  <rv s="3">
    <fb>6695</fb>
    <v>6</v>
  </rv>
  <rv s="3">
    <fb>303.75</fb>
    <v>6</v>
  </rv>
  <rv s="3">
    <fb>103.81</fb>
    <v>6</v>
  </rv>
  <rv s="3">
    <fb>1996</fb>
    <v>6</v>
  </rv>
  <rv s="3">
    <fb>6799</fb>
    <v>6</v>
  </rv>
  <rv s="3">
    <fb>1270.3</fb>
    <v>6</v>
  </rv>
  <rv s="3">
    <fb>309.55</fb>
    <v>6</v>
  </rv>
  <rv s="3">
    <fb>101.94</fb>
    <v>6</v>
  </rv>
  <rv s="3">
    <fb>1993.3</fb>
    <v>6</v>
  </rv>
  <rv s="3">
    <fb>6814.5</fb>
    <v>6</v>
  </rv>
  <rv s="3">
    <fb>1265.0999999999999</fb>
    <v>6</v>
  </rv>
  <rv s="3">
    <fb>306.14999999999998</fb>
    <v>6</v>
  </rv>
  <rv s="3">
    <fb>100.91</fb>
    <v>6</v>
  </rv>
  <rv s="3">
    <fb>2004.8</fb>
    <v>6</v>
  </rv>
  <rv s="3">
    <fb>1279</fb>
    <v>6</v>
  </rv>
  <rv s="3">
    <fb>306.60000000000002</fb>
    <v>6</v>
  </rv>
  <rv s="3">
    <fb>102.23</fb>
    <v>6</v>
  </rv>
  <rv s="3">
    <fb>2027.1</fb>
    <v>6</v>
  </rv>
  <rv s="3">
    <fb>7125.5</fb>
    <v>6</v>
  </rv>
  <rv s="3">
    <fb>1279.2</fb>
    <v>6</v>
  </rv>
  <rv s="3">
    <fb>306.89999999999998</fb>
    <v>6</v>
  </rv>
  <rv s="3">
    <fb>101.55</fb>
    <v>6</v>
  </rv>
  <rv s="3">
    <fb>2022.5</fb>
    <v>6</v>
  </rv>
  <rv s="3">
    <fb>7134.5</fb>
    <v>6</v>
  </rv>
  <rv s="3">
    <fb>1280.7</fb>
    <v>6</v>
  </rv>
  <rv s="3">
    <fb>301.95</fb>
    <v>6</v>
  </rv>
  <rv s="3">
    <fb>102</fb>
    <v>6</v>
  </rv>
  <rv s="3">
    <fb>2014.8</fb>
    <v>6</v>
  </rv>
  <rv s="3">
    <fb>7258.5</fb>
    <v>6</v>
  </rv>
  <rv s="3">
    <fb>1269.2</fb>
    <v>6</v>
  </rv>
  <rv s="3">
    <fb>301</fb>
    <v>6</v>
  </rv>
  <rv s="3">
    <fb>2031</fb>
    <v>6</v>
  </rv>
  <rv s="3">
    <fb>7218.5</fb>
    <v>6</v>
  </rv>
  <rv s="3">
    <fb>1263.2</fb>
    <v>6</v>
  </rv>
  <rv s="3">
    <fb>302.3</fb>
    <v>6</v>
  </rv>
  <rv s="3">
    <fb>103.46</fb>
    <v>6</v>
  </rv>
  <rv s="3">
    <fb>2029.1</fb>
    <v>6</v>
  </rv>
  <rv s="3">
    <fb>7198.5</fb>
    <v>6</v>
  </rv>
  <rv s="3">
    <fb>1276.8</fb>
    <v>6</v>
  </rv>
  <rv s="3">
    <fb>306.85000000000002</fb>
    <v>6</v>
  </rv>
  <rv s="3">
    <fb>104.18</fb>
    <v>6</v>
  </rv>
  <rv s="3">
    <fb>2004.5</fb>
    <v>6</v>
  </rv>
  <rv s="3">
    <fb>6999</fb>
    <v>6</v>
  </rv>
  <rv s="3">
    <fb>1266.4000000000001</fb>
    <v>6</v>
  </rv>
  <rv s="3">
    <fb>302.75</fb>
    <v>6</v>
  </rv>
  <rv s="3">
    <fb>104.11</fb>
    <v>6</v>
  </rv>
  <rv s="3">
    <fb>1966</fb>
    <v>6</v>
  </rv>
  <rv s="3">
    <fb>7053.5</fb>
    <v>6</v>
  </rv>
  <rv s="3">
    <fb>1261.0999999999999</fb>
    <v>6</v>
  </rv>
  <rv s="3">
    <fb>300.10000000000002</fb>
    <v>6</v>
  </rv>
  <rv s="3">
    <fb>104.62</fb>
    <v>6</v>
  </rv>
  <rv s="3">
    <fb>1971.6</fb>
    <v>6</v>
  </rv>
  <rv s="3">
    <fb>1260.5999999999999</fb>
    <v>6</v>
  </rv>
  <rv s="3">
    <fb>301.5</fb>
    <v>6</v>
  </rv>
  <rv s="3">
    <fb>106.72</fb>
    <v>6</v>
  </rv>
  <rv s="3">
    <fb>1981.5</fb>
    <v>6</v>
  </rv>
  <rv s="3">
    <fb>7112.5</fb>
    <v>6</v>
  </rv>
  <rv s="3">
    <fb>1258.9000000000001</fb>
    <v>6</v>
  </rv>
  <rv s="3">
    <fb>300.55</fb>
    <v>6</v>
  </rv>
  <rv s="3">
    <fb>105.63</fb>
    <v>6</v>
  </rv>
  <rv s="3">
    <fb>1972.8</fb>
    <v>6</v>
  </rv>
  <rv s="3">
    <fb>7081.5</fb>
    <v>6</v>
  </rv>
  <rv s="3">
    <fb>1241.9000000000001</fb>
    <v>6</v>
  </rv>
  <rv s="3">
    <fb>106.51</fb>
    <v>6</v>
  </rv>
  <rv s="3">
    <fb>2002.9</fb>
    <v>6</v>
  </rv>
  <rv s="3">
    <fb>7100</fb>
    <v>6</v>
  </rv>
  <rv s="3">
    <fb>1242.4000000000001</fb>
    <v>6</v>
  </rv>
  <rv s="3">
    <fb>295.75</fb>
    <v>6</v>
  </rv>
  <rv s="3">
    <fb>105.92</fb>
    <v>6</v>
  </rv>
  <rv s="3">
    <fb>2023.7</fb>
    <v>6</v>
  </rv>
  <rv s="3">
    <fb>7208</fb>
    <v>6</v>
  </rv>
  <rv s="3">
    <fb>1246.9000000000001</fb>
    <v>6</v>
  </rv>
  <rv s="3">
    <fb>292.39999999999998</fb>
    <v>6</v>
  </rv>
  <rv s="3">
    <fb>106.89</fb>
    <v>6</v>
  </rv>
  <rv s="3">
    <fb>2020.7</fb>
    <v>6</v>
  </rv>
  <rv s="3">
    <fb>7142</fb>
    <v>6</v>
  </rv>
  <rv s="3">
    <fb>1214.8</fb>
    <v>6</v>
  </rv>
  <rv s="3">
    <fb>285.25</fb>
    <v>6</v>
  </rv>
  <rv s="3">
    <fb>106.85</fb>
    <v>6</v>
  </rv>
  <rv s="3">
    <fb>2006.2</fb>
    <v>6</v>
  </rv>
  <rv s="3">
    <fb>7123</fb>
    <v>6</v>
  </rv>
  <rv s="3">
    <fb>1215.8</fb>
    <v>6</v>
  </rv>
  <rv s="3">
    <fb>106.28</fb>
    <v>6</v>
  </rv>
  <rv s="3">
    <fb>2014.5</fb>
    <v>6</v>
  </rv>
  <rv s="3">
    <fb>7228.5</fb>
    <v>6</v>
  </rv>
  <rv s="3">
    <fb>1209.3</fb>
    <v>6</v>
  </rv>
  <rv s="3">
    <fb>283.25</fb>
    <v>6</v>
  </rv>
  <rv s="3">
    <fb>106.23</fb>
    <v>6</v>
  </rv>
  <rv s="3">
    <fb>2006.9</fb>
    <v>6</v>
  </rv>
  <rv s="3">
    <fb>7256</fb>
    <v>6</v>
  </rv>
  <rv s="3">
    <fb>1215</fb>
    <v>6</v>
  </rv>
  <rv s="3">
    <fb>290.95</fb>
    <v>6</v>
  </rv>
  <rv s="3">
    <fb>107.15</fb>
    <v>6</v>
  </rv>
  <rv s="3">
    <fb>2025.9</fb>
    <v>6</v>
  </rv>
  <rv s="3">
    <fb>7229</fb>
    <v>6</v>
  </rv>
  <rv s="3">
    <fb>1238.3</fb>
    <v>6</v>
  </rv>
  <rv s="3">
    <fb>298.05</fb>
    <v>6</v>
  </rv>
  <rv s="3">
    <fb>109.61</fb>
    <v>6</v>
  </rv>
  <rv s="3">
    <fb>2034.9</fb>
    <v>6</v>
  </rv>
  <rv s="3">
    <fb>7121.5</fb>
    <v>6</v>
  </rv>
  <rv s="3">
    <fb>298.45</fb>
    <v>6</v>
  </rv>
  <rv s="3">
    <fb>110.95</fb>
    <v>6</v>
  </rv>
  <rv s="3">
    <fb>2036</fb>
    <v>6</v>
  </rv>
  <rv s="3">
    <fb>7061.5</fb>
    <v>6</v>
  </rv>
  <rv s="3">
    <fb>1240.5999999999999</fb>
    <v>6</v>
  </rv>
  <rv s="3">
    <fb>284.45</fb>
    <v>6</v>
  </rv>
  <rv s="3">
    <fb>109.56</fb>
    <v>6</v>
  </rv>
  <rv s="3">
    <fb>2010.2</fb>
    <v>6</v>
  </rv>
  <rv s="3">
    <fb>1234.5999999999999</fb>
    <v>6</v>
  </rv>
  <rv s="3">
    <fb>109.99</fb>
    <v>6</v>
  </rv>
  <rv s="3">
    <fb>2014.4</fb>
    <v>6</v>
  </rv>
  <rv s="3">
    <fb>7106.5</fb>
    <v>6</v>
  </rv>
  <rv s="3">
    <fb>1233.5</fb>
    <v>6</v>
  </rv>
  <rv s="3">
    <fb>284.75</fb>
    <v>6</v>
  </rv>
  <rv s="3">
    <fb>109.88</fb>
    <v>6</v>
  </rv>
  <rv s="3">
    <fb>2028.4</fb>
    <v>6</v>
  </rv>
  <rv s="3">
    <fb>7217</fb>
    <v>6</v>
  </rv>
  <rv s="3">
    <fb>1244.4000000000001</fb>
    <v>6</v>
  </rv>
  <rv s="3">
    <fb>286.05</fb>
    <v>6</v>
  </rv>
  <rv s="3">
    <fb>109.82</fb>
    <v>6</v>
  </rv>
  <rv s="3">
    <fb>2022.3</fb>
    <v>6</v>
  </rv>
  <rv s="3">
    <fb>7291.5</fb>
    <v>6</v>
  </rv>
  <rv s="3">
    <fb>1257.2</fb>
    <v>6</v>
  </rv>
  <rv s="3">
    <fb>286.7</fb>
    <v>6</v>
  </rv>
  <rv s="3">
    <fb>111.39</fb>
    <v>6</v>
  </rv>
  <rv s="3">
    <fb>2024.8</fb>
    <v>6</v>
  </rv>
  <rv s="3">
    <fb>7303</fb>
    <v>6</v>
  </rv>
  <rv s="3">
    <fb>1256.5</fb>
    <v>6</v>
  </rv>
  <rv s="3">
    <fb>284.35000000000002</fb>
    <v>6</v>
  </rv>
  <rv s="3">
    <fb>113.1</fb>
    <v>6</v>
  </rv>
  <rv s="3">
    <fb>2025.4</fb>
    <v>6</v>
  </rv>
  <rv s="3">
    <fb>7312.5</fb>
    <v>6</v>
  </rv>
  <rv s="3">
    <fb>1259.7</fb>
    <v>6</v>
  </rv>
  <rv s="3">
    <fb>284.85000000000002</fb>
    <v>6</v>
  </rv>
  <rv s="3">
    <fb>113.21</fb>
    <v>6</v>
  </rv>
  <rv s="3">
    <fb>2019.1</fb>
    <v>6</v>
  </rv>
  <rv s="3">
    <fb>7324</fb>
    <v>6</v>
  </rv>
  <rv s="3">
    <fb>1272.5999999999999</fb>
    <v>6</v>
  </rv>
  <rv s="3">
    <fb>281.75</fb>
    <v>6</v>
  </rv>
  <rv s="3">
    <fb>114.31</fb>
    <v>6</v>
  </rv>
  <rv s="3">
    <fb>2009.8</fb>
    <v>6</v>
  </rv>
  <rv s="3">
    <fb>7272</fb>
    <v>6</v>
  </rv>
  <rv s="3">
    <fb>1280</fb>
    <v>6</v>
  </rv>
  <rv s="3">
    <fb>282.85000000000002</fb>
    <v>6</v>
  </rv>
  <rv s="3">
    <fb>113.03</fb>
    <v>6</v>
  </rv>
  <rv s="3">
    <fb>1995.5</fb>
    <v>6</v>
  </rv>
  <rv s="3">
    <fb>7192.5</fb>
    <v>6</v>
  </rv>
  <rv s="3">
    <fb>277.10000000000002</fb>
    <v>6</v>
  </rv>
  <rv s="3">
    <fb>111.17</fb>
    <v>6</v>
  </rv>
  <rv s="3">
    <fb>1288</fb>
    <v>6</v>
  </rv>
  <rv s="3">
    <fb>110.11</fb>
    <v>6</v>
  </rv>
  <rv s="3">
    <fb>2040.4</fb>
    <v>6</v>
  </rv>
  <rv s="3">
    <fb>7348</fb>
    <v>6</v>
  </rv>
  <rv s="3">
    <fb>1295</fb>
    <v>6</v>
  </rv>
  <rv s="3">
    <fb>283.8</fb>
    <v>6</v>
  </rv>
  <rv s="3">
    <fb>110.52</fb>
    <v>6</v>
  </rv>
  <rv s="3">
    <fb>2067.4</fb>
    <v>6</v>
  </rv>
  <rv s="3">
    <fb>7334.5</fb>
    <v>6</v>
  </rv>
  <rv s="3">
    <fb>1279.7</fb>
    <v>6</v>
  </rv>
  <rv s="3">
    <fb>284.14999999999998</fb>
    <v>6</v>
  </rv>
  <rv s="3">
    <fb>111.82</fb>
    <v>6</v>
  </rv>
  <rv s="3">
    <fb>2075.6</fb>
    <v>6</v>
  </rv>
  <rv s="3">
    <fb>7482.5</fb>
    <v>6</v>
  </rv>
  <rv s="3">
    <fb>1314.6</fb>
    <v>6</v>
  </rv>
  <rv s="3">
    <fb>281.8</fb>
    <v>6</v>
  </rv>
  <rv s="3">
    <fb>112.92</fb>
    <v>6</v>
  </rv>
  <rv s="3">
    <fb>2095.8000000000002</fb>
    <v>6</v>
  </rv>
  <rv s="3">
    <fb>7522.5</fb>
    <v>6</v>
  </rv>
  <rv s="3">
    <fb>1319.9</fb>
    <v>6</v>
  </rv>
  <rv s="3">
    <fb>279.05</fb>
    <v>6</v>
  </rv>
  <rv s="3">
    <fb>113.14</fb>
    <v>6</v>
  </rv>
  <rv s="3">
    <fb>2070.8000000000002</fb>
    <v>6</v>
  </rv>
  <rv s="3">
    <fb>7582.5</fb>
    <v>6</v>
  </rv>
  <rv s="3">
    <fb>1314.8</fb>
    <v>6</v>
  </rv>
  <rv s="3">
    <fb>280.95</fb>
    <v>6</v>
  </rv>
  <rv s="3">
    <fb>112.91</fb>
    <v>6</v>
  </rv>
  <rv s="3">
    <fb>2082.9</fb>
    <v>6</v>
  </rv>
  <rv s="3">
    <fb>7551</fb>
    <v>6</v>
  </rv>
  <rv s="3">
    <fb>1306.9000000000001</fb>
    <v>6</v>
  </rv>
  <rv s="3">
    <fb>283.55</fb>
    <v>6</v>
  </rv>
  <rv s="3">
    <fb>112.29</fb>
    <v>6</v>
  </rv>
  <rv s="3">
    <fb>2070</fb>
    <v>6</v>
  </rv>
  <rv s="3">
    <fb>7507</fb>
    <v>6</v>
  </rv>
  <rv s="3">
    <fb>1299.0999999999999</fb>
    <v>6</v>
  </rv>
  <rv s="3">
    <fb>113.61</fb>
    <v>6</v>
  </rv>
  <rv s="3">
    <fb>2098</fb>
    <v>6</v>
  </rv>
  <rv s="3">
    <fb>7436</fb>
    <v>6</v>
  </rv>
  <rv s="3">
    <fb>1312.4</fb>
    <v>6</v>
  </rv>
  <rv s="3">
    <fb>116.76</fb>
    <v>6</v>
  </rv>
  <rv s="3">
    <fb>2082.4</fb>
    <v>6</v>
  </rv>
  <rv s="3">
    <fb>7404</fb>
    <v>6</v>
  </rv>
  <rv s="3">
    <fb>1318.7</fb>
    <v>6</v>
  </rv>
  <rv s="3">
    <fb>294.55</fb>
    <v>6</v>
  </rv>
  <rv s="3">
    <fb>116.37</fb>
    <v>6</v>
  </rv>
  <rv s="3">
    <fb>2068.8000000000002</fb>
    <v>6</v>
  </rv>
  <rv s="3">
    <fb>7358</fb>
    <v>6</v>
  </rv>
  <rv s="3">
    <fb>1307.0999999999999</fb>
    <v>6</v>
  </rv>
  <rv s="3">
    <fb>299.25</fb>
    <v>6</v>
  </rv>
  <rv s="3">
    <fb>118.01</fb>
    <v>6</v>
  </rv>
  <rv s="3">
    <fb>2081</fb>
    <v>6</v>
  </rv>
  <rv s="3">
    <fb>7315</fb>
    <v>6</v>
  </rv>
  <rv s="3">
    <fb>1315.9</fb>
    <v>6</v>
  </rv>
  <rv s="3">
    <fb>287.7</fb>
    <v>6</v>
  </rv>
  <rv s="3">
    <fb>117.78</fb>
    <v>6</v>
  </rv>
  <rv s="3">
    <fb>2073.6999999999998</fb>
    <v>6</v>
  </rv>
  <rv s="3">
    <fb>7323.5</fb>
    <v>6</v>
  </rv>
  <rv s="3">
    <fb>1315.6</fb>
    <v>6</v>
  </rv>
  <rv s="3">
    <fb>281.35000000000002</fb>
    <v>6</v>
  </rv>
  <rv s="3">
    <fb>121.1</fb>
    <v>6</v>
  </rv>
  <rv s="3">
    <fb>2049.1</fb>
    <v>6</v>
  </rv>
  <rv s="3">
    <fb>7173.5</fb>
    <v>6</v>
  </rv>
  <rv s="3">
    <fb>1295.7</fb>
    <v>6</v>
  </rv>
  <rv s="3">
    <fb>269.60000000000002</fb>
    <v>6</v>
  </rv>
  <rv s="3">
    <fb>125.86</fb>
    <v>6</v>
  </rv>
  <rv s="3">
    <fb>2055.4</fb>
    <v>6</v>
  </rv>
  <rv s="3">
    <fb>7140</fb>
    <v>6</v>
  </rv>
  <rv s="3">
    <fb>1283.2</fb>
    <v>6</v>
  </rv>
  <rv s="3">
    <fb>283.5</fb>
    <v>6</v>
  </rv>
  <rv s="3">
    <fb>134.97</fb>
    <v>6</v>
  </rv>
  <rv s="3">
    <fb>2022</fb>
    <v>6</v>
  </rv>
  <rv s="3">
    <fb>7049</fb>
    <v>6</v>
  </rv>
  <rv s="3">
    <fb>1306</fb>
    <v>6</v>
  </rv>
  <rv s="3">
    <fb>275.89999999999998</fb>
    <v>6</v>
  </rv>
  <rv s="3">
    <fb>124.34</fb>
    <v>6</v>
  </rv>
  <rv s="3">
    <fb>2002.6</fb>
    <v>6</v>
  </rv>
  <rv s="3">
    <fb>6973</fb>
    <v>6</v>
  </rv>
  <rv s="3">
    <fb>1293.8</fb>
    <v>6</v>
  </rv>
  <rv s="3">
    <fb>258.7</fb>
    <v>6</v>
  </rv>
  <rv s="3">
    <fb>127.42</fb>
    <v>6</v>
  </rv>
  <rv s="3">
    <fb>2038.2</fb>
    <v>6</v>
  </rv>
  <rv s="3">
    <fb>7164.5</fb>
    <v>6</v>
  </rv>
  <rv s="3">
    <fb>1303.3</fb>
    <v>6</v>
  </rv>
  <rv s="3">
    <fb>253.85</fb>
    <v>6</v>
  </rv>
  <rv s="3">
    <fb>131.44999999999999</fb>
    <v>6</v>
  </rv>
  <rv s="3">
    <fb>2053.1999999999998</fb>
    <v>6</v>
  </rv>
  <rv s="3">
    <fb>7071</fb>
    <v>6</v>
  </rv>
  <rv s="3">
    <fb>1292.4000000000001</fb>
    <v>6</v>
  </rv>
  <rv s="3">
    <fb>266.3</fb>
    <v>6</v>
  </rv>
  <rv s="3">
    <fb>135.82</fb>
    <v>6</v>
  </rv>
  <rv s="3">
    <fb>1996.3</fb>
    <v>6</v>
  </rv>
  <rv s="3">
    <fb>7056.5</fb>
    <v>6</v>
  </rv>
  <rv s="3">
    <fb>1287.9000000000001</fb>
    <v>6</v>
  </rv>
  <rv s="3">
    <fb>146.53</fb>
    <v>6</v>
  </rv>
  <rv s="3">
    <fb>1998.5</fb>
    <v>6</v>
  </rv>
  <rv s="3">
    <fb>7122.5</fb>
    <v>6</v>
  </rv>
  <rv s="3">
    <fb>1332.4</fb>
    <v>6</v>
  </rv>
  <rv s="3">
    <fb>273.60000000000002</fb>
    <v>6</v>
  </rv>
  <rv s="3">
    <fb>131.12</fb>
    <v>6</v>
  </rv>
  <rv s="3">
    <fb>1974.3</fb>
    <v>6</v>
  </rv>
  <rv s="3">
    <fb>6889.5</fb>
    <v>6</v>
  </rv>
  <rv s="3">
    <fb>1282.5</fb>
    <v>6</v>
  </rv>
  <rv s="3">
    <fb>269.55</fb>
    <v>6</v>
  </rv>
  <rv s="3">
    <fb>118.67</fb>
    <v>6</v>
  </rv>
  <rv s="3">
    <fb>2001</fb>
    <v>6</v>
  </rv>
  <rv s="3">
    <fb>6985.5</fb>
    <v>6</v>
  </rv>
  <rv s="3">
    <fb>1308.3</fb>
    <v>6</v>
  </rv>
  <rv s="3">
    <fb>272.64999999999998</fb>
    <v>6</v>
  </rv>
  <rv s="3">
    <fb>125.2</fb>
    <v>6</v>
  </rv>
  <rv s="3">
    <fb>2002.1</fb>
    <v>6</v>
  </rv>
  <rv s="3">
    <fb>7215</fb>
    <v>6</v>
  </rv>
  <rv s="3">
    <fb>1308</fb>
    <v>6</v>
  </rv>
  <rv s="3">
    <fb>279.8</fb>
    <v>6</v>
  </rv>
  <rv s="3">
    <fb>129.6</fb>
    <v>6</v>
  </rv>
  <rv s="3">
    <fb>2041.7</fb>
    <v>6</v>
  </rv>
  <rv s="3">
    <fb>7277.5</fb>
    <v>6</v>
  </rv>
  <rv s="3">
    <fb>1303.2</fb>
    <v>6</v>
  </rv>
  <rv s="3">
    <fb>125.22</fb>
    <v>6</v>
  </rv>
  <rv s="3">
    <fb>2017.8</fb>
    <v>6</v>
  </rv>
  <rv s="3">
    <fb>7209.5</fb>
    <v>6</v>
  </rv>
  <rv s="3">
    <fb>1303.5</fb>
    <v>6</v>
  </rv>
  <rv s="3">
    <fb>286.85000000000002</fb>
    <v>6</v>
  </rv>
  <rv s="3">
    <fb>125.04</fb>
    <v>6</v>
  </rv>
  <rv s="3">
    <fb>7177.5</fb>
    <v>6</v>
  </rv>
  <rv s="3">
    <fb>127.98</fb>
    <v>6</v>
  </rv>
  <rv s="3">
    <fb>2024</fb>
    <v>6</v>
  </rv>
  <rv s="3">
    <fb>7195.5</fb>
    <v>6</v>
  </rv>
  <rv s="3">
    <fb>1295.5999999999999</fb>
    <v>6</v>
  </rv>
  <rv s="3">
    <fb>288.85000000000002</fb>
    <v>6</v>
  </rv>
  <rv s="3">
    <fb>128.34</fb>
    <v>6</v>
  </rv>
  <rv s="3">
    <fb>2018.3</fb>
    <v>6</v>
  </rv>
  <rv s="3">
    <fb>7296</fb>
    <v>6</v>
  </rv>
  <rv s="3">
    <fb>1308.5999999999999</fb>
    <v>6</v>
  </rv>
  <rv s="3">
    <fb>303.8</fb>
    <v>6</v>
  </rv>
  <rv s="3">
    <fb>2026.3</fb>
    <v>6</v>
  </rv>
  <rv s="3">
    <fb>7771</fb>
    <v>6</v>
  </rv>
  <rv s="3">
    <fb>1305.3</fb>
    <v>6</v>
  </rv>
  <rv s="3">
    <fb>300.7</fb>
    <v>6</v>
  </rv>
  <rv s="3">
    <fb>128.52000000000001</fb>
    <v>6</v>
  </rv>
  <rv s="3">
    <fb>2022.1</fb>
    <v>6</v>
  </rv>
  <rv s="3">
    <fb>7943</fb>
    <v>6</v>
  </rv>
  <rv s="3">
    <fb>1305.5</fb>
    <v>6</v>
  </rv>
  <rv s="3">
    <fb>298</fb>
    <v>6</v>
  </rv>
  <rv s="3">
    <fb>126.1</fb>
    <v>6</v>
  </rv>
  <rv s="3">
    <fb>2034.2</fb>
    <v>6</v>
  </rv>
  <rv s="3">
    <fb>8065</fb>
    <v>6</v>
  </rv>
  <rv s="3">
    <fb>1282.5999999999999</fb>
    <v>6</v>
  </rv>
  <rv s="3">
    <fb>285.2</fb>
    <v>6</v>
  </rv>
  <rv s="3">
    <fb>126.92</fb>
    <v>6</v>
  </rv>
  <rv s="3">
    <fb>2042.4</fb>
    <v>6</v>
  </rv>
  <rv s="3">
    <fb>8010.5</fb>
    <v>6</v>
  </rv>
  <rv s="3">
    <fb>1289.8</fb>
    <v>6</v>
  </rv>
  <rv s="3">
    <fb>286.60000000000002</fb>
    <v>6</v>
  </rv>
  <rv s="3">
    <fb>124.58</fb>
    <v>6</v>
  </rv>
  <rv s="3">
    <fb>2039.5</fb>
    <v>6</v>
  </rv>
  <rv s="3">
    <fb>8035</fb>
    <v>6</v>
  </rv>
  <rv s="3">
    <fb>1285.3</fb>
    <v>6</v>
  </rv>
  <rv s="3">
    <fb>281.5</fb>
    <v>6</v>
  </rv>
  <rv s="3">
    <fb>124.64</fb>
    <v>6</v>
  </rv>
  <rv s="3">
    <fb>2059.6</fb>
    <v>6</v>
  </rv>
  <rv s="3">
    <fb>8009.5</fb>
    <v>6</v>
  </rv>
  <rv s="3">
    <fb>1300.9000000000001</fb>
    <v>6</v>
  </rv>
  <rv s="3">
    <fb>277.35000000000002</fb>
    <v>6</v>
  </rv>
  <rv s="3">
    <fb>127.09</fb>
    <v>6</v>
  </rv>
  <rv s="3">
    <fb>2043</fb>
    <v>6</v>
  </rv>
  <rv s="3">
    <fb>7897</fb>
    <v>6</v>
  </rv>
  <rv s="3">
    <fb>1278.5</fb>
    <v>6</v>
  </rv>
  <rv s="3">
    <fb>127.54</fb>
    <v>6</v>
  </rv>
  <rv s="3">
    <fb>2080</fb>
    <v>6</v>
  </rv>
  <rv s="3">
    <fb>7936.5</fb>
    <v>6</v>
  </rv>
  <rv s="3">
    <fb>269.45</fb>
    <v>6</v>
  </rv>
  <rv s="3">
    <fb>130</fb>
    <v>6</v>
  </rv>
  <rv s="3">
    <fb>2109.6</fb>
    <v>6</v>
  </rv>
  <rv s="3">
    <fb>8038.5</fb>
    <v>6</v>
  </rv>
  <rv s="3">
    <fb>1315.1</fb>
    <v>6</v>
  </rv>
  <rv s="3">
    <fb>268</fb>
    <v>6</v>
  </rv>
  <rv s="3">
    <fb>131.22</fb>
    <v>6</v>
  </rv>
  <rv s="3">
    <fb>7929</fb>
    <v>6</v>
  </rv>
  <rv s="3">
    <fb>1320</fb>
    <v>6</v>
  </rv>
  <rv s="3">
    <fb>254</fb>
    <v>6</v>
  </rv>
  <rv s="3">
    <fb>131.69</fb>
    <v>6</v>
  </rv>
  <rv s="3">
    <fb>2073.6</fb>
    <v>6</v>
  </rv>
  <rv s="3">
    <fb>8008</fb>
    <v>6</v>
  </rv>
  <rv s="3">
    <fb>1323.4</fb>
    <v>6</v>
  </rv>
  <rv s="3">
    <fb>250.2</fb>
    <v>6</v>
  </rv>
  <rv s="3">
    <fb>130.47999999999999</fb>
    <v>6</v>
  </rv>
  <rv s="3">
    <fb>2082.8000000000002</fb>
    <v>6</v>
  </rv>
  <rv s="3">
    <fb>8190</fb>
    <v>6</v>
  </rv>
  <rv s="3">
    <fb>1318</fb>
    <v>6</v>
  </rv>
  <rv s="3">
    <fb>246.5</fb>
    <v>6</v>
  </rv>
  <rv s="3">
    <fb>131.6</fb>
    <v>6</v>
  </rv>
  <rv s="3">
    <fb>2037.2</fb>
    <v>6</v>
  </rv>
  <rv s="3">
    <fb>1291.7</fb>
    <v>6</v>
  </rv>
  <rv s="3">
    <fb>246.3</fb>
    <v>6</v>
  </rv>
  <rv s="3">
    <fb>138.32</fb>
    <v>6</v>
  </rv>
  <rv s="3">
    <fb>2032.2</fb>
    <v>6</v>
  </rv>
  <rv s="3">
    <fb>7826</fb>
    <v>6</v>
  </rv>
  <rv s="3">
    <fb>242.87</fb>
    <v>6</v>
  </rv>
  <rv s="3">
    <fb>133.96</fb>
    <v>6</v>
  </rv>
  <rv s="3">
    <fb>1930.6</fb>
    <v>6</v>
  </rv>
  <rv s="3">
    <fb>7626.5</fb>
    <v>6</v>
  </rv>
  <rv s="3">
    <fb>1245.3</fb>
    <v>6</v>
  </rv>
  <rv s="3">
    <fb>240.73</fb>
    <v>6</v>
  </rv>
  <rv s="3">
    <fb>132.24</fb>
    <v>6</v>
  </rv>
  <rv s="3">
    <fb>1945</fb>
    <v>6</v>
  </rv>
  <rv s="3">
    <fb>7755</fb>
    <v>6</v>
  </rv>
  <rv s="3">
    <fb>1250.9000000000001</fb>
    <v>6</v>
  </rv>
  <rv s="3">
    <fb>240.14</fb>
    <v>6</v>
  </rv>
  <rv s="3">
    <fb>130.82</fb>
    <v>6</v>
  </rv>
  <rv s="3">
    <fb>1941.6</fb>
    <v>6</v>
  </rv>
  <rv s="3">
    <fb>7620.5</fb>
    <v>6</v>
  </rv>
  <rv s="3">
    <fb>1252.4000000000001</fb>
    <v>6</v>
  </rv>
  <rv s="3">
    <fb>232.57</fb>
    <v>6</v>
  </rv>
  <rv s="3">
    <fb>131.35</fb>
    <v>6</v>
  </rv>
  <rv s="3">
    <fb>1912.5</fb>
    <v>6</v>
  </rv>
  <rv s="3">
    <fb>7266</fb>
    <v>6</v>
  </rv>
  <rv s="3">
    <fb>1235.8</fb>
    <v>6</v>
  </rv>
  <rv s="3">
    <fb>229.56</fb>
    <v>6</v>
  </rv>
  <rv s="3">
    <fb>132.19999999999999</fb>
    <v>6</v>
  </rv>
  <rv s="3">
    <fb>1963.7</fb>
    <v>6</v>
  </rv>
  <rv s="3">
    <fb>7536.5</fb>
    <v>6</v>
  </rv>
  <rv s="3">
    <fb>1241.2</fb>
    <v>6</v>
  </rv>
  <rv s="3">
    <fb>226.62</fb>
    <v>6</v>
  </rv>
  <rv s="3">
    <fb>132.71</fb>
    <v>6</v>
  </rv>
  <rv s="3">
    <fb>1938.6</fb>
    <v>6</v>
  </rv>
  <rv s="3">
    <fb>7253.5</fb>
    <v>6</v>
  </rv>
  <rv s="3">
    <fb>1233.7</fb>
    <v>6</v>
  </rv>
  <rv s="3">
    <fb>223.8</fb>
    <v>6</v>
  </rv>
  <rv s="3">
    <fb>132.43</fb>
    <v>6</v>
  </rv>
  <rv s="3">
    <fb>1939.4</fb>
    <v>6</v>
  </rv>
  <rv s="3">
    <fb>6975.5</fb>
    <v>6</v>
  </rv>
  <rv s="3">
    <fb>221.17</fb>
    <v>6</v>
  </rv>
  <rv s="3">
    <fb>130.32</fb>
    <v>6</v>
  </rv>
  <rv s="3">
    <fb>1904.4</fb>
    <v>6</v>
  </rv>
  <rv s="3">
    <fb>6741</fb>
    <v>6</v>
  </rv>
  <rv s="3">
    <fb>215.68</fb>
    <v>6</v>
  </rv>
  <rv s="3">
    <fb>127.22</fb>
    <v>6</v>
  </rv>
  <rv s="3">
    <fb>1909.2</fb>
    <v>6</v>
  </rv>
  <rv s="3">
    <fb>6827.5</fb>
    <v>6</v>
  </rv>
  <rv s="3">
    <fb>1213.4000000000001</fb>
    <v>6</v>
  </rv>
  <rv s="3">
    <fb>222.04</fb>
    <v>6</v>
  </rv>
  <rv s="3">
    <fb>128.22</fb>
    <v>6</v>
  </rv>
  <rv s="3">
    <fb>1932.1</fb>
    <v>6</v>
  </rv>
  <rv s="3">
    <fb>6910</fb>
    <v>6</v>
  </rv>
  <rv s="3">
    <fb>1206.9000000000001</fb>
    <v>6</v>
  </rv>
  <rv s="3">
    <fb>234.63</fb>
    <v>6</v>
  </rv>
  <rv s="3">
    <fb>127.91</fb>
    <v>6</v>
  </rv>
  <rv s="3">
    <fb>1962.5</fb>
    <v>6</v>
  </rv>
  <rv s="3">
    <fb>7027.5</fb>
    <v>6</v>
  </rv>
  <rv s="3">
    <fb>1204.8</fb>
    <v>6</v>
  </rv>
  <rv s="3">
    <fb>242.54</fb>
    <v>6</v>
  </rv>
  <rv s="3">
    <fb>121.32</fb>
    <v>6</v>
  </rv>
  <rv s="3">
    <fb>6793</fb>
    <v>6</v>
  </rv>
  <rv s="3">
    <fb>1186.3</fb>
    <v>6</v>
  </rv>
  <rv s="3">
    <fb>228.74</fb>
    <v>6</v>
  </rv>
  <rv s="3">
    <fb>121.06</fb>
    <v>6</v>
  </rv>
  <rv s="3">
    <fb>1896.9</fb>
    <v>6</v>
  </rv>
  <rv s="3">
    <fb>6909</fb>
    <v>6</v>
  </rv>
  <rv s="3">
    <fb>1193.5999999999999</fb>
    <v>6</v>
  </rv>
  <rv s="3">
    <fb>232.29</fb>
    <v>6</v>
  </rv>
  <rv s="3">
    <fb>110.72</fb>
    <v>6</v>
  </rv>
  <rv s="3">
    <fb>1832.3</fb>
    <v>6</v>
  </rv>
  <rv s="3">
    <fb>6681.5</fb>
    <v>6</v>
  </rv>
  <rv s="3">
    <fb>1166.8</fb>
    <v>6</v>
  </rv>
  <rv s="3">
    <fb>226.96</fb>
    <v>6</v>
  </rv>
  <rv s="3">
    <fb>115.49</fb>
    <v>6</v>
  </rv>
  <rv s="3">
    <fb>1836</fb>
    <v>6</v>
  </rv>
  <rv s="3">
    <fb>6871</fb>
    <v>6</v>
  </rv>
  <rv s="3">
    <fb>1183.2</fb>
    <v>6</v>
  </rv>
  <rv s="3">
    <fb>237.94</fb>
    <v>6</v>
  </rv>
  <rv s="3">
    <fb>119.29</fb>
    <v>6</v>
  </rv>
  <rv s="3">
    <fb>1851.8</fb>
    <v>6</v>
  </rv>
  <rv s="3">
    <fb>6992.5</fb>
    <v>6</v>
  </rv>
  <rv s="3">
    <fb>1204.0999999999999</fb>
    <v>6</v>
  </rv>
  <rv s="3">
    <fb>242.18</fb>
    <v>6</v>
  </rv>
  <rv s="3">
    <fb>117.53</fb>
    <v>6</v>
  </rv>
  <rv s="3">
    <fb>1837.6</fb>
    <v>6</v>
  </rv>
  <rv s="3">
    <fb>6811.5</fb>
    <v>6</v>
  </rv>
  <rv s="3">
    <fb>1193.2</fb>
    <v>6</v>
  </rv>
  <rv s="3">
    <fb>233.17</fb>
    <v>6</v>
  </rv>
  <rv s="3">
    <fb>121.19</fb>
    <v>6</v>
  </rv>
  <rv s="3">
    <fb>1777.3</fb>
    <v>6</v>
  </rv>
  <rv s="3">
    <fb>6586</fb>
    <v>6</v>
  </rv>
  <rv s="3">
    <fb>1174.8</fb>
    <v>6</v>
  </rv>
  <rv s="3">
    <fb>228.98</fb>
    <v>6</v>
  </rv>
  <rv s="3">
    <fb>123.37</fb>
    <v>6</v>
  </rv>
  <rv s="3">
    <fb>1790.5</fb>
    <v>6</v>
  </rv>
  <rv s="3">
    <fb>6825.5</fb>
    <v>6</v>
  </rv>
  <rv s="3">
    <fb>1180.8</fb>
    <v>6</v>
  </rv>
  <rv s="3">
    <fb>236.52</fb>
    <v>6</v>
  </rv>
  <rv s="3">
    <fb>120.58</fb>
    <v>6</v>
  </rv>
  <rv s="3">
    <fb>1774</fb>
    <v>6</v>
  </rv>
  <rv s="3">
    <fb>6649.5</fb>
    <v>6</v>
  </rv>
  <rv s="3">
    <fb>1191.3</fb>
    <v>6</v>
  </rv>
  <rv s="3">
    <fb>231.72</fb>
    <v>6</v>
  </rv>
  <rv s="3">
    <fb>122.81</fb>
    <v>6</v>
  </rv>
  <rv s="3">
    <fb>1836.8</fb>
    <v>6</v>
  </rv>
  <rv s="3">
    <fb>6596</fb>
    <v>6</v>
  </rv>
  <rv s="3">
    <fb>1216</fb>
    <v>6</v>
  </rv>
  <rv s="3">
    <fb>232.2</fb>
    <v>6</v>
  </rv>
  <rv s="3">
    <fb>121.78</fb>
    <v>6</v>
  </rv>
  <rv s="3">
    <fb>1841.4</fb>
    <v>6</v>
  </rv>
  <rv s="3">
    <fb>6605.5</fb>
    <v>6</v>
  </rv>
  <rv s="3">
    <fb>1222.8</fb>
    <v>6</v>
  </rv>
  <rv s="3">
    <fb>231.97</fb>
    <v>6</v>
  </rv>
  <rv s="3">
    <fb>124.39</fb>
    <v>6</v>
  </rv>
  <rv s="3">
    <fb>1907.6</fb>
    <v>6</v>
  </rv>
  <rv s="3">
    <fb>7131</fb>
    <v>6</v>
  </rv>
  <rv s="3">
    <fb>1213.7</fb>
    <v>6</v>
  </rv>
  <rv s="3">
    <fb>243.62</fb>
    <v>6</v>
  </rv>
  <rv s="3">
    <fb>123.21</fb>
    <v>6</v>
  </rv>
  <rv s="3">
    <fb>1904</fb>
    <v>6</v>
  </rv>
  <rv s="3">
    <fb>7147.5</fb>
    <v>6</v>
  </rv>
  <rv s="3">
    <fb>237.89</fb>
    <v>6</v>
  </rv>
  <rv s="3">
    <fb>123.49</fb>
    <v>6</v>
  </rv>
  <rv s="3">
    <fb>1923.2</fb>
    <v>6</v>
  </rv>
  <rv s="3">
    <fb>7424</fb>
    <v>6</v>
  </rv>
  <rv s="3">
    <fb>1249.3</fb>
    <v>6</v>
  </rv>
  <rv s="3">
    <fb>240.23</fb>
    <v>6</v>
  </rv>
  <rv s="3">
    <fb>123.76</fb>
    <v>6</v>
  </rv>
  <rv s="3">
    <fb>1914.4</fb>
    <v>6</v>
  </rv>
  <rv s="3">
    <fb>7050</fb>
    <v>6</v>
  </rv>
  <rv s="3">
    <fb>1226.0999999999999</fb>
    <v>6</v>
  </rv>
  <rv s="3">
    <fb>236.22</fb>
    <v>6</v>
  </rv>
  <rv s="3">
    <fb>125.06</fb>
    <v>6</v>
  </rv>
  <rv s="3">
    <fb>1971</fb>
    <v>6</v>
  </rv>
  <rv s="3">
    <fb>7128</fb>
    <v>6</v>
  </rv>
  <rv s="3">
    <fb>1256.5999999999999</fb>
    <v>6</v>
  </rv>
  <rv s="3">
    <fb>246.67</fb>
    <v>6</v>
  </rv>
  <rv s="3">
    <fb>125.61</fb>
    <v>6</v>
  </rv>
  <rv s="3">
    <fb>1974.7</fb>
    <v>6</v>
  </rv>
  <rv s="3">
    <fb>1257.4000000000001</fb>
    <v>6</v>
  </rv>
  <rv s="3">
    <fb>252.7</fb>
    <v>6</v>
  </rv>
  <rv s="3">
    <fb>124.8</fb>
    <v>6</v>
  </rv>
  <rv s="3">
    <fb>1970.9</fb>
    <v>6</v>
  </rv>
  <rv s="3">
    <fb>7189.5</fb>
    <v>6</v>
  </rv>
  <rv s="3">
    <fb>1285.5999999999999</fb>
    <v>6</v>
  </rv>
  <rv s="3">
    <fb>252.61</fb>
    <v>6</v>
  </rv>
  <rv s="3">
    <fb>1982.5</fb>
    <v>6</v>
  </rv>
  <rv s="3">
    <fb>7243</fb>
    <v>6</v>
  </rv>
  <rv s="3">
    <fb>1286.4000000000001</fb>
    <v>6</v>
  </rv>
  <rv s="3">
    <fb>254.88</fb>
    <v>6</v>
  </rv>
  <rv s="3">
    <fb>1911.6</fb>
    <v>6</v>
  </rv>
  <rv s="3">
    <fb>7240.5</fb>
    <v>6</v>
  </rv>
  <rv s="3">
    <fb>1379.9</fb>
    <v>6</v>
  </rv>
  <rv s="3">
    <fb>259.48</fb>
    <v>6</v>
  </rv>
  <rv s="3">
    <fb>124.99</fb>
    <v>6</v>
  </rv>
  <rv s="3">
    <fb>1884.8</fb>
    <v>6</v>
  </rv>
  <rv s="3">
    <fb>7230</fb>
    <v>6</v>
  </rv>
  <rv s="3">
    <fb>1395.8</fb>
    <v>6</v>
  </rv>
  <rv s="3">
    <fb>262.99</fb>
    <v>6</v>
  </rv>
  <rv s="3">
    <fb>124.08</fb>
    <v>6</v>
  </rv>
  <rv s="3">
    <fb>1828.1</fb>
    <v>6</v>
  </rv>
  <rv s="3">
    <fb>7092.5</fb>
    <v>6</v>
  </rv>
  <rv s="3">
    <fb>1410.5</fb>
    <v>6</v>
  </rv>
  <rv s="3">
    <fb>259.92</fb>
    <v>6</v>
  </rv>
  <rv s="3">
    <fb>123.94</fb>
    <v>6</v>
  </rv>
  <rv s="3">
    <fb>1768.9</fb>
    <v>6</v>
  </rv>
  <rv s="3">
    <fb>7111.5</fb>
    <v>6</v>
  </rv>
  <rv s="3">
    <fb>256.79000000000002</fb>
    <v>6</v>
  </rv>
  <rv s="3">
    <fb>124.25</fb>
    <v>6</v>
  </rv>
  <rv s="3">
    <fb>1815.4</fb>
    <v>6</v>
  </rv>
  <rv s="3">
    <fb>7174</fb>
    <v>6</v>
  </rv>
  <rv s="3">
    <fb>1417.3</fb>
    <v>6</v>
  </rv>
  <rv s="3">
    <fb>255.49</fb>
    <v>6</v>
  </rv>
  <rv s="3">
    <fb>122.68</fb>
    <v>6</v>
  </rv>
  <rv s="3">
    <fb>7071.5</fb>
    <v>6</v>
  </rv>
  <rv s="3">
    <fb>1440</fb>
    <v>6</v>
  </rv>
  <rv s="3">
    <fb>253.07</fb>
    <v>6</v>
  </rv>
  <rv s="3">
    <fb>121.58</fb>
    <v>6</v>
  </rv>
  <rv s="3">
    <fb>1465.6</fb>
    <v>6</v>
  </rv>
  <rv s="3">
    <fb>254.03</fb>
    <v>6</v>
  </rv>
  <rv s="3">
    <fb>123.43</fb>
    <v>6</v>
  </rv>
  <rv s="3">
    <fb>1819</fb>
    <v>6</v>
  </rv>
  <rv s="3">
    <fb>7109</fb>
    <v>6</v>
  </rv>
  <rv s="3">
    <fb>1458.6</fb>
    <v>6</v>
  </rv>
  <rv s="3">
    <fb>247.03</fb>
    <v>6</v>
  </rv>
  <rv s="3">
    <fb>122.38</fb>
    <v>6</v>
  </rv>
  <rv s="3">
    <fb>1820.1</fb>
    <v>6</v>
  </rv>
  <rv s="3">
    <fb>7329</fb>
    <v>6</v>
  </rv>
  <rv s="3">
    <fb>1457.1</fb>
    <v>6</v>
  </rv>
  <rv s="3">
    <fb>251.9</fb>
    <v>6</v>
  </rv>
  <rv s="3">
    <fb>122.16</fb>
    <v>6</v>
  </rv>
  <rv s="3">
    <fb>1821.2</fb>
    <v>6</v>
  </rv>
  <rv s="3">
    <fb>7301.5</fb>
    <v>6</v>
  </rv>
  <rv s="3">
    <fb>1477.8</fb>
    <v>6</v>
  </rv>
  <rv s="3">
    <fb>248.47</fb>
    <v>6</v>
  </rv>
  <rv s="3">
    <fb>124.02</fb>
    <v>6</v>
  </rv>
  <rv s="3">
    <fb>7310.5</fb>
    <v>6</v>
  </rv>
  <rv s="3">
    <fb>1486.1</fb>
    <v>6</v>
  </rv>
  <rv s="3">
    <fb>124.47</fb>
    <v>6</v>
  </rv>
  <rv s="3">
    <fb>1872.2</fb>
    <v>6</v>
  </rv>
  <rv s="3">
    <fb>7327.5</fb>
    <v>6</v>
  </rv>
  <rv s="3">
    <fb>1476</fb>
    <v>6</v>
  </rv>
  <rv s="3">
    <fb>257.42</fb>
    <v>6</v>
  </rv>
  <rv s="3">
    <fb>124.31</fb>
    <v>6</v>
  </rv>
  <rv s="3">
    <fb>1872.1</fb>
    <v>6</v>
  </rv>
  <rv s="3">
    <fb>7302.5</fb>
    <v>6</v>
  </rv>
  <rv s="3">
    <fb>1482.4</fb>
    <v>6</v>
  </rv>
  <rv s="3">
    <fb>256.39</fb>
    <v>6</v>
  </rv>
  <rv s="3">
    <fb>123.23</fb>
    <v>6</v>
  </rv>
  <rv s="3">
    <fb>1884.4</fb>
    <v>6</v>
  </rv>
  <rv s="3">
    <fb>7202.5</fb>
    <v>6</v>
  </rv>
  <rv s="3">
    <fb>1481.9</fb>
    <v>6</v>
  </rv>
  <rv s="3">
    <fb>245.87</fb>
    <v>6</v>
  </rv>
  <rv s="3">
    <fb>124.61</fb>
    <v>6</v>
  </rv>
  <rv s="3">
    <fb>1833.9</fb>
    <v>6</v>
  </rv>
  <rv s="3">
    <fb>7126</fb>
    <v>6</v>
  </rv>
  <rv s="3">
    <fb>1468.6</fb>
    <v>6</v>
  </rv>
  <rv s="3">
    <fb>239.98</fb>
    <v>6</v>
  </rv>
  <rv s="3">
    <fb>131.74</fb>
    <v>6</v>
  </rv>
  <rv s="3">
    <fb>1837.5</fb>
    <v>6</v>
  </rv>
  <rv s="3">
    <fb>6971.5</fb>
    <v>6</v>
  </rv>
  <rv s="3">
    <fb>1468.9</fb>
    <v>6</v>
  </rv>
  <rv s="3">
    <fb>237.82</fb>
    <v>6</v>
  </rv>
  <rv s="3">
    <fb>131.78</fb>
    <v>6</v>
  </rv>
  <rv s="3">
    <fb>1866.7</fb>
    <v>6</v>
  </rv>
  <rv s="3">
    <fb>7034</fb>
    <v>6</v>
  </rv>
  <rv s="3">
    <fb>1459.6</fb>
    <v>6</v>
  </rv>
  <rv s="3">
    <fb>245.82</fb>
    <v>6</v>
  </rv>
  <rv s="3">
    <fb>129.41</fb>
    <v>6</v>
  </rv>
  <rv s="3">
    <fb>1864.5</fb>
    <v>6</v>
  </rv>
  <rv s="3">
    <fb>7014.5</fb>
    <v>6</v>
  </rv>
  <rv s="3">
    <fb>241.18</fb>
    <v>6</v>
  </rv>
  <rv s="3">
    <fb>129.69999999999999</fb>
    <v>6</v>
  </rv>
  <rv s="3">
    <fb>1860.4</fb>
    <v>6</v>
  </rv>
  <rv s="3">
    <fb>6913</fb>
    <v>6</v>
  </rv>
  <rv s="3">
    <fb>1431.7</fb>
    <v>6</v>
  </rv>
  <rv s="3">
    <fb>241.4</fb>
    <v>6</v>
  </rv>
  <rv s="3">
    <fb>130.63999999999999</fb>
    <v>6</v>
  </rv>
  <rv s="3">
    <fb>1881.4</fb>
    <v>6</v>
  </rv>
  <rv s="3">
    <fb>6882.5</fb>
    <v>6</v>
  </rv>
  <rv s="3">
    <fb>1431.4</fb>
    <v>6</v>
  </rv>
  <rv s="3">
    <fb>247.21</fb>
    <v>6</v>
  </rv>
  <rv s="3">
    <fb>130.19999999999999</fb>
    <v>6</v>
  </rv>
  <rv s="3">
    <fb>1864.2</fb>
    <v>6</v>
  </rv>
  <rv s="3">
    <fb>6849.5</fb>
    <v>6</v>
  </rv>
  <rv s="3">
    <fb>1420.1</fb>
    <v>6</v>
  </rv>
  <rv s="3">
    <fb>243.34</fb>
    <v>6</v>
  </rv>
  <rv s="3">
    <fb>130.74</fb>
    <v>6</v>
  </rv>
  <rv s="3">
    <fb>1859.9</fb>
    <v>6</v>
  </rv>
  <rv s="3">
    <fb>6892</fb>
    <v>6</v>
  </rv>
  <rv s="3">
    <fb>1406.5</fb>
    <v>6</v>
  </rv>
  <rv s="3">
    <fb>242.05</fb>
    <v>6</v>
  </rv>
  <rv s="3">
    <fb>130.5</fb>
    <v>6</v>
  </rv>
  <rv s="3">
    <fb>1870.7</fb>
    <v>6</v>
  </rv>
  <rv s="3">
    <fb>6981.5</fb>
    <v>6</v>
  </rv>
  <rv s="3">
    <fb>1423.1</fb>
    <v>6</v>
  </rv>
  <rv s="3">
    <fb>241.95</fb>
    <v>6</v>
  </rv>
  <rv s="3">
    <fb>130.51</fb>
    <v>6</v>
  </rv>
  <rv s="3">
    <fb>1901.9</fb>
    <v>6</v>
  </rv>
  <rv s="3">
    <fb>7414</fb>
    <v>6</v>
  </rv>
  <rv s="3">
    <fb>1413.6</fb>
    <v>6</v>
  </rv>
  <rv s="3">
    <fb>247.67</fb>
    <v>6</v>
  </rv>
  <rv s="3">
    <fb>129.58000000000001</fb>
    <v>6</v>
  </rv>
  <rv s="3">
    <fb>1883.2</fb>
    <v>6</v>
  </rv>
  <rv s="3">
    <fb>7376</fb>
    <v>6</v>
  </rv>
  <rv s="3">
    <fb>250.17</fb>
    <v>6</v>
  </rv>
  <rv s="3">
    <fb>129.04</fb>
    <v>6</v>
  </rv>
  <rv s="3">
    <fb>7419</fb>
    <v>6</v>
  </rv>
  <rv s="3">
    <fb>1427.5</fb>
    <v>6</v>
  </rv>
  <rv s="3">
    <fb>256.51</fb>
    <v>6</v>
  </rv>
  <rv s="3">
    <fb>128.65</fb>
    <v>6</v>
  </rv>
  <rv s="3">
    <fb>1830.1</fb>
    <v>6</v>
  </rv>
  <rv s="3">
    <fb>7177</fb>
    <v>6</v>
  </rv>
  <rv s="3">
    <fb>1421.5</fb>
    <v>6</v>
  </rv>
  <rv s="3">
    <fb>250.58</fb>
    <v>6</v>
  </rv>
  <rv s="3">
    <fb>127.49</fb>
    <v>6</v>
  </rv>
  <rv s="3">
    <fb>1812.5</fb>
    <v>6</v>
  </rv>
  <rv s="3">
    <fb>7100.5</fb>
    <v>6</v>
  </rv>
  <rv s="3">
    <fb>1391.8</fb>
    <v>6</v>
  </rv>
  <rv s="3">
    <fb>248.1</fb>
    <v>6</v>
  </rv>
  <rv s="3">
    <fb>128.66999999999999</fb>
    <v>6</v>
  </rv>
  <rv s="3">
    <fb>1801.7</fb>
    <v>6</v>
  </rv>
  <rv s="3">
    <fb>7141.5</fb>
    <v>6</v>
  </rv>
  <rv s="3">
    <fb>1398.7</fb>
    <v>6</v>
  </rv>
  <rv s="3">
    <fb>250.75</fb>
    <v>6</v>
  </rv>
  <rv s="3">
    <fb>127.64</fb>
    <v>6</v>
  </rv>
  <rv s="3">
    <fb>1784.2</fb>
    <v>6</v>
  </rv>
  <rv s="3">
    <fb>7130</fb>
    <v>6</v>
  </rv>
  <rv s="3">
    <fb>247</fb>
    <v>6</v>
  </rv>
  <rv s="3">
    <fb>1764.9</fb>
    <v>6</v>
  </rv>
  <rv s="3">
    <fb>7110</fb>
    <v>6</v>
  </rv>
  <rv s="3">
    <fb>1382.9</fb>
    <v>6</v>
  </rv>
  <rv s="3">
    <fb>254.35</fb>
    <v>6</v>
  </rv>
  <rv s="3">
    <fb>127.78</fb>
    <v>6</v>
  </rv>
  <rv s="3">
    <fb>1782.8</fb>
    <v>6</v>
  </rv>
  <rv s="3">
    <fb>7070</fb>
    <v>6</v>
  </rv>
  <rv s="3">
    <fb>1386.2</fb>
    <v>6</v>
  </rv>
  <rv s="3">
    <fb>256.5</fb>
    <v>6</v>
  </rv>
  <rv s="3">
    <fb>124.16</fb>
    <v>6</v>
  </rv>
  <rv s="3">
    <fb>1764.4</fb>
    <v>6</v>
  </rv>
  <rv s="3">
    <fb>1398.9</fb>
    <v>6</v>
  </rv>
  <rv s="3">
    <fb>248.3</fb>
    <v>6</v>
  </rv>
  <rv s="3">
    <fb>125.39</fb>
    <v>6</v>
  </rv>
  <rv s="3">
    <fb>1769.1</fb>
    <v>6</v>
  </rv>
  <rv s="3">
    <fb>7203</fb>
    <v>6</v>
  </rv>
  <rv s="3">
    <fb>1410.4</fb>
    <v>6</v>
  </rv>
  <rv s="3">
    <fb>245.65</fb>
    <v>6</v>
  </rv>
  <rv s="3">
    <fb>121.15</fb>
    <v>6</v>
  </rv>
  <rv s="3">
    <fb>1728.7</fb>
    <v>6</v>
  </rv>
  <rv s="3">
    <fb>7219.5</fb>
    <v>6</v>
  </rv>
  <rv s="3">
    <fb>1438.3</fb>
    <v>6</v>
  </rv>
  <rv s="3">
    <fb>239.8</fb>
    <v>6</v>
  </rv>
  <rv s="3">
    <fb>119.28</fb>
    <v>6</v>
  </rv>
  <rv s="3">
    <fb>1719.1</fb>
    <v>6</v>
  </rv>
  <rv s="3">
    <fb>7179.5</fb>
    <v>6</v>
  </rv>
  <rv s="3">
    <fb>1422.5</fb>
    <v>6</v>
  </rv>
  <rv s="3">
    <fb>235.2</fb>
    <v>6</v>
  </rv>
  <rv s="3">
    <fb>121.92</fb>
    <v>6</v>
  </rv>
  <rv s="3">
    <fb>1706</fb>
    <v>6</v>
  </rv>
  <rv s="3">
    <fb>7312</fb>
    <v>6</v>
  </rv>
  <rv s="3">
    <fb>1375.7</fb>
    <v>6</v>
  </rv>
  <rv s="3">
    <fb>243.8</fb>
    <v>6</v>
  </rv>
  <rv s="3">
    <fb>124.11</fb>
    <v>6</v>
  </rv>
  <rv s="3">
    <fb>1759.5</fb>
    <v>6</v>
  </rv>
  <rv s="3">
    <fb>7624.5</fb>
    <v>6</v>
  </rv>
  <rv s="3">
    <fb>1374.7</fb>
    <v>6</v>
  </rv>
  <rv s="3">
    <fb>252</fb>
    <v>6</v>
  </rv>
  <rv s="3">
    <fb>124.14</fb>
    <v>6</v>
  </rv>
  <rv s="3">
    <fb>1767.6</fb>
    <v>6</v>
  </rv>
  <rv s="3">
    <fb>7560.5</fb>
    <v>6</v>
  </rv>
  <rv s="3">
    <fb>1391.7</fb>
    <v>6</v>
  </rv>
  <rv s="3">
    <fb>253.6</fb>
    <v>6</v>
  </rv>
  <rv s="3">
    <fb>123.75</fb>
    <v>6</v>
  </rv>
  <rv s="3">
    <fb>7509</fb>
    <v>6</v>
  </rv>
  <rv s="3">
    <fb>1407.3</fb>
    <v>6</v>
  </rv>
  <rv s="3">
    <fb>122.12</fb>
    <v>6</v>
  </rv>
  <rv s="3">
    <fb>1807.6</fb>
    <v>6</v>
  </rv>
  <rv s="3">
    <fb>7601</fb>
    <v>6</v>
  </rv>
  <rv s="3">
    <fb>119.79</fb>
    <v>6</v>
  </rv>
  <rv s="3">
    <fb>7611</fb>
    <v>6</v>
  </rv>
  <rv s="3">
    <fb>1414.8</fb>
    <v>6</v>
  </rv>
  <rv s="3">
    <fb>264.3</fb>
    <v>6</v>
  </rv>
  <rv s="3">
    <fb>121.12</fb>
    <v>6</v>
  </rv>
  <rv s="3">
    <fb>7639.5</fb>
    <v>6</v>
  </rv>
  <rv s="3">
    <fb>1401.9</fb>
    <v>6</v>
  </rv>
  <rv s="3">
    <fb>263.64999999999998</fb>
    <v>6</v>
  </rv>
  <rv s="3">
    <fb>1786.2</fb>
    <v>6</v>
  </rv>
  <rv s="3">
    <fb>7578</fb>
    <v>6</v>
  </rv>
  <rv s="3">
    <fb>1392.2</fb>
    <v>6</v>
  </rv>
  <rv s="3">
    <fb>258.95</fb>
    <v>6</v>
  </rv>
  <rv s="3">
    <fb>117.56</fb>
    <v>6</v>
  </rv>
  <rv s="3">
    <fb>1767.7</fb>
    <v>6</v>
  </rv>
  <rv s="3">
    <fb>7572</fb>
    <v>6</v>
  </rv>
  <rv s="3">
    <fb>1382.6</fb>
    <v>6</v>
  </rv>
  <rv s="3">
    <fb>114.96</fb>
    <v>6</v>
  </rv>
  <rv s="3">
    <fb>7598</fb>
    <v>6</v>
  </rv>
  <rv s="3">
    <fb>1402.6</fb>
    <v>6</v>
  </rv>
  <rv s="3">
    <fb>255.15</fb>
    <v>6</v>
  </rv>
  <rv s="3">
    <fb>116.43</fb>
    <v>6</v>
  </rv>
  <rv s="3">
    <fb>1755.4</fb>
    <v>6</v>
  </rv>
  <rv s="3">
    <fb>7426</fb>
    <v>6</v>
  </rv>
  <rv s="3">
    <fb>1387.3</fb>
    <v>6</v>
  </rv>
  <rv s="3">
    <fb>259.39999999999998</fb>
    <v>6</v>
  </rv>
  <rv s="3">
    <fb>115.97</fb>
    <v>6</v>
  </rv>
  <rv s="3">
    <fb>1765.7</fb>
    <v>6</v>
  </rv>
  <rv s="3">
    <fb>7073.5</fb>
    <v>6</v>
  </rv>
  <rv s="3">
    <fb>1405.2</fb>
    <v>6</v>
  </rv>
  <rv s="3">
    <fb>264.60000000000002</fb>
    <v>6</v>
  </rv>
  <rv s="3">
    <fb>115.46</fb>
    <v>6</v>
  </rv>
  <rv s="3">
    <fb>1790.9</fb>
    <v>6</v>
  </rv>
  <rv s="3">
    <fb>7139</fb>
    <v>6</v>
  </rv>
  <rv s="3">
    <fb>1453.8</fb>
    <v>6</v>
  </rv>
  <rv s="3">
    <fb>279.7</fb>
    <v>6</v>
  </rv>
  <rv s="3">
    <fb>117.69</fb>
    <v>6</v>
  </rv>
  <rv s="3">
    <fb>1784.4</fb>
    <v>6</v>
  </rv>
  <rv s="3">
    <fb>7250</fb>
    <v>6</v>
  </rv>
  <rv s="3">
    <fb>1446.2</fb>
    <v>6</v>
  </rv>
  <rv s="3">
    <fb>120.31</fb>
    <v>6</v>
  </rv>
  <rv s="3">
    <fb>7339.5</fb>
    <v>6</v>
  </rv>
  <rv s="3">
    <fb>1459.8</fb>
    <v>6</v>
  </rv>
  <rv s="3">
    <fb>281.64999999999998</fb>
    <v>6</v>
  </rv>
  <rv s="3">
    <fb>119.51</fb>
    <v>6</v>
  </rv>
  <rv s="3">
    <fb>1787.7</fb>
    <v>6</v>
  </rv>
  <rv s="3">
    <fb>7471.5</fb>
    <v>6</v>
  </rv>
  <rv s="3">
    <fb>1473.7</fb>
    <v>6</v>
  </rv>
  <rv s="3">
    <fb>283.39999999999998</fb>
    <v>6</v>
  </rv>
  <rv s="3">
    <fb>118.58</fb>
    <v>6</v>
  </rv>
  <rv s="3">
    <fb>7536</fb>
    <v>6</v>
  </rv>
  <rv s="3">
    <fb>1471.8</fb>
    <v>6</v>
  </rv>
  <rv s="3">
    <fb>289.39999999999998</fb>
    <v>6</v>
  </rv>
  <rv s="3">
    <fb>116.96</fb>
    <v>6</v>
  </rv>
  <rv s="3">
    <fb>1789</fb>
    <v>6</v>
  </rv>
  <rv s="3">
    <fb>7418.5</fb>
    <v>6</v>
  </rv>
  <rv s="3">
    <fb>1450.5</fb>
    <v>6</v>
  </rv>
  <rv s="3">
    <fb>118.42</fb>
    <v>6</v>
  </rv>
  <rv s="3">
    <fb>1821.7</fb>
    <v>6</v>
  </rv>
  <rv s="3">
    <fb>7361</fb>
    <v>6</v>
  </rv>
  <rv s="3">
    <fb>1463.2</fb>
    <v>6</v>
  </rv>
  <rv s="3">
    <fb>292.45</fb>
    <v>6</v>
  </rv>
  <rv s="3">
    <fb>118.14</fb>
    <v>6</v>
  </rv>
  <rv s="3">
    <fb>1862.9</fb>
    <v>6</v>
  </rv>
  <rv s="3">
    <fb>7365.5</fb>
    <v>6</v>
  </rv>
  <rv s="3">
    <fb>1455.2</fb>
    <v>6</v>
  </rv>
  <rv s="3">
    <fb>289.64999999999998</fb>
    <v>6</v>
  </rv>
  <rv s="3">
    <fb>116.95</fb>
    <v>6</v>
  </rv>
  <rv s="3">
    <fb>1855.9</fb>
    <v>6</v>
  </rv>
  <rv s="3">
    <fb>7296.5</fb>
    <v>6</v>
  </rv>
  <rv s="3">
    <fb>1427</fb>
    <v>6</v>
  </rv>
  <rv s="3">
    <fb>115.98</fb>
    <v>6</v>
  </rv>
  <rv s="3">
    <fb>7279.5</fb>
    <v>6</v>
  </rv>
  <rv s="3">
    <fb>1427.1</fb>
    <v>6</v>
  </rv>
  <rv s="3">
    <fb>286.14999999999998</fb>
    <v>6</v>
  </rv>
  <rv s="3">
    <fb>116.39</fb>
    <v>6</v>
  </rv>
  <rv s="3">
    <fb>1866.4</fb>
    <v>6</v>
  </rv>
  <rv s="3">
    <fb>7404.5</fb>
    <v>6</v>
  </rv>
  <rv s="3">
    <fb>294.8</fb>
    <v>6</v>
  </rv>
  <rv s="3">
    <fb>116.47</fb>
    <v>6</v>
  </rv>
  <rv s="3">
    <fb>1822.1</fb>
    <v>6</v>
  </rv>
  <rv s="3">
    <fb>1423.5</fb>
    <v>6</v>
  </rv>
  <rv s="3">
    <fb>286.45</fb>
    <v>6</v>
  </rv>
  <rv s="3">
    <fb>115.79</fb>
    <v>6</v>
  </rv>
  <rv s="3">
    <fb>1829.4</fb>
    <v>6</v>
  </rv>
  <rv s="3">
    <fb>7563.5</fb>
    <v>6</v>
  </rv>
  <rv s="3">
    <fb>1427.2</fb>
    <v>6</v>
  </rv>
  <rv s="3">
    <fb>116.84</fb>
    <v>6</v>
  </rv>
  <rv s="3">
    <fb>1824.5</fb>
    <v>6</v>
  </rv>
  <rv s="3">
    <fb>1446.3</fb>
    <v>6</v>
  </rv>
  <rv s="3">
    <fb>286.95</fb>
    <v>6</v>
  </rv>
  <rv s="3">
    <fb>117.73</fb>
    <v>6</v>
  </rv>
  <rv s="3">
    <fb>1827.9</fb>
    <v>6</v>
  </rv>
  <rv s="3">
    <fb>7689.5</fb>
    <v>6</v>
  </rv>
  <rv s="3">
    <fb>1451.9</fb>
    <v>6</v>
  </rv>
  <rv s="3">
    <fb>117.37</fb>
    <v>6</v>
  </rv>
  <rv s="3">
    <fb>1806.7</fb>
    <v>6</v>
  </rv>
  <rv s="3">
    <fb>7632</fb>
    <v>6</v>
  </rv>
  <rv s="3">
    <fb>1493.6</fb>
    <v>6</v>
  </rv>
  <rv s="3">
    <fb>284.39999999999998</fb>
    <v>6</v>
  </rv>
  <rv s="3">
    <fb>119.14</fb>
    <v>6</v>
  </rv>
  <rv s="3">
    <fb>1853.5</fb>
    <v>6</v>
  </rv>
  <rv s="3">
    <fb>7721.5</fb>
    <v>6</v>
  </rv>
  <rv s="3">
    <fb>1447.9</fb>
    <v>6</v>
  </rv>
  <rv s="3">
    <fb>287.10000000000002</fb>
    <v>6</v>
  </rv>
  <rv s="3">
    <fb>118.69</fb>
    <v>6</v>
  </rv>
  <rv s="3">
    <fb>1858.6</fb>
    <v>6</v>
  </rv>
  <rv s="3">
    <fb>7628</fb>
    <v>6</v>
  </rv>
  <rv s="3">
    <fb>1443.5</fb>
    <v>6</v>
  </rv>
  <rv s="3">
    <fb>280</fb>
    <v>6</v>
  </rv>
  <rv s="3">
    <fb>117.91</fb>
    <v>6</v>
  </rv>
  <rv s="3">
    <fb>1866.8</fb>
    <v>6</v>
  </rv>
  <rv s="3">
    <fb>7769.5</fb>
    <v>6</v>
  </rv>
  <rv s="3">
    <fb>1446.1</fb>
    <v>6</v>
  </rv>
  <rv s="3">
    <fb>118.62</fb>
    <v>6</v>
  </rv>
  <rv s="3">
    <fb>1889.1</fb>
    <v>6</v>
  </rv>
  <rv s="3">
    <fb>7836</fb>
    <v>6</v>
  </rv>
  <rv s="3">
    <fb>1491.8</fb>
    <v>6</v>
  </rv>
  <rv s="3">
    <fb>308.35000000000002</fb>
    <v>6</v>
  </rv>
  <rv s="3">
    <fb>116.83</fb>
    <v>6</v>
  </rv>
  <rv s="3">
    <fb>1894.9</fb>
    <v>6</v>
  </rv>
  <rv s="3">
    <fb>7779</fb>
    <v>6</v>
  </rv>
  <rv s="3">
    <fb>1503.3</fb>
    <v>6</v>
  </rv>
  <rv s="3">
    <fb>311.8</fb>
    <v>6</v>
  </rv>
  <rv s="3">
    <fb>116.85</fb>
    <v>6</v>
  </rv>
  <rv s="3">
    <fb>1877.5</fb>
    <v>6</v>
  </rv>
  <rv s="3">
    <fb>7912.5</fb>
    <v>6</v>
  </rv>
  <rv s="3">
    <fb>1520.7</fb>
    <v>6</v>
  </rv>
  <rv s="3">
    <fb>310.64999999999998</fb>
    <v>6</v>
  </rv>
  <rv s="3">
    <fb>1882</fb>
    <v>6</v>
  </rv>
  <rv s="3">
    <fb>7833.5</fb>
    <v>6</v>
  </rv>
  <rv s="3">
    <fb>1509.6</fb>
    <v>6</v>
  </rv>
  <rv s="3">
    <fb>302.45</fb>
    <v>6</v>
  </rv>
  <rv s="3">
    <fb>117.11</fb>
    <v>6</v>
  </rv>
  <rv s="3">
    <fb>1915</fb>
    <v>6</v>
  </rv>
  <rv s="3">
    <fb>8050</fb>
    <v>6</v>
  </rv>
  <rv s="3">
    <fb>1530</fb>
    <v>6</v>
  </rv>
  <rv s="3">
    <fb>310.5</fb>
    <v>6</v>
  </rv>
  <rv s="3">
    <fb>117.26</fb>
    <v>6</v>
  </rv>
  <rv s="3">
    <fb>1899</fb>
    <v>6</v>
  </rv>
  <rv s="3">
    <fb>7935</fb>
    <v>6</v>
  </rv>
  <rv s="3">
    <fb>1520</fb>
    <v>6</v>
  </rv>
  <rv s="3">
    <fb>312.39999999999998</fb>
    <v>6</v>
  </rv>
  <rv s="3">
    <fb>117.15</fb>
    <v>6</v>
  </rv>
  <rv s="3">
    <fb>1879.9</fb>
    <v>6</v>
  </rv>
  <rv s="3">
    <fb>7986.5</fb>
    <v>6</v>
  </rv>
  <rv s="3">
    <fb>310.35000000000002</fb>
    <v>6</v>
  </rv>
  <rv s="3">
    <fb>119.39</fb>
    <v>6</v>
  </rv>
  <rv s="3">
    <fb>1861.5</fb>
    <v>6</v>
  </rv>
  <rv s="3">
    <fb>7967.5</fb>
    <v>6</v>
  </rv>
  <rv s="3">
    <fb>1535</fb>
    <v>6</v>
  </rv>
  <rv s="3">
    <fb>316.25</fb>
    <v>6</v>
  </rv>
  <rv s="3">
    <fb>122.48</fb>
    <v>6</v>
  </rv>
  <rv s="3">
    <fb>1855.5</fb>
    <v>6</v>
  </rv>
  <rv s="3">
    <fb>8020</fb>
    <v>6</v>
  </rv>
  <rv s="3">
    <fb>1540</fb>
    <v>6</v>
  </rv>
  <rv s="3">
    <fb>315</fb>
    <v>6</v>
  </rv>
  <rv s="3">
    <fb>123.4</fb>
    <v>6</v>
  </rv>
  <rv s="3">
    <fb>1855</fb>
    <v>6</v>
  </rv>
  <rv s="3">
    <fb>7975</fb>
    <v>6</v>
  </rv>
  <rv s="3">
    <fb>1528.6</fb>
    <v>6</v>
  </rv>
  <rv s="3">
    <fb>310.25</fb>
    <v>6</v>
  </rv>
  <rv s="4">
    <v>7</v>
    <v>ahkqww</v>
    <v>Daily</v>
    <v>45169</v>
    <v>46245</v>
    <v>0</v>
    <v>1</v>
    <v>639219168000000000,639220345240647803,0</v>
    <v>0</v>
    <v>ahkqww</v>
    <v>NIFTY</v>
    <v>1</v>
  </rv>
  <rv s="4">
    <v>7</v>
    <v>ahkqww</v>
    <v>Weekly</v>
    <v>45165</v>
    <v>46249</v>
    <v>0</v>
    <v>1</v>
    <v>639219168000000000,639220371343740814,0</v>
    <v>2</v>
    <v>ahkqww</v>
    <v>NIFTY</v>
    <v>3</v>
  </rv>
  <rv s="4">
    <v>7</v>
    <v>ahkqww</v>
    <v>Monthly</v>
    <v>45139</v>
    <v>46265</v>
    <v>0</v>
    <v>1</v>
    <v>639219168000000000,639220372502962316,0</v>
    <v>4</v>
    <v>ahkqww</v>
    <v>NIFTY</v>
    <v>5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ountry/region" t="s"/>
    <k n="High"/>
    <k n="Instrument type" t="s"/>
    <k n="LearnMoreOnLink" t="r"/>
    <k n="Low"/>
    <k n="Name" t="s"/>
    <k n="Open"/>
    <k n="Previous close"/>
    <k n="Price"/>
    <k n="Ticker symbol" t="s"/>
    <k n="UniqueName" t="s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Ticker symbol</v>
      <v t="s">_SubLabel</v>
      <v t="s">Change</v>
      <v t="s">Change (%)</v>
      <v t="s">Country/region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LearnMoreOnLink</v>
      <v t="s">%ProviderInfo</v>
    </a>
  </spbArrays>
  <spbData count="8">
    <spb s="0">
      <v>0</v>
      <v>Name</v>
      <v>LearnMoreOnLink</v>
    </spb>
    <spb s="1">
      <v>0</v>
      <v>0</v>
      <v>0</v>
    </spb>
    <spb s="2">
      <v>1</v>
      <v>1</v>
      <v>1</v>
    </spb>
    <spb s="3">
      <v>1</v>
      <v>1</v>
      <v>2</v>
      <v>1</v>
      <v>1</v>
      <v>1</v>
      <v>3</v>
      <v>1</v>
      <v>1</v>
      <v>1</v>
      <v>4</v>
    </spb>
    <spb s="4">
      <v>from previous close</v>
      <v>from previous close</v>
    </spb>
    <spb s="5">
      <v>5</v>
    </spb>
    <spb s="5">
      <v>1</v>
    </spb>
    <spb s="6">
      <v>5</v>
      <v>1</v>
    </spb>
  </spbData>
</supportingPropertyBags>
</file>

<file path=xl/richData/rdsupportingpropertybagstructure.xml><?xml version="1.0" encoding="utf-8"?>
<spbStructures xmlns="http://schemas.microsoft.com/office/spreadsheetml/2017/richdata2" count="7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`%EntityServiceId" t="i"/>
  </s>
  <s>
    <k n="Change" t="s"/>
    <k n="Change (%)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14" formatCode="0.00%"/>
    </x:dxf>
    <x:dxf>
      <x:numFmt numFmtId="19" formatCode="dd/mm/yyyy"/>
    </x:dxf>
  </dxfs>
  <richProperties>
    <rPr n="NumberFormat" t="s"/>
    <rPr n="IsTitleField" t="b"/>
  </richProperties>
  <richStyles>
    <rSty dxfid="1">
      <rpv i="0" xml:space="preserve">_ [$₹-en-IN] * #,##0.00_ ;_ [$₹-en-IN] * -#,##0.00_ ;_ [$₹-en-IN] * "-"??_ ;_ @_ </rpv>
    </rSty>
    <rSty>
      <rpv i="1">1</rpv>
    </rSty>
    <rSty dxfid="2"/>
    <rSty dxfid="0">
      <rpv i="0">0.00</rpv>
    </rSty>
    <rSty dxfid="3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D8A-AAE5-4F4A-BD36-858BAC34CCC2}">
  <dimension ref="A1:R730"/>
  <sheetViews>
    <sheetView workbookViewId="0">
      <selection activeCell="E2" sqref="E2:F3"/>
    </sheetView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8" x14ac:dyDescent="0.3">
      <c r="A1" s="1" t="s">
        <v>1</v>
      </c>
      <c r="B1" s="5" t="e" vm="1">
        <v>#VALUE!</v>
      </c>
      <c r="C1" s="5" t="s">
        <v>4</v>
      </c>
    </row>
    <row r="2" spans="1:18" x14ac:dyDescent="0.3">
      <c r="A2" cm="1" vm="2">
        <f t="array" aca="1" ref="A2:B730" ca="1">_xlfn.STOCKHISTORY(B1,$F$2,$F$3,0,0,0,1)</f>
        <v>45169</v>
      </c>
      <c r="B2" s="4" vm="3">
        <f ca="1"/>
        <v>19253.8</v>
      </c>
      <c r="E2" s="2" t="s">
        <v>2</v>
      </c>
      <c r="F2" s="3">
        <f ca="1">EOMONTH(F3,-36)</f>
        <v>45169</v>
      </c>
    </row>
    <row r="3" spans="1:18" x14ac:dyDescent="0.3">
      <c r="A3" vm="4">
        <f ca="1"/>
        <v>45170</v>
      </c>
      <c r="B3" s="4" vm="5">
        <f ca="1"/>
        <v>19435.3</v>
      </c>
      <c r="C3" s="7">
        <f ca="1">B3/B2-1</f>
        <v>9.4267105714196386E-3</v>
      </c>
      <c r="E3" s="2" t="s">
        <v>3</v>
      </c>
      <c r="F3" s="3">
        <f ca="1">TODAY()</f>
        <v>46245</v>
      </c>
    </row>
    <row r="4" spans="1:18" ht="15" thickBot="1" x14ac:dyDescent="0.35">
      <c r="A4" vm="6">
        <f ca="1"/>
        <v>45173</v>
      </c>
      <c r="B4" s="4" vm="7">
        <f ca="1"/>
        <v>19528.8</v>
      </c>
      <c r="C4" s="7">
        <f t="shared" ref="C4:C67" ca="1" si="0">B4/B3-1</f>
        <v>4.8108338950261231E-3</v>
      </c>
      <c r="I4" s="5" t="s">
        <v>19</v>
      </c>
      <c r="J4" s="5" t="s">
        <v>18</v>
      </c>
      <c r="K4" s="5"/>
      <c r="M4" s="16"/>
      <c r="N4" s="16"/>
      <c r="O4" s="16"/>
      <c r="P4" s="16"/>
      <c r="Q4" s="16"/>
      <c r="R4" s="16"/>
    </row>
    <row r="5" spans="1:18" x14ac:dyDescent="0.3">
      <c r="A5" vm="8">
        <f ca="1"/>
        <v>45174</v>
      </c>
      <c r="B5" s="4" vm="9">
        <f ca="1"/>
        <v>19574.900000000001</v>
      </c>
      <c r="C5" s="7">
        <f t="shared" ca="1" si="0"/>
        <v>2.3606161156857208E-3</v>
      </c>
      <c r="E5" s="11" t="s">
        <v>4</v>
      </c>
      <c r="F5" s="11"/>
      <c r="H5" s="1" t="s">
        <v>20</v>
      </c>
      <c r="I5" s="14">
        <f ca="1">AVERAGE(C3:C730)</f>
        <v>3.7114605881226716E-4</v>
      </c>
      <c r="J5" s="7">
        <f ca="1">I5*252</f>
        <v>9.3528806820691326E-2</v>
      </c>
      <c r="M5" s="16"/>
      <c r="N5" s="16"/>
      <c r="O5" s="16"/>
      <c r="P5" s="16"/>
      <c r="Q5" s="16"/>
      <c r="R5" s="16"/>
    </row>
    <row r="6" spans="1:18" x14ac:dyDescent="0.3">
      <c r="A6" vm="10">
        <f ca="1"/>
        <v>45175</v>
      </c>
      <c r="B6" s="4" vm="11">
        <f ca="1"/>
        <v>19611.05</v>
      </c>
      <c r="C6" s="7">
        <f t="shared" ca="1" si="0"/>
        <v>1.8467527292602703E-3</v>
      </c>
      <c r="E6" s="8"/>
      <c r="F6" s="8"/>
      <c r="H6" s="1" t="s">
        <v>9</v>
      </c>
      <c r="I6" s="7">
        <f ca="1">_xlfn.STDEV.S(C3:C730)</f>
        <v>8.4122355466889846E-3</v>
      </c>
      <c r="J6" s="7">
        <f ca="1">I6*SQRT(252)</f>
        <v>0.1335400993598192</v>
      </c>
      <c r="M6" s="16"/>
      <c r="N6" s="16"/>
      <c r="O6" s="16"/>
      <c r="P6" s="16"/>
      <c r="Q6" s="16"/>
      <c r="R6" s="16"/>
    </row>
    <row r="7" spans="1:18" x14ac:dyDescent="0.3">
      <c r="A7" vm="12">
        <f ca="1"/>
        <v>45176</v>
      </c>
      <c r="B7" s="4" vm="13">
        <f ca="1"/>
        <v>19727.05</v>
      </c>
      <c r="C7" s="7">
        <f t="shared" ca="1" si="0"/>
        <v>5.91503259641879E-3</v>
      </c>
      <c r="E7" s="12" t="s">
        <v>5</v>
      </c>
      <c r="F7" s="8">
        <v>3.7114605881226716E-4</v>
      </c>
      <c r="H7" s="1" t="s">
        <v>21</v>
      </c>
      <c r="I7" s="4"/>
      <c r="J7" s="4">
        <f ca="1">J5/J6</f>
        <v>0.70037994032549866</v>
      </c>
      <c r="M7" s="16"/>
      <c r="N7" s="16"/>
      <c r="O7" s="16"/>
      <c r="P7" s="16"/>
      <c r="Q7" s="16"/>
      <c r="R7" s="16"/>
    </row>
    <row r="8" spans="1:18" x14ac:dyDescent="0.3">
      <c r="A8" vm="14">
        <f ca="1"/>
        <v>45177</v>
      </c>
      <c r="B8" s="4" vm="15">
        <f ca="1"/>
        <v>19819.95</v>
      </c>
      <c r="C8" s="7">
        <f t="shared" ca="1" si="0"/>
        <v>4.7092697590365162E-3</v>
      </c>
      <c r="E8" s="12" t="s">
        <v>6</v>
      </c>
      <c r="F8" s="8">
        <v>3.1177819252877176E-4</v>
      </c>
      <c r="M8" s="16"/>
      <c r="N8" s="16"/>
      <c r="O8" s="16"/>
      <c r="P8" s="16"/>
      <c r="Q8" s="16"/>
      <c r="R8" s="16"/>
    </row>
    <row r="9" spans="1:18" x14ac:dyDescent="0.3">
      <c r="A9" vm="16">
        <f ca="1"/>
        <v>45180</v>
      </c>
      <c r="B9" s="4" vm="17">
        <f ca="1"/>
        <v>19996.349999999999</v>
      </c>
      <c r="C9" s="7">
        <f t="shared" ca="1" si="0"/>
        <v>8.9001233605532359E-3</v>
      </c>
      <c r="E9" s="12" t="s">
        <v>7</v>
      </c>
      <c r="F9" s="8">
        <v>4.6591740944978977E-4</v>
      </c>
      <c r="M9" s="16"/>
      <c r="N9" s="16"/>
      <c r="O9" s="16"/>
      <c r="P9" s="16"/>
      <c r="Q9" s="16"/>
      <c r="R9" s="16"/>
    </row>
    <row r="10" spans="1:18" x14ac:dyDescent="0.3">
      <c r="A10" vm="18">
        <f ca="1"/>
        <v>45181</v>
      </c>
      <c r="B10" s="4" vm="19">
        <f ca="1"/>
        <v>19993.2</v>
      </c>
      <c r="C10" s="7">
        <f t="shared" ca="1" si="0"/>
        <v>-1.5752874899654934E-4</v>
      </c>
      <c r="E10" s="12" t="s">
        <v>8</v>
      </c>
      <c r="F10" s="8" t="e">
        <v>#N/A</v>
      </c>
      <c r="I10" s="5" t="s">
        <v>23</v>
      </c>
      <c r="J10" s="5" t="s">
        <v>24</v>
      </c>
      <c r="K10" s="5" t="s">
        <v>25</v>
      </c>
      <c r="M10" s="16"/>
      <c r="N10" s="16"/>
      <c r="O10" s="16"/>
      <c r="P10" s="16"/>
      <c r="Q10" s="16"/>
      <c r="R10" s="16"/>
    </row>
    <row r="11" spans="1:18" x14ac:dyDescent="0.3">
      <c r="A11" vm="20">
        <f ca="1"/>
        <v>45182</v>
      </c>
      <c r="B11" s="4" vm="21">
        <f ca="1"/>
        <v>20070</v>
      </c>
      <c r="C11" s="7">
        <f t="shared" ca="1" si="0"/>
        <v>3.8413060440549707E-3</v>
      </c>
      <c r="E11" s="12" t="s">
        <v>9</v>
      </c>
      <c r="F11" s="8">
        <v>8.4122355466889846E-3</v>
      </c>
      <c r="H11" s="15">
        <v>1</v>
      </c>
      <c r="I11" s="7">
        <f ca="1">$I$5-$I$6*$H11</f>
        <v>-8.0410894878767177E-3</v>
      </c>
      <c r="J11" s="7">
        <f ca="1">$I$5+$I$6*$H11</f>
        <v>8.7833816055012514E-3</v>
      </c>
      <c r="K11" s="17">
        <v>0.68</v>
      </c>
      <c r="M11" s="16"/>
      <c r="N11" s="16"/>
      <c r="O11" s="16"/>
      <c r="P11" s="16"/>
      <c r="Q11" s="16"/>
      <c r="R11" s="16"/>
    </row>
    <row r="12" spans="1:18" x14ac:dyDescent="0.3">
      <c r="A12" vm="22">
        <f ca="1"/>
        <v>45183</v>
      </c>
      <c r="B12" s="4" vm="23">
        <f ca="1"/>
        <v>20103.099999999999</v>
      </c>
      <c r="C12" s="7">
        <f t="shared" ca="1" si="0"/>
        <v>1.6492277030393243E-3</v>
      </c>
      <c r="E12" s="12" t="s">
        <v>10</v>
      </c>
      <c r="F12" s="8">
        <v>7.0765706892977724E-5</v>
      </c>
      <c r="H12" s="15">
        <v>2</v>
      </c>
      <c r="I12" s="7">
        <f ca="1">$I$5-$I$6*$H12</f>
        <v>-1.6453325034565702E-2</v>
      </c>
      <c r="J12" s="7">
        <f ca="1">$I$5+$I$6*$H12</f>
        <v>1.7195617152190236E-2</v>
      </c>
      <c r="K12" s="18">
        <v>0.95</v>
      </c>
      <c r="M12" s="16"/>
      <c r="N12" s="16"/>
      <c r="O12" s="16"/>
      <c r="P12" s="16"/>
      <c r="Q12" s="16"/>
      <c r="R12" s="16"/>
    </row>
    <row r="13" spans="1:18" x14ac:dyDescent="0.3">
      <c r="A13" vm="24">
        <f ca="1"/>
        <v>45184</v>
      </c>
      <c r="B13" s="4" vm="25">
        <f ca="1"/>
        <v>20192.349999999999</v>
      </c>
      <c r="C13" s="7">
        <f t="shared" ca="1" si="0"/>
        <v>4.4396137909079592E-3</v>
      </c>
      <c r="E13" s="12" t="s">
        <v>11</v>
      </c>
      <c r="F13" s="8">
        <v>5.2893543299059314</v>
      </c>
      <c r="H13" s="15">
        <v>3</v>
      </c>
      <c r="I13" s="7">
        <f ca="1">$I$5-$I$6*$H13</f>
        <v>-2.4865560581254689E-2</v>
      </c>
      <c r="J13" s="7">
        <f ca="1">$I$5+$I$6*$H13</f>
        <v>2.5607852698879222E-2</v>
      </c>
      <c r="K13" s="19">
        <v>0.99</v>
      </c>
      <c r="M13" s="16"/>
      <c r="N13" s="16"/>
      <c r="O13" s="16"/>
      <c r="P13" s="16"/>
      <c r="Q13" s="16"/>
      <c r="R13" s="16"/>
    </row>
    <row r="14" spans="1:18" x14ac:dyDescent="0.3">
      <c r="A14" vm="26">
        <f ca="1"/>
        <v>45187</v>
      </c>
      <c r="B14" s="4" vm="27">
        <f ca="1"/>
        <v>20133.3</v>
      </c>
      <c r="C14" s="7">
        <f t="shared" ca="1" si="0"/>
        <v>-2.9243748251194246E-3</v>
      </c>
      <c r="E14" s="12" t="s">
        <v>12</v>
      </c>
      <c r="F14" s="8">
        <v>-0.36941446442461529</v>
      </c>
      <c r="M14" s="16"/>
      <c r="N14" s="16"/>
      <c r="O14" s="16"/>
      <c r="P14" s="16"/>
      <c r="Q14" s="16"/>
      <c r="R14" s="16"/>
    </row>
    <row r="15" spans="1:18" x14ac:dyDescent="0.3">
      <c r="A15" vm="28">
        <f ca="1"/>
        <v>45189</v>
      </c>
      <c r="B15" s="4" vm="29">
        <f ca="1"/>
        <v>19901.400000000001</v>
      </c>
      <c r="C15" s="7">
        <f t="shared" ca="1" si="0"/>
        <v>-1.1518230990448575E-2</v>
      </c>
      <c r="E15" s="12" t="s">
        <v>13</v>
      </c>
      <c r="F15" s="8">
        <v>9.7476689252431137E-2</v>
      </c>
      <c r="M15" s="16"/>
      <c r="N15" s="16"/>
      <c r="O15" s="16"/>
      <c r="P15" s="16"/>
      <c r="Q15" s="16"/>
      <c r="R15" s="16"/>
    </row>
    <row r="16" spans="1:18" x14ac:dyDescent="0.3">
      <c r="A16" vm="30">
        <f ca="1"/>
        <v>45190</v>
      </c>
      <c r="B16" s="4" vm="31">
        <f ca="1"/>
        <v>19742.349999999999</v>
      </c>
      <c r="C16" s="7">
        <f t="shared" ca="1" si="0"/>
        <v>-7.9919000673320806E-3</v>
      </c>
      <c r="E16" s="12" t="s">
        <v>14</v>
      </c>
      <c r="F16" s="8">
        <v>-5.9293583620975032E-2</v>
      </c>
      <c r="M16" s="16"/>
      <c r="N16" s="16"/>
      <c r="O16" s="16"/>
      <c r="P16" s="16"/>
      <c r="Q16" s="16"/>
      <c r="R16" s="16"/>
    </row>
    <row r="17" spans="1:18" x14ac:dyDescent="0.3">
      <c r="A17" vm="32">
        <f ca="1"/>
        <v>45191</v>
      </c>
      <c r="B17" s="4" vm="33">
        <f ca="1"/>
        <v>19674.25</v>
      </c>
      <c r="C17" s="7">
        <f t="shared" ca="1" si="0"/>
        <v>-3.4494373770092013E-3</v>
      </c>
      <c r="E17" s="12" t="s">
        <v>15</v>
      </c>
      <c r="F17" s="8">
        <v>3.8183105631456105E-2</v>
      </c>
      <c r="M17" s="16"/>
      <c r="N17" s="16"/>
      <c r="O17" s="16"/>
      <c r="P17" s="16"/>
      <c r="Q17" s="16"/>
      <c r="R17" s="16"/>
    </row>
    <row r="18" spans="1:18" x14ac:dyDescent="0.3">
      <c r="A18" vm="34">
        <f ca="1"/>
        <v>45194</v>
      </c>
      <c r="B18" s="4" vm="35">
        <f ca="1"/>
        <v>19674.55</v>
      </c>
      <c r="C18" s="7">
        <f t="shared" ca="1" si="0"/>
        <v>1.5248357624786379E-5</v>
      </c>
      <c r="E18" s="12" t="s">
        <v>16</v>
      </c>
      <c r="F18" s="8">
        <v>0.27019433081533051</v>
      </c>
      <c r="M18" s="16"/>
      <c r="N18" s="16"/>
      <c r="O18" s="16"/>
      <c r="P18" s="16"/>
      <c r="Q18" s="16"/>
      <c r="R18" s="16"/>
    </row>
    <row r="19" spans="1:18" ht="15" thickBot="1" x14ac:dyDescent="0.35">
      <c r="A19" vm="36">
        <f ca="1"/>
        <v>45195</v>
      </c>
      <c r="B19" s="4" vm="37">
        <f ca="1"/>
        <v>19664.7</v>
      </c>
      <c r="C19" s="7">
        <f t="shared" ca="1" si="0"/>
        <v>-5.0064677464023433E-4</v>
      </c>
      <c r="E19" s="13" t="s">
        <v>17</v>
      </c>
      <c r="F19" s="9">
        <v>728</v>
      </c>
      <c r="M19" s="16"/>
      <c r="N19" s="16"/>
      <c r="O19" s="16"/>
      <c r="P19" s="16"/>
      <c r="Q19" s="16"/>
      <c r="R19" s="16"/>
    </row>
    <row r="20" spans="1:18" x14ac:dyDescent="0.3">
      <c r="A20" vm="38">
        <f ca="1"/>
        <v>45196</v>
      </c>
      <c r="B20" s="4" vm="39">
        <f ca="1"/>
        <v>19716.45</v>
      </c>
      <c r="C20" s="7">
        <f t="shared" ca="1" si="0"/>
        <v>2.6316190941126916E-3</v>
      </c>
      <c r="M20" s="16"/>
      <c r="N20" s="16"/>
      <c r="O20" s="16"/>
      <c r="P20" s="16"/>
      <c r="Q20" s="16"/>
      <c r="R20" s="16"/>
    </row>
    <row r="21" spans="1:18" x14ac:dyDescent="0.3">
      <c r="A21" vm="40">
        <f ca="1"/>
        <v>45197</v>
      </c>
      <c r="B21" s="4" vm="41">
        <f ca="1"/>
        <v>19523.55</v>
      </c>
      <c r="C21" s="7">
        <f t="shared" ca="1" si="0"/>
        <v>-9.7837085276508695E-3</v>
      </c>
      <c r="M21" s="16"/>
      <c r="N21" s="16"/>
      <c r="O21" s="16"/>
      <c r="P21" s="16"/>
      <c r="Q21" s="16"/>
      <c r="R21" s="16"/>
    </row>
    <row r="22" spans="1:18" x14ac:dyDescent="0.3">
      <c r="A22" vm="42">
        <f ca="1"/>
        <v>45198</v>
      </c>
      <c r="B22" s="4" vm="43">
        <f ca="1"/>
        <v>19638.3</v>
      </c>
      <c r="C22" s="7">
        <f t="shared" ca="1" si="0"/>
        <v>5.8775171523621772E-3</v>
      </c>
      <c r="M22" s="16"/>
      <c r="N22" s="16"/>
      <c r="O22" s="16"/>
      <c r="P22" s="16"/>
      <c r="Q22" s="16"/>
      <c r="R22" s="16"/>
    </row>
    <row r="23" spans="1:18" x14ac:dyDescent="0.3">
      <c r="A23" vm="44">
        <f ca="1"/>
        <v>45202</v>
      </c>
      <c r="B23" s="4" vm="45">
        <f ca="1"/>
        <v>19528.75</v>
      </c>
      <c r="C23" s="7">
        <f t="shared" ca="1" si="0"/>
        <v>-5.5783850944327584E-3</v>
      </c>
      <c r="M23" s="16"/>
      <c r="N23" s="16"/>
      <c r="O23" s="16"/>
      <c r="P23" s="16"/>
      <c r="Q23" s="16"/>
      <c r="R23" s="16"/>
    </row>
    <row r="24" spans="1:18" x14ac:dyDescent="0.3">
      <c r="A24" vm="46">
        <f ca="1"/>
        <v>45203</v>
      </c>
      <c r="B24" s="4" vm="47">
        <f ca="1"/>
        <v>19436.099999999999</v>
      </c>
      <c r="C24" s="7">
        <f t="shared" ca="1" si="0"/>
        <v>-4.7442872687705195E-3</v>
      </c>
      <c r="M24" s="16"/>
      <c r="N24" s="16"/>
      <c r="O24" s="16"/>
      <c r="P24" s="16"/>
      <c r="Q24" s="16"/>
      <c r="R24" s="16"/>
    </row>
    <row r="25" spans="1:18" x14ac:dyDescent="0.3">
      <c r="A25" vm="48">
        <f ca="1"/>
        <v>45204</v>
      </c>
      <c r="B25" s="4" vm="49">
        <f ca="1"/>
        <v>19545.75</v>
      </c>
      <c r="C25" s="7">
        <f t="shared" ca="1" si="0"/>
        <v>5.6415638939910639E-3</v>
      </c>
    </row>
    <row r="26" spans="1:18" x14ac:dyDescent="0.3">
      <c r="A26" vm="50">
        <f ca="1"/>
        <v>45205</v>
      </c>
      <c r="B26" s="4" vm="51">
        <f ca="1"/>
        <v>19653.5</v>
      </c>
      <c r="C26" s="7">
        <f t="shared" ca="1" si="0"/>
        <v>5.5127073660514725E-3</v>
      </c>
    </row>
    <row r="27" spans="1:18" x14ac:dyDescent="0.3">
      <c r="A27" vm="52">
        <f ca="1"/>
        <v>45208</v>
      </c>
      <c r="B27" s="4" vm="53">
        <f ca="1"/>
        <v>19512.349999999999</v>
      </c>
      <c r="C27" s="7">
        <f t="shared" ca="1" si="0"/>
        <v>-7.1819268832524763E-3</v>
      </c>
    </row>
    <row r="28" spans="1:18" x14ac:dyDescent="0.3">
      <c r="A28" vm="54">
        <f ca="1"/>
        <v>45209</v>
      </c>
      <c r="B28" s="4" vm="55">
        <f ca="1"/>
        <v>19689.849999999999</v>
      </c>
      <c r="C28" s="7">
        <f t="shared" ca="1" si="0"/>
        <v>9.096802794127834E-3</v>
      </c>
    </row>
    <row r="29" spans="1:18" x14ac:dyDescent="0.3">
      <c r="A29" vm="56">
        <f ca="1"/>
        <v>45210</v>
      </c>
      <c r="B29" s="4" vm="57">
        <f ca="1"/>
        <v>19811.349999999999</v>
      </c>
      <c r="C29" s="7">
        <f t="shared" ca="1" si="0"/>
        <v>6.1706920062876147E-3</v>
      </c>
    </row>
    <row r="30" spans="1:18" x14ac:dyDescent="0.3">
      <c r="A30" vm="58">
        <f ca="1"/>
        <v>45211</v>
      </c>
      <c r="B30" s="4" vm="59">
        <f ca="1"/>
        <v>19794</v>
      </c>
      <c r="C30" s="7">
        <f t="shared" ca="1" si="0"/>
        <v>-8.7576061197236488E-4</v>
      </c>
    </row>
    <row r="31" spans="1:18" x14ac:dyDescent="0.3">
      <c r="A31" vm="60">
        <f ca="1"/>
        <v>45212</v>
      </c>
      <c r="B31" s="4" vm="61">
        <f ca="1"/>
        <v>19751.05</v>
      </c>
      <c r="C31" s="7">
        <f t="shared" ca="1" si="0"/>
        <v>-2.1698494493280762E-3</v>
      </c>
    </row>
    <row r="32" spans="1:18" x14ac:dyDescent="0.3">
      <c r="A32" vm="62">
        <f ca="1"/>
        <v>45215</v>
      </c>
      <c r="B32" s="4" vm="63">
        <f ca="1"/>
        <v>19731.75</v>
      </c>
      <c r="C32" s="7">
        <f t="shared" ca="1" si="0"/>
        <v>-9.7716323942265149E-4</v>
      </c>
    </row>
    <row r="33" spans="1:3" x14ac:dyDescent="0.3">
      <c r="A33" vm="64">
        <f ca="1"/>
        <v>45216</v>
      </c>
      <c r="B33" s="4" vm="65">
        <f ca="1"/>
        <v>19811.5</v>
      </c>
      <c r="C33" s="7">
        <f t="shared" ca="1" si="0"/>
        <v>4.0417094276989918E-3</v>
      </c>
    </row>
    <row r="34" spans="1:3" x14ac:dyDescent="0.3">
      <c r="A34" vm="66">
        <f ca="1"/>
        <v>45217</v>
      </c>
      <c r="B34" s="4" vm="67">
        <f ca="1"/>
        <v>19671.099999999999</v>
      </c>
      <c r="C34" s="7">
        <f t="shared" ca="1" si="0"/>
        <v>-7.0867930242536348E-3</v>
      </c>
    </row>
    <row r="35" spans="1:3" x14ac:dyDescent="0.3">
      <c r="A35" vm="68">
        <f ca="1"/>
        <v>45218</v>
      </c>
      <c r="B35" s="4" vm="69">
        <f ca="1"/>
        <v>19624.7</v>
      </c>
      <c r="C35" s="7">
        <f t="shared" ca="1" si="0"/>
        <v>-2.358790306591807E-3</v>
      </c>
    </row>
    <row r="36" spans="1:3" x14ac:dyDescent="0.3">
      <c r="A36" vm="70">
        <f ca="1"/>
        <v>45219</v>
      </c>
      <c r="B36" s="4" vm="71">
        <f ca="1"/>
        <v>19542.650000000001</v>
      </c>
      <c r="C36" s="7">
        <f t="shared" ca="1" si="0"/>
        <v>-4.1809556324428065E-3</v>
      </c>
    </row>
    <row r="37" spans="1:3" x14ac:dyDescent="0.3">
      <c r="A37" vm="72">
        <f ca="1"/>
        <v>45222</v>
      </c>
      <c r="B37" s="4" vm="73">
        <f ca="1"/>
        <v>19281.75</v>
      </c>
      <c r="C37" s="7">
        <f t="shared" ca="1" si="0"/>
        <v>-1.3350287704072983E-2</v>
      </c>
    </row>
    <row r="38" spans="1:3" x14ac:dyDescent="0.3">
      <c r="A38" vm="74">
        <f ca="1"/>
        <v>45224</v>
      </c>
      <c r="B38" s="4" vm="75">
        <f ca="1"/>
        <v>19122.150000000001</v>
      </c>
      <c r="C38" s="7">
        <f t="shared" ca="1" si="0"/>
        <v>-8.2772569917148875E-3</v>
      </c>
    </row>
    <row r="39" spans="1:3" x14ac:dyDescent="0.3">
      <c r="A39" vm="76">
        <f ca="1"/>
        <v>45225</v>
      </c>
      <c r="B39" s="4" vm="77">
        <f ca="1"/>
        <v>18857.25</v>
      </c>
      <c r="C39" s="7">
        <f t="shared" ca="1" si="0"/>
        <v>-1.3853044767455636E-2</v>
      </c>
    </row>
    <row r="40" spans="1:3" x14ac:dyDescent="0.3">
      <c r="A40" vm="78">
        <f ca="1"/>
        <v>45226</v>
      </c>
      <c r="B40" s="4" vm="79">
        <f ca="1"/>
        <v>19047.25</v>
      </c>
      <c r="C40" s="7">
        <f t="shared" ca="1" si="0"/>
        <v>1.0075700327460302E-2</v>
      </c>
    </row>
    <row r="41" spans="1:3" x14ac:dyDescent="0.3">
      <c r="A41" vm="80">
        <f ca="1"/>
        <v>45229</v>
      </c>
      <c r="B41" s="4" vm="81">
        <f ca="1"/>
        <v>19140.900000000001</v>
      </c>
      <c r="C41" s="7">
        <f t="shared" ca="1" si="0"/>
        <v>4.9167202614550654E-3</v>
      </c>
    </row>
    <row r="42" spans="1:3" x14ac:dyDescent="0.3">
      <c r="A42" vm="82">
        <f ca="1"/>
        <v>45230</v>
      </c>
      <c r="B42" s="4" vm="83">
        <f ca="1"/>
        <v>19079.599999999999</v>
      </c>
      <c r="C42" s="7">
        <f t="shared" ca="1" si="0"/>
        <v>-3.2025662325179116E-3</v>
      </c>
    </row>
    <row r="43" spans="1:3" x14ac:dyDescent="0.3">
      <c r="A43" vm="84">
        <f ca="1"/>
        <v>45231</v>
      </c>
      <c r="B43" s="4" vm="85">
        <f ca="1"/>
        <v>18989.150000000001</v>
      </c>
      <c r="C43" s="7">
        <f t="shared" ca="1" si="0"/>
        <v>-4.740665422755086E-3</v>
      </c>
    </row>
    <row r="44" spans="1:3" x14ac:dyDescent="0.3">
      <c r="A44" vm="86">
        <f ca="1"/>
        <v>45232</v>
      </c>
      <c r="B44" s="4" vm="87">
        <f ca="1"/>
        <v>19133.25</v>
      </c>
      <c r="C44" s="7">
        <f t="shared" ca="1" si="0"/>
        <v>7.5885439843277336E-3</v>
      </c>
    </row>
    <row r="45" spans="1:3" x14ac:dyDescent="0.3">
      <c r="A45" vm="88">
        <f ca="1"/>
        <v>45233</v>
      </c>
      <c r="B45" s="4" vm="89">
        <f ca="1"/>
        <v>19230.599999999999</v>
      </c>
      <c r="C45" s="7">
        <f t="shared" ca="1" si="0"/>
        <v>5.0880012543608188E-3</v>
      </c>
    </row>
    <row r="46" spans="1:3" x14ac:dyDescent="0.3">
      <c r="A46" vm="90">
        <f ca="1"/>
        <v>45236</v>
      </c>
      <c r="B46" s="4" vm="91">
        <f ca="1"/>
        <v>19411.75</v>
      </c>
      <c r="C46" s="7">
        <f t="shared" ca="1" si="0"/>
        <v>9.4198828949696445E-3</v>
      </c>
    </row>
    <row r="47" spans="1:3" x14ac:dyDescent="0.3">
      <c r="A47" vm="92">
        <f ca="1"/>
        <v>45237</v>
      </c>
      <c r="B47" s="4" vm="93">
        <f ca="1"/>
        <v>19406.7</v>
      </c>
      <c r="C47" s="7">
        <f t="shared" ca="1" si="0"/>
        <v>-2.6015171223614519E-4</v>
      </c>
    </row>
    <row r="48" spans="1:3" x14ac:dyDescent="0.3">
      <c r="A48" vm="94">
        <f ca="1"/>
        <v>45238</v>
      </c>
      <c r="B48" s="4" vm="95">
        <f ca="1"/>
        <v>19443.5</v>
      </c>
      <c r="C48" s="7">
        <f t="shared" ca="1" si="0"/>
        <v>1.8962523252279428E-3</v>
      </c>
    </row>
    <row r="49" spans="1:3" x14ac:dyDescent="0.3">
      <c r="A49" vm="96">
        <f ca="1"/>
        <v>45239</v>
      </c>
      <c r="B49" s="4" vm="97">
        <f ca="1"/>
        <v>19395.3</v>
      </c>
      <c r="C49" s="7">
        <f t="shared" ca="1" si="0"/>
        <v>-2.4789775503382128E-3</v>
      </c>
    </row>
    <row r="50" spans="1:3" x14ac:dyDescent="0.3">
      <c r="A50" vm="98">
        <f ca="1"/>
        <v>45240</v>
      </c>
      <c r="B50" s="4" vm="99">
        <f ca="1"/>
        <v>19425.349999999999</v>
      </c>
      <c r="C50" s="7">
        <f t="shared" ca="1" si="0"/>
        <v>1.549344428804833E-3</v>
      </c>
    </row>
    <row r="51" spans="1:3" x14ac:dyDescent="0.3">
      <c r="A51" vm="100">
        <f ca="1"/>
        <v>45242</v>
      </c>
      <c r="B51" s="4" vm="101">
        <f ca="1"/>
        <v>19525.55</v>
      </c>
      <c r="C51" s="7">
        <f t="shared" ca="1" si="0"/>
        <v>5.1582082176124811E-3</v>
      </c>
    </row>
    <row r="52" spans="1:3" x14ac:dyDescent="0.3">
      <c r="A52" vm="102">
        <f ca="1"/>
        <v>45243</v>
      </c>
      <c r="B52" s="4" vm="103">
        <f ca="1"/>
        <v>19443.55</v>
      </c>
      <c r="C52" s="7">
        <f t="shared" ca="1" si="0"/>
        <v>-4.1996256187405434E-3</v>
      </c>
    </row>
    <row r="53" spans="1:3" x14ac:dyDescent="0.3">
      <c r="A53" vm="104">
        <f ca="1"/>
        <v>45245</v>
      </c>
      <c r="B53" s="4" vm="105">
        <f ca="1"/>
        <v>19675.45</v>
      </c>
      <c r="C53" s="7">
        <f t="shared" ca="1" si="0"/>
        <v>1.1926834348665816E-2</v>
      </c>
    </row>
    <row r="54" spans="1:3" x14ac:dyDescent="0.3">
      <c r="A54" vm="106">
        <f ca="1"/>
        <v>45246</v>
      </c>
      <c r="B54" s="4" vm="107">
        <f ca="1"/>
        <v>19765.2</v>
      </c>
      <c r="C54" s="7">
        <f t="shared" ca="1" si="0"/>
        <v>4.5615220998758144E-3</v>
      </c>
    </row>
    <row r="55" spans="1:3" x14ac:dyDescent="0.3">
      <c r="A55" vm="108">
        <f ca="1"/>
        <v>45247</v>
      </c>
      <c r="B55" s="4" vm="109">
        <f ca="1"/>
        <v>19731.8</v>
      </c>
      <c r="C55" s="7">
        <f t="shared" ca="1" si="0"/>
        <v>-1.6898387064133713E-3</v>
      </c>
    </row>
    <row r="56" spans="1:3" x14ac:dyDescent="0.3">
      <c r="A56" vm="110">
        <f ca="1"/>
        <v>45250</v>
      </c>
      <c r="B56" s="4" vm="111">
        <f ca="1"/>
        <v>19694</v>
      </c>
      <c r="C56" s="7">
        <f t="shared" ca="1" si="0"/>
        <v>-1.915689394784037E-3</v>
      </c>
    </row>
    <row r="57" spans="1:3" x14ac:dyDescent="0.3">
      <c r="A57" vm="112">
        <f ca="1"/>
        <v>45251</v>
      </c>
      <c r="B57" s="4" vm="113">
        <f ca="1"/>
        <v>19783.400000000001</v>
      </c>
      <c r="C57" s="7">
        <f t="shared" ca="1" si="0"/>
        <v>4.5394536407028507E-3</v>
      </c>
    </row>
    <row r="58" spans="1:3" x14ac:dyDescent="0.3">
      <c r="A58" vm="114">
        <f ca="1"/>
        <v>45252</v>
      </c>
      <c r="B58" s="4" vm="115">
        <f ca="1"/>
        <v>19811.849999999999</v>
      </c>
      <c r="C58" s="7">
        <f t="shared" ca="1" si="0"/>
        <v>1.4380743451578581E-3</v>
      </c>
    </row>
    <row r="59" spans="1:3" x14ac:dyDescent="0.3">
      <c r="A59" vm="116">
        <f ca="1"/>
        <v>45253</v>
      </c>
      <c r="B59" s="4" vm="117">
        <f ca="1"/>
        <v>19802</v>
      </c>
      <c r="C59" s="7">
        <f t="shared" ca="1" si="0"/>
        <v>-4.971771944567438E-4</v>
      </c>
    </row>
    <row r="60" spans="1:3" x14ac:dyDescent="0.3">
      <c r="A60" vm="118">
        <f ca="1"/>
        <v>45254</v>
      </c>
      <c r="B60" s="4" vm="119">
        <f ca="1"/>
        <v>19794.7</v>
      </c>
      <c r="C60" s="7">
        <f t="shared" ca="1" si="0"/>
        <v>-3.6864963135030404E-4</v>
      </c>
    </row>
    <row r="61" spans="1:3" x14ac:dyDescent="0.3">
      <c r="A61" vm="120">
        <f ca="1"/>
        <v>45258</v>
      </c>
      <c r="B61" s="4" vm="121">
        <f ca="1"/>
        <v>19889.7</v>
      </c>
      <c r="C61" s="7">
        <f t="shared" ca="1" si="0"/>
        <v>4.7992644495749026E-3</v>
      </c>
    </row>
    <row r="62" spans="1:3" x14ac:dyDescent="0.3">
      <c r="A62" vm="122">
        <f ca="1"/>
        <v>45259</v>
      </c>
      <c r="B62" s="4" vm="123">
        <f ca="1"/>
        <v>20096.599999999999</v>
      </c>
      <c r="C62" s="7">
        <f t="shared" ca="1" si="0"/>
        <v>1.04023690653956E-2</v>
      </c>
    </row>
    <row r="63" spans="1:3" x14ac:dyDescent="0.3">
      <c r="A63" vm="124">
        <f ca="1"/>
        <v>45260</v>
      </c>
      <c r="B63" s="4" vm="125">
        <f ca="1"/>
        <v>20133.150000000001</v>
      </c>
      <c r="C63" s="7">
        <f t="shared" ca="1" si="0"/>
        <v>1.8187156036346686E-3</v>
      </c>
    </row>
    <row r="64" spans="1:3" x14ac:dyDescent="0.3">
      <c r="A64" vm="126">
        <f ca="1"/>
        <v>45261</v>
      </c>
      <c r="B64" s="4" vm="127">
        <f ca="1"/>
        <v>20267.900000000001</v>
      </c>
      <c r="C64" s="7">
        <f t="shared" ca="1" si="0"/>
        <v>6.6929417403636116E-3</v>
      </c>
    </row>
    <row r="65" spans="1:3" x14ac:dyDescent="0.3">
      <c r="A65" vm="128">
        <f ca="1"/>
        <v>45264</v>
      </c>
      <c r="B65" s="4" vm="129">
        <f ca="1"/>
        <v>20686.8</v>
      </c>
      <c r="C65" s="7">
        <f t="shared" ca="1" si="0"/>
        <v>2.0668150129021567E-2</v>
      </c>
    </row>
    <row r="66" spans="1:3" x14ac:dyDescent="0.3">
      <c r="A66" vm="130">
        <f ca="1"/>
        <v>45265</v>
      </c>
      <c r="B66" s="4" vm="131">
        <f ca="1"/>
        <v>20855.099999999999</v>
      </c>
      <c r="C66" s="7">
        <f t="shared" ca="1" si="0"/>
        <v>8.1356227159348204E-3</v>
      </c>
    </row>
    <row r="67" spans="1:3" x14ac:dyDescent="0.3">
      <c r="A67" vm="132">
        <f ca="1"/>
        <v>45266</v>
      </c>
      <c r="B67" s="4" vm="133">
        <f ca="1"/>
        <v>20937.7</v>
      </c>
      <c r="C67" s="7">
        <f t="shared" ca="1" si="0"/>
        <v>3.9606619004464161E-3</v>
      </c>
    </row>
    <row r="68" spans="1:3" x14ac:dyDescent="0.3">
      <c r="A68" vm="134">
        <f ca="1"/>
        <v>45267</v>
      </c>
      <c r="B68" s="4" vm="135">
        <f ca="1"/>
        <v>20901.150000000001</v>
      </c>
      <c r="C68" s="7">
        <f t="shared" ref="C68:C131" ca="1" si="1">B68/B67-1</f>
        <v>-1.7456549668778409E-3</v>
      </c>
    </row>
    <row r="69" spans="1:3" x14ac:dyDescent="0.3">
      <c r="A69" vm="136">
        <f ca="1"/>
        <v>45268</v>
      </c>
      <c r="B69" s="4" vm="137">
        <f ca="1"/>
        <v>20969.400000000001</v>
      </c>
      <c r="C69" s="7">
        <f t="shared" ca="1" si="1"/>
        <v>3.2653705657343934E-3</v>
      </c>
    </row>
    <row r="70" spans="1:3" x14ac:dyDescent="0.3">
      <c r="A70" vm="138">
        <f ca="1"/>
        <v>45271</v>
      </c>
      <c r="B70" s="4" vm="139">
        <f ca="1"/>
        <v>20997.1</v>
      </c>
      <c r="C70" s="7">
        <f t="shared" ca="1" si="1"/>
        <v>1.3209724646388032E-3</v>
      </c>
    </row>
    <row r="71" spans="1:3" x14ac:dyDescent="0.3">
      <c r="A71" vm="140">
        <f ca="1"/>
        <v>45272</v>
      </c>
      <c r="B71" s="4" vm="141">
        <f ca="1"/>
        <v>20906.400000000001</v>
      </c>
      <c r="C71" s="7">
        <f t="shared" ca="1" si="1"/>
        <v>-4.3196441413336784E-3</v>
      </c>
    </row>
    <row r="72" spans="1:3" x14ac:dyDescent="0.3">
      <c r="A72" vm="142">
        <f ca="1"/>
        <v>45273</v>
      </c>
      <c r="B72" s="4" vm="143">
        <f ca="1"/>
        <v>20926.349999999999</v>
      </c>
      <c r="C72" s="7">
        <f t="shared" ca="1" si="1"/>
        <v>9.5425324302600423E-4</v>
      </c>
    </row>
    <row r="73" spans="1:3" x14ac:dyDescent="0.3">
      <c r="A73" vm="144">
        <f ca="1"/>
        <v>45274</v>
      </c>
      <c r="B73" s="4" vm="145">
        <f ca="1"/>
        <v>21182.7</v>
      </c>
      <c r="C73" s="7">
        <f t="shared" ca="1" si="1"/>
        <v>1.2250105727946048E-2</v>
      </c>
    </row>
    <row r="74" spans="1:3" x14ac:dyDescent="0.3">
      <c r="A74" vm="146">
        <f ca="1"/>
        <v>45275</v>
      </c>
      <c r="B74" s="4" vm="147">
        <f ca="1"/>
        <v>21456.65</v>
      </c>
      <c r="C74" s="7">
        <f t="shared" ca="1" si="1"/>
        <v>1.2932723401643864E-2</v>
      </c>
    </row>
    <row r="75" spans="1:3" x14ac:dyDescent="0.3">
      <c r="A75" vm="148">
        <f ca="1"/>
        <v>45278</v>
      </c>
      <c r="B75" s="4" vm="149">
        <f ca="1"/>
        <v>21418.65</v>
      </c>
      <c r="C75" s="7">
        <f t="shared" ca="1" si="1"/>
        <v>-1.7710127163373945E-3</v>
      </c>
    </row>
    <row r="76" spans="1:3" x14ac:dyDescent="0.3">
      <c r="A76" vm="150">
        <f ca="1"/>
        <v>45279</v>
      </c>
      <c r="B76" s="4" vm="151">
        <f ca="1"/>
        <v>21453.1</v>
      </c>
      <c r="C76" s="7">
        <f t="shared" ca="1" si="1"/>
        <v>1.6084113611267714E-3</v>
      </c>
    </row>
    <row r="77" spans="1:3" x14ac:dyDescent="0.3">
      <c r="A77" vm="152">
        <f ca="1"/>
        <v>45280</v>
      </c>
      <c r="B77" s="4" vm="153">
        <f ca="1"/>
        <v>21150.15</v>
      </c>
      <c r="C77" s="7">
        <f t="shared" ca="1" si="1"/>
        <v>-1.4121502253753415E-2</v>
      </c>
    </row>
    <row r="78" spans="1:3" x14ac:dyDescent="0.3">
      <c r="A78" vm="154">
        <f ca="1"/>
        <v>45281</v>
      </c>
      <c r="B78" s="4" vm="155">
        <f ca="1"/>
        <v>21255.05</v>
      </c>
      <c r="C78" s="7">
        <f t="shared" ca="1" si="1"/>
        <v>4.9597756989903097E-3</v>
      </c>
    </row>
    <row r="79" spans="1:3" x14ac:dyDescent="0.3">
      <c r="A79" vm="156">
        <f ca="1"/>
        <v>45282</v>
      </c>
      <c r="B79" s="4" vm="157">
        <f ca="1"/>
        <v>21349.4</v>
      </c>
      <c r="C79" s="7">
        <f t="shared" ca="1" si="1"/>
        <v>4.4389450977533329E-3</v>
      </c>
    </row>
    <row r="80" spans="1:3" x14ac:dyDescent="0.3">
      <c r="A80" vm="158">
        <f ca="1"/>
        <v>45286</v>
      </c>
      <c r="B80" s="4" vm="159">
        <f ca="1"/>
        <v>21441.35</v>
      </c>
      <c r="C80" s="7">
        <f t="shared" ca="1" si="1"/>
        <v>4.306912606443225E-3</v>
      </c>
    </row>
    <row r="81" spans="1:3" x14ac:dyDescent="0.3">
      <c r="A81" vm="160">
        <f ca="1"/>
        <v>45287</v>
      </c>
      <c r="B81" s="4" vm="161">
        <f ca="1"/>
        <v>21654.75</v>
      </c>
      <c r="C81" s="7">
        <f t="shared" ca="1" si="1"/>
        <v>9.9527315211029865E-3</v>
      </c>
    </row>
    <row r="82" spans="1:3" x14ac:dyDescent="0.3">
      <c r="A82" vm="162">
        <f ca="1"/>
        <v>45288</v>
      </c>
      <c r="B82" s="4" vm="163">
        <f ca="1"/>
        <v>21778.7</v>
      </c>
      <c r="C82" s="7">
        <f t="shared" ca="1" si="1"/>
        <v>5.7239173853311787E-3</v>
      </c>
    </row>
    <row r="83" spans="1:3" x14ac:dyDescent="0.3">
      <c r="A83" vm="164">
        <f ca="1"/>
        <v>45289</v>
      </c>
      <c r="B83" s="4" vm="165">
        <f ca="1"/>
        <v>21731.4</v>
      </c>
      <c r="C83" s="7">
        <f t="shared" ca="1" si="1"/>
        <v>-2.1718468044464867E-3</v>
      </c>
    </row>
    <row r="84" spans="1:3" x14ac:dyDescent="0.3">
      <c r="A84" vm="166">
        <f ca="1"/>
        <v>45292</v>
      </c>
      <c r="B84" s="4" vm="167">
        <f ca="1"/>
        <v>21741.9</v>
      </c>
      <c r="C84" s="7">
        <f t="shared" ca="1" si="1"/>
        <v>4.8317181589774272E-4</v>
      </c>
    </row>
    <row r="85" spans="1:3" x14ac:dyDescent="0.3">
      <c r="A85" vm="168">
        <f ca="1"/>
        <v>45293</v>
      </c>
      <c r="B85" s="4" vm="169">
        <f ca="1"/>
        <v>21665.8</v>
      </c>
      <c r="C85" s="7">
        <f t="shared" ca="1" si="1"/>
        <v>-3.5001540803702991E-3</v>
      </c>
    </row>
    <row r="86" spans="1:3" x14ac:dyDescent="0.3">
      <c r="A86" vm="170">
        <f ca="1"/>
        <v>45294</v>
      </c>
      <c r="B86" s="4" vm="171">
        <f ca="1"/>
        <v>21517.35</v>
      </c>
      <c r="C86" s="7">
        <f t="shared" ca="1" si="1"/>
        <v>-6.8518125340398806E-3</v>
      </c>
    </row>
    <row r="87" spans="1:3" x14ac:dyDescent="0.3">
      <c r="A87" vm="172">
        <f ca="1"/>
        <v>45295</v>
      </c>
      <c r="B87" s="4" vm="173">
        <f ca="1"/>
        <v>21658.6</v>
      </c>
      <c r="C87" s="7">
        <f t="shared" ca="1" si="1"/>
        <v>6.5644700671783074E-3</v>
      </c>
    </row>
    <row r="88" spans="1:3" x14ac:dyDescent="0.3">
      <c r="A88" vm="174">
        <f ca="1"/>
        <v>45296</v>
      </c>
      <c r="B88" s="4" vm="175">
        <f ca="1"/>
        <v>21710.799999999999</v>
      </c>
      <c r="C88" s="7">
        <f t="shared" ca="1" si="1"/>
        <v>2.4101280784538659E-3</v>
      </c>
    </row>
    <row r="89" spans="1:3" x14ac:dyDescent="0.3">
      <c r="A89" vm="176">
        <f ca="1"/>
        <v>45299</v>
      </c>
      <c r="B89" s="4" vm="177">
        <f ca="1"/>
        <v>21513</v>
      </c>
      <c r="C89" s="7">
        <f t="shared" ca="1" si="1"/>
        <v>-9.1106730290915205E-3</v>
      </c>
    </row>
    <row r="90" spans="1:3" x14ac:dyDescent="0.3">
      <c r="A90" vm="178">
        <f ca="1"/>
        <v>45300</v>
      </c>
      <c r="B90" s="4" vm="179">
        <f ca="1"/>
        <v>21544.85</v>
      </c>
      <c r="C90" s="7">
        <f t="shared" ca="1" si="1"/>
        <v>1.4805001626922998E-3</v>
      </c>
    </row>
    <row r="91" spans="1:3" x14ac:dyDescent="0.3">
      <c r="A91" vm="180">
        <f ca="1"/>
        <v>45301</v>
      </c>
      <c r="B91" s="4" vm="181">
        <f ca="1"/>
        <v>21618.7</v>
      </c>
      <c r="C91" s="7">
        <f t="shared" ca="1" si="1"/>
        <v>3.4277333098164942E-3</v>
      </c>
    </row>
    <row r="92" spans="1:3" x14ac:dyDescent="0.3">
      <c r="A92" vm="182">
        <f ca="1"/>
        <v>45302</v>
      </c>
      <c r="B92" s="4" vm="183">
        <f ca="1"/>
        <v>21647.200000000001</v>
      </c>
      <c r="C92" s="7">
        <f t="shared" ca="1" si="1"/>
        <v>1.3183031357111297E-3</v>
      </c>
    </row>
    <row r="93" spans="1:3" x14ac:dyDescent="0.3">
      <c r="A93" vm="184">
        <f ca="1"/>
        <v>45303</v>
      </c>
      <c r="B93" s="4" vm="185">
        <f ca="1"/>
        <v>21894.55</v>
      </c>
      <c r="C93" s="7">
        <f t="shared" ca="1" si="1"/>
        <v>1.1426420045086649E-2</v>
      </c>
    </row>
    <row r="94" spans="1:3" x14ac:dyDescent="0.3">
      <c r="A94" vm="186">
        <f ca="1"/>
        <v>45306</v>
      </c>
      <c r="B94" s="4" vm="187">
        <f ca="1"/>
        <v>22097.45</v>
      </c>
      <c r="C94" s="7">
        <f t="shared" ca="1" si="1"/>
        <v>9.2671463903117868E-3</v>
      </c>
    </row>
    <row r="95" spans="1:3" x14ac:dyDescent="0.3">
      <c r="A95" vm="188">
        <f ca="1"/>
        <v>45307</v>
      </c>
      <c r="B95" s="4" vm="189">
        <f ca="1"/>
        <v>22032.3</v>
      </c>
      <c r="C95" s="7">
        <f t="shared" ca="1" si="1"/>
        <v>-2.9483039898269281E-3</v>
      </c>
    </row>
    <row r="96" spans="1:3" x14ac:dyDescent="0.3">
      <c r="A96" vm="190">
        <f ca="1"/>
        <v>45308</v>
      </c>
      <c r="B96" s="4" vm="191">
        <f ca="1"/>
        <v>21571.95</v>
      </c>
      <c r="C96" s="7">
        <f t="shared" ca="1" si="1"/>
        <v>-2.0894323334377241E-2</v>
      </c>
    </row>
    <row r="97" spans="1:3" x14ac:dyDescent="0.3">
      <c r="A97" vm="192">
        <f ca="1"/>
        <v>45309</v>
      </c>
      <c r="B97" s="4" vm="193">
        <f ca="1"/>
        <v>21462.25</v>
      </c>
      <c r="C97" s="7">
        <f t="shared" ca="1" si="1"/>
        <v>-5.0853075405793424E-3</v>
      </c>
    </row>
    <row r="98" spans="1:3" x14ac:dyDescent="0.3">
      <c r="A98" vm="194">
        <f ca="1"/>
        <v>45310</v>
      </c>
      <c r="B98" s="4" vm="195">
        <f ca="1"/>
        <v>21622.400000000001</v>
      </c>
      <c r="C98" s="7">
        <f t="shared" ca="1" si="1"/>
        <v>7.4619389858938678E-3</v>
      </c>
    </row>
    <row r="99" spans="1:3" x14ac:dyDescent="0.3">
      <c r="A99" vm="196">
        <f ca="1"/>
        <v>45311</v>
      </c>
      <c r="B99" s="4" vm="197">
        <f ca="1"/>
        <v>21571.8</v>
      </c>
      <c r="C99" s="7">
        <f t="shared" ca="1" si="1"/>
        <v>-2.3401657540329523E-3</v>
      </c>
    </row>
    <row r="100" spans="1:3" x14ac:dyDescent="0.3">
      <c r="A100" vm="198">
        <f ca="1"/>
        <v>45314</v>
      </c>
      <c r="B100" s="4" vm="199">
        <f ca="1"/>
        <v>21238.799999999999</v>
      </c>
      <c r="C100" s="7">
        <f t="shared" ca="1" si="1"/>
        <v>-1.5436820293160514E-2</v>
      </c>
    </row>
    <row r="101" spans="1:3" x14ac:dyDescent="0.3">
      <c r="A101" vm="200">
        <f ca="1"/>
        <v>45315</v>
      </c>
      <c r="B101" s="4" vm="201">
        <f ca="1"/>
        <v>21453.95</v>
      </c>
      <c r="C101" s="7">
        <f t="shared" ca="1" si="1"/>
        <v>1.0130045011959243E-2</v>
      </c>
    </row>
    <row r="102" spans="1:3" x14ac:dyDescent="0.3">
      <c r="A102" vm="202">
        <f ca="1"/>
        <v>45316</v>
      </c>
      <c r="B102" s="4" vm="203">
        <f ca="1"/>
        <v>21352.6</v>
      </c>
      <c r="C102" s="7">
        <f t="shared" ca="1" si="1"/>
        <v>-4.7240717909756702E-3</v>
      </c>
    </row>
    <row r="103" spans="1:3" x14ac:dyDescent="0.3">
      <c r="A103" vm="204">
        <f ca="1"/>
        <v>45320</v>
      </c>
      <c r="B103" s="4" vm="205">
        <f ca="1"/>
        <v>21737.599999999999</v>
      </c>
      <c r="C103" s="7">
        <f t="shared" ca="1" si="1"/>
        <v>1.8030591122392581E-2</v>
      </c>
    </row>
    <row r="104" spans="1:3" x14ac:dyDescent="0.3">
      <c r="A104" vm="206">
        <f ca="1"/>
        <v>45321</v>
      </c>
      <c r="B104" s="4" vm="207">
        <f ca="1"/>
        <v>21522.1</v>
      </c>
      <c r="C104" s="7">
        <f t="shared" ca="1" si="1"/>
        <v>-9.9136979243338308E-3</v>
      </c>
    </row>
    <row r="105" spans="1:3" x14ac:dyDescent="0.3">
      <c r="A105" vm="208">
        <f ca="1"/>
        <v>45322</v>
      </c>
      <c r="B105" s="4" vm="209">
        <f ca="1"/>
        <v>21725.7</v>
      </c>
      <c r="C105" s="7">
        <f t="shared" ca="1" si="1"/>
        <v>9.4600433972522602E-3</v>
      </c>
    </row>
    <row r="106" spans="1:3" x14ac:dyDescent="0.3">
      <c r="A106" vm="210">
        <f ca="1"/>
        <v>45323</v>
      </c>
      <c r="B106" s="4" vm="211">
        <f ca="1"/>
        <v>21697.45</v>
      </c>
      <c r="C106" s="7">
        <f t="shared" ca="1" si="1"/>
        <v>-1.3003033273956133E-3</v>
      </c>
    </row>
    <row r="107" spans="1:3" x14ac:dyDescent="0.3">
      <c r="A107" vm="212">
        <f ca="1"/>
        <v>45324</v>
      </c>
      <c r="B107" s="4" vm="213">
        <f ca="1"/>
        <v>21853.8</v>
      </c>
      <c r="C107" s="7">
        <f t="shared" ca="1" si="1"/>
        <v>7.2059159025599229E-3</v>
      </c>
    </row>
    <row r="108" spans="1:3" x14ac:dyDescent="0.3">
      <c r="A108" vm="214">
        <f ca="1"/>
        <v>45327</v>
      </c>
      <c r="B108" s="4" vm="215">
        <f ca="1"/>
        <v>21771.7</v>
      </c>
      <c r="C108" s="7">
        <f t="shared" ca="1" si="1"/>
        <v>-3.756783717248191E-3</v>
      </c>
    </row>
    <row r="109" spans="1:3" x14ac:dyDescent="0.3">
      <c r="A109" vm="216">
        <f ca="1"/>
        <v>45328</v>
      </c>
      <c r="B109" s="4" vm="217">
        <f ca="1"/>
        <v>21929.4</v>
      </c>
      <c r="C109" s="7">
        <f t="shared" ca="1" si="1"/>
        <v>7.2433480160023489E-3</v>
      </c>
    </row>
    <row r="110" spans="1:3" x14ac:dyDescent="0.3">
      <c r="A110" vm="218">
        <f ca="1"/>
        <v>45329</v>
      </c>
      <c r="B110" s="4" vm="219">
        <f ca="1"/>
        <v>21930.5</v>
      </c>
      <c r="C110" s="7">
        <f t="shared" ca="1" si="1"/>
        <v>5.0160971116319786E-5</v>
      </c>
    </row>
    <row r="111" spans="1:3" x14ac:dyDescent="0.3">
      <c r="A111" vm="220">
        <f ca="1"/>
        <v>45330</v>
      </c>
      <c r="B111" s="4" vm="221">
        <f ca="1"/>
        <v>21717.95</v>
      </c>
      <c r="C111" s="7">
        <f t="shared" ca="1" si="1"/>
        <v>-9.6919814869701471E-3</v>
      </c>
    </row>
    <row r="112" spans="1:3" x14ac:dyDescent="0.3">
      <c r="A112" vm="222">
        <f ca="1"/>
        <v>45331</v>
      </c>
      <c r="B112" s="4" vm="223">
        <f ca="1"/>
        <v>21782.5</v>
      </c>
      <c r="C112" s="7">
        <f t="shared" ca="1" si="1"/>
        <v>2.9721958103781088E-3</v>
      </c>
    </row>
    <row r="113" spans="1:3" x14ac:dyDescent="0.3">
      <c r="A113" vm="224">
        <f ca="1"/>
        <v>45334</v>
      </c>
      <c r="B113" s="4" vm="225">
        <f ca="1"/>
        <v>21616.05</v>
      </c>
      <c r="C113" s="7">
        <f t="shared" ca="1" si="1"/>
        <v>-7.6414552966831417E-3</v>
      </c>
    </row>
    <row r="114" spans="1:3" x14ac:dyDescent="0.3">
      <c r="A114" vm="226">
        <f ca="1"/>
        <v>45335</v>
      </c>
      <c r="B114" s="4" vm="227">
        <f ca="1"/>
        <v>21743.25</v>
      </c>
      <c r="C114" s="7">
        <f t="shared" ca="1" si="1"/>
        <v>5.8845163663112654E-3</v>
      </c>
    </row>
    <row r="115" spans="1:3" x14ac:dyDescent="0.3">
      <c r="A115" vm="228">
        <f ca="1"/>
        <v>45336</v>
      </c>
      <c r="B115" s="4" vm="229">
        <f ca="1"/>
        <v>21840.05</v>
      </c>
      <c r="C115" s="7">
        <f t="shared" ca="1" si="1"/>
        <v>4.4519563542708696E-3</v>
      </c>
    </row>
    <row r="116" spans="1:3" x14ac:dyDescent="0.3">
      <c r="A116" vm="230">
        <f ca="1"/>
        <v>45337</v>
      </c>
      <c r="B116" s="4" vm="231">
        <f ca="1"/>
        <v>21910.75</v>
      </c>
      <c r="C116" s="7">
        <f t="shared" ca="1" si="1"/>
        <v>3.2371720760713263E-3</v>
      </c>
    </row>
    <row r="117" spans="1:3" x14ac:dyDescent="0.3">
      <c r="A117" vm="232">
        <f ca="1"/>
        <v>45338</v>
      </c>
      <c r="B117" s="4" vm="233">
        <f ca="1"/>
        <v>22040.7</v>
      </c>
      <c r="C117" s="7">
        <f t="shared" ca="1" si="1"/>
        <v>5.9308786782743539E-3</v>
      </c>
    </row>
    <row r="118" spans="1:3" x14ac:dyDescent="0.3">
      <c r="A118" vm="234">
        <f ca="1"/>
        <v>45341</v>
      </c>
      <c r="B118" s="4" vm="235">
        <f ca="1"/>
        <v>22122.25</v>
      </c>
      <c r="C118" s="7">
        <f t="shared" ca="1" si="1"/>
        <v>3.6999732313400813E-3</v>
      </c>
    </row>
    <row r="119" spans="1:3" x14ac:dyDescent="0.3">
      <c r="A119" vm="236">
        <f ca="1"/>
        <v>45342</v>
      </c>
      <c r="B119" s="4" vm="237">
        <f ca="1"/>
        <v>22196.95</v>
      </c>
      <c r="C119" s="7">
        <f t="shared" ca="1" si="1"/>
        <v>3.3766908881329716E-3</v>
      </c>
    </row>
    <row r="120" spans="1:3" x14ac:dyDescent="0.3">
      <c r="A120" vm="238">
        <f ca="1"/>
        <v>45343</v>
      </c>
      <c r="B120" s="4" vm="239">
        <f ca="1"/>
        <v>22055.05</v>
      </c>
      <c r="C120" s="7">
        <f t="shared" ca="1" si="1"/>
        <v>-6.3927701778848656E-3</v>
      </c>
    </row>
    <row r="121" spans="1:3" x14ac:dyDescent="0.3">
      <c r="A121" vm="240">
        <f ca="1"/>
        <v>45344</v>
      </c>
      <c r="B121" s="4" vm="241">
        <f ca="1"/>
        <v>22217.45</v>
      </c>
      <c r="C121" s="7">
        <f t="shared" ca="1" si="1"/>
        <v>7.3633929644232321E-3</v>
      </c>
    </row>
    <row r="122" spans="1:3" x14ac:dyDescent="0.3">
      <c r="A122" vm="242">
        <f ca="1"/>
        <v>45345</v>
      </c>
      <c r="B122" s="4" vm="243">
        <f ca="1"/>
        <v>22212.7</v>
      </c>
      <c r="C122" s="7">
        <f t="shared" ca="1" si="1"/>
        <v>-2.1379591267223219E-4</v>
      </c>
    </row>
    <row r="123" spans="1:3" x14ac:dyDescent="0.3">
      <c r="A123" vm="244">
        <f ca="1"/>
        <v>45348</v>
      </c>
      <c r="B123" s="4" vm="245">
        <f ca="1"/>
        <v>22122.05</v>
      </c>
      <c r="C123" s="7">
        <f t="shared" ca="1" si="1"/>
        <v>-4.0809987079464261E-3</v>
      </c>
    </row>
    <row r="124" spans="1:3" x14ac:dyDescent="0.3">
      <c r="A124" vm="246">
        <f ca="1"/>
        <v>45349</v>
      </c>
      <c r="B124" s="4" vm="247">
        <f ca="1"/>
        <v>22198.35</v>
      </c>
      <c r="C124" s="7">
        <f t="shared" ca="1" si="1"/>
        <v>3.4490474436139618E-3</v>
      </c>
    </row>
    <row r="125" spans="1:3" x14ac:dyDescent="0.3">
      <c r="A125" vm="248">
        <f ca="1"/>
        <v>45350</v>
      </c>
      <c r="B125" s="4" vm="249">
        <f ca="1"/>
        <v>21951.15</v>
      </c>
      <c r="C125" s="7">
        <f t="shared" ca="1" si="1"/>
        <v>-1.1135962808046407E-2</v>
      </c>
    </row>
    <row r="126" spans="1:3" x14ac:dyDescent="0.3">
      <c r="A126" vm="250">
        <f ca="1"/>
        <v>45351</v>
      </c>
      <c r="B126" s="4" vm="251">
        <f ca="1"/>
        <v>21982.799999999999</v>
      </c>
      <c r="C126" s="7">
        <f t="shared" ca="1" si="1"/>
        <v>1.4418378991531977E-3</v>
      </c>
    </row>
    <row r="127" spans="1:3" x14ac:dyDescent="0.3">
      <c r="A127" vm="252">
        <f ca="1"/>
        <v>45352</v>
      </c>
      <c r="B127" s="4" vm="253">
        <f ca="1"/>
        <v>22338.75</v>
      </c>
      <c r="C127" s="7">
        <f t="shared" ca="1" si="1"/>
        <v>1.6192204814673428E-2</v>
      </c>
    </row>
    <row r="128" spans="1:3" x14ac:dyDescent="0.3">
      <c r="A128" vm="254">
        <f ca="1"/>
        <v>45353</v>
      </c>
      <c r="B128" s="4" vm="255">
        <f ca="1"/>
        <v>22378.400000000001</v>
      </c>
      <c r="C128" s="7">
        <f t="shared" ca="1" si="1"/>
        <v>1.7749426445079486E-3</v>
      </c>
    </row>
    <row r="129" spans="1:3" x14ac:dyDescent="0.3">
      <c r="A129" vm="256">
        <f ca="1"/>
        <v>45355</v>
      </c>
      <c r="B129" s="4" vm="257">
        <f ca="1"/>
        <v>22405.599999999999</v>
      </c>
      <c r="C129" s="7">
        <f t="shared" ca="1" si="1"/>
        <v>1.2154577628427088E-3</v>
      </c>
    </row>
    <row r="130" spans="1:3" x14ac:dyDescent="0.3">
      <c r="A130" vm="258">
        <f ca="1"/>
        <v>45356</v>
      </c>
      <c r="B130" s="4" vm="259">
        <f ca="1"/>
        <v>22356.3</v>
      </c>
      <c r="C130" s="7">
        <f t="shared" ca="1" si="1"/>
        <v>-2.2003427714499812E-3</v>
      </c>
    </row>
    <row r="131" spans="1:3" x14ac:dyDescent="0.3">
      <c r="A131" vm="260">
        <f ca="1"/>
        <v>45357</v>
      </c>
      <c r="B131" s="4" vm="261">
        <f ca="1"/>
        <v>22474.05</v>
      </c>
      <c r="C131" s="7">
        <f t="shared" ca="1" si="1"/>
        <v>5.2669717260906967E-3</v>
      </c>
    </row>
    <row r="132" spans="1:3" x14ac:dyDescent="0.3">
      <c r="A132" vm="262">
        <f ca="1"/>
        <v>45358</v>
      </c>
      <c r="B132" s="4" vm="263">
        <f ca="1"/>
        <v>22493.55</v>
      </c>
      <c r="C132" s="7">
        <f t="shared" ref="C132:C195" ca="1" si="2">B132/B131-1</f>
        <v>8.6766737637411495E-4</v>
      </c>
    </row>
    <row r="133" spans="1:3" x14ac:dyDescent="0.3">
      <c r="A133" vm="264">
        <f ca="1"/>
        <v>45362</v>
      </c>
      <c r="B133" s="4" vm="265">
        <f ca="1"/>
        <v>22332.65</v>
      </c>
      <c r="C133" s="7">
        <f t="shared" ca="1" si="2"/>
        <v>-7.1531616841271628E-3</v>
      </c>
    </row>
    <row r="134" spans="1:3" x14ac:dyDescent="0.3">
      <c r="A134" vm="266">
        <f ca="1"/>
        <v>45363</v>
      </c>
      <c r="B134" s="4" vm="267">
        <f ca="1"/>
        <v>22335.7</v>
      </c>
      <c r="C134" s="7">
        <f t="shared" ca="1" si="2"/>
        <v>1.3657134285449679E-4</v>
      </c>
    </row>
    <row r="135" spans="1:3" x14ac:dyDescent="0.3">
      <c r="A135" vm="268">
        <f ca="1"/>
        <v>45364</v>
      </c>
      <c r="B135" s="4" vm="269">
        <f ca="1"/>
        <v>21997.7</v>
      </c>
      <c r="C135" s="7">
        <f t="shared" ca="1" si="2"/>
        <v>-1.5132724741109493E-2</v>
      </c>
    </row>
    <row r="136" spans="1:3" x14ac:dyDescent="0.3">
      <c r="A136" vm="270">
        <f ca="1"/>
        <v>45365</v>
      </c>
      <c r="B136" s="4" vm="271">
        <f ca="1"/>
        <v>22146.65</v>
      </c>
      <c r="C136" s="7">
        <f t="shared" ca="1" si="2"/>
        <v>6.7711624397095438E-3</v>
      </c>
    </row>
    <row r="137" spans="1:3" x14ac:dyDescent="0.3">
      <c r="A137" vm="272">
        <f ca="1"/>
        <v>45366</v>
      </c>
      <c r="B137" s="4" vm="273">
        <f ca="1"/>
        <v>22023.35</v>
      </c>
      <c r="C137" s="7">
        <f t="shared" ca="1" si="2"/>
        <v>-5.5674334493028832E-3</v>
      </c>
    </row>
    <row r="138" spans="1:3" x14ac:dyDescent="0.3">
      <c r="A138" vm="274">
        <f ca="1"/>
        <v>45369</v>
      </c>
      <c r="B138" s="4" vm="275">
        <f ca="1"/>
        <v>22055.7</v>
      </c>
      <c r="C138" s="7">
        <f t="shared" ca="1" si="2"/>
        <v>1.4688955131714199E-3</v>
      </c>
    </row>
    <row r="139" spans="1:3" x14ac:dyDescent="0.3">
      <c r="A139" vm="276">
        <f ca="1"/>
        <v>45370</v>
      </c>
      <c r="B139" s="4" vm="277">
        <f ca="1"/>
        <v>21817.45</v>
      </c>
      <c r="C139" s="7">
        <f t="shared" ca="1" si="2"/>
        <v>-1.0802196257656771E-2</v>
      </c>
    </row>
    <row r="140" spans="1:3" x14ac:dyDescent="0.3">
      <c r="A140" vm="278">
        <f ca="1"/>
        <v>45371</v>
      </c>
      <c r="B140" s="4" vm="279">
        <f ca="1"/>
        <v>21839.1</v>
      </c>
      <c r="C140" s="7">
        <f t="shared" ca="1" si="2"/>
        <v>9.9232495089940365E-4</v>
      </c>
    </row>
    <row r="141" spans="1:3" x14ac:dyDescent="0.3">
      <c r="A141" vm="280">
        <f ca="1"/>
        <v>45372</v>
      </c>
      <c r="B141" s="4" vm="281">
        <f ca="1"/>
        <v>22011.95</v>
      </c>
      <c r="C141" s="7">
        <f t="shared" ca="1" si="2"/>
        <v>7.9147034447391018E-3</v>
      </c>
    </row>
    <row r="142" spans="1:3" x14ac:dyDescent="0.3">
      <c r="A142" vm="282">
        <f ca="1"/>
        <v>45373</v>
      </c>
      <c r="B142" s="4" vm="283">
        <f ca="1"/>
        <v>22096.75</v>
      </c>
      <c r="C142" s="7">
        <f t="shared" ca="1" si="2"/>
        <v>3.8524528721899376E-3</v>
      </c>
    </row>
    <row r="143" spans="1:3" x14ac:dyDescent="0.3">
      <c r="A143" vm="284">
        <f ca="1"/>
        <v>45377</v>
      </c>
      <c r="B143" s="4" vm="285">
        <f ca="1"/>
        <v>22004.7</v>
      </c>
      <c r="C143" s="7">
        <f t="shared" ca="1" si="2"/>
        <v>-4.1657709844207247E-3</v>
      </c>
    </row>
    <row r="144" spans="1:3" x14ac:dyDescent="0.3">
      <c r="A144" vm="286">
        <f ca="1"/>
        <v>45378</v>
      </c>
      <c r="B144" s="4" vm="287">
        <f ca="1"/>
        <v>22123.65</v>
      </c>
      <c r="C144" s="7">
        <f t="shared" ca="1" si="2"/>
        <v>5.4056633355601402E-3</v>
      </c>
    </row>
    <row r="145" spans="1:3" x14ac:dyDescent="0.3">
      <c r="A145" vm="288">
        <f ca="1"/>
        <v>45379</v>
      </c>
      <c r="B145" s="4" vm="289">
        <f ca="1"/>
        <v>22326.9</v>
      </c>
      <c r="C145" s="7">
        <f t="shared" ca="1" si="2"/>
        <v>9.1870012407537782E-3</v>
      </c>
    </row>
    <row r="146" spans="1:3" x14ac:dyDescent="0.3">
      <c r="A146" vm="290">
        <f ca="1"/>
        <v>45383</v>
      </c>
      <c r="B146" s="4" vm="291">
        <f ca="1"/>
        <v>22462</v>
      </c>
      <c r="C146" s="7">
        <f t="shared" ca="1" si="2"/>
        <v>6.0509967796693598E-3</v>
      </c>
    </row>
    <row r="147" spans="1:3" x14ac:dyDescent="0.3">
      <c r="A147" vm="292">
        <f ca="1"/>
        <v>45384</v>
      </c>
      <c r="B147" s="4" vm="293">
        <f ca="1"/>
        <v>22453.3</v>
      </c>
      <c r="C147" s="7">
        <f t="shared" ca="1" si="2"/>
        <v>-3.8732080847658779E-4</v>
      </c>
    </row>
    <row r="148" spans="1:3" x14ac:dyDescent="0.3">
      <c r="A148" vm="294">
        <f ca="1"/>
        <v>45385</v>
      </c>
      <c r="B148" s="4" vm="295">
        <f ca="1"/>
        <v>22434.65</v>
      </c>
      <c r="C148" s="7">
        <f t="shared" ca="1" si="2"/>
        <v>-8.306128720498851E-4</v>
      </c>
    </row>
    <row r="149" spans="1:3" x14ac:dyDescent="0.3">
      <c r="A149" vm="296">
        <f ca="1"/>
        <v>45386</v>
      </c>
      <c r="B149" s="4" vm="297">
        <f ca="1"/>
        <v>22514.65</v>
      </c>
      <c r="C149" s="7">
        <f t="shared" ca="1" si="2"/>
        <v>3.5659125504521327E-3</v>
      </c>
    </row>
    <row r="150" spans="1:3" x14ac:dyDescent="0.3">
      <c r="A150" vm="298">
        <f ca="1"/>
        <v>45387</v>
      </c>
      <c r="B150" s="4" vm="299">
        <f ca="1"/>
        <v>22513.7</v>
      </c>
      <c r="C150" s="7">
        <f t="shared" ca="1" si="2"/>
        <v>-4.2194748752555356E-5</v>
      </c>
    </row>
    <row r="151" spans="1:3" x14ac:dyDescent="0.3">
      <c r="A151" vm="300">
        <f ca="1"/>
        <v>45390</v>
      </c>
      <c r="B151" s="4" vm="301">
        <f ca="1"/>
        <v>22666.3</v>
      </c>
      <c r="C151" s="7">
        <f t="shared" ca="1" si="2"/>
        <v>6.7780951154186031E-3</v>
      </c>
    </row>
    <row r="152" spans="1:3" x14ac:dyDescent="0.3">
      <c r="A152" vm="302">
        <f ca="1"/>
        <v>45391</v>
      </c>
      <c r="B152" s="4" vm="303">
        <f ca="1"/>
        <v>22642.75</v>
      </c>
      <c r="C152" s="7">
        <f t="shared" ca="1" si="2"/>
        <v>-1.0389873953843276E-3</v>
      </c>
    </row>
    <row r="153" spans="1:3" x14ac:dyDescent="0.3">
      <c r="A153" vm="304">
        <f ca="1"/>
        <v>45392</v>
      </c>
      <c r="B153" s="4" vm="305">
        <f ca="1"/>
        <v>22753.8</v>
      </c>
      <c r="C153" s="7">
        <f t="shared" ca="1" si="2"/>
        <v>4.904439610913025E-3</v>
      </c>
    </row>
    <row r="154" spans="1:3" x14ac:dyDescent="0.3">
      <c r="A154" vm="306">
        <f ca="1"/>
        <v>45394</v>
      </c>
      <c r="B154" s="4" vm="307">
        <f ca="1"/>
        <v>22519.4</v>
      </c>
      <c r="C154" s="7">
        <f t="shared" ca="1" si="2"/>
        <v>-1.0301576000492085E-2</v>
      </c>
    </row>
    <row r="155" spans="1:3" x14ac:dyDescent="0.3">
      <c r="A155" vm="308">
        <f ca="1"/>
        <v>45397</v>
      </c>
      <c r="B155" s="4" vm="309">
        <f ca="1"/>
        <v>22272.5</v>
      </c>
      <c r="C155" s="7">
        <f t="shared" ca="1" si="2"/>
        <v>-1.0963880032327733E-2</v>
      </c>
    </row>
    <row r="156" spans="1:3" x14ac:dyDescent="0.3">
      <c r="A156" vm="310">
        <f ca="1"/>
        <v>45398</v>
      </c>
      <c r="B156" s="4" vm="311">
        <f ca="1"/>
        <v>22147.9</v>
      </c>
      <c r="C156" s="7">
        <f t="shared" ca="1" si="2"/>
        <v>-5.5943427994162853E-3</v>
      </c>
    </row>
    <row r="157" spans="1:3" x14ac:dyDescent="0.3">
      <c r="A157" vm="312">
        <f ca="1"/>
        <v>45400</v>
      </c>
      <c r="B157" s="4" vm="313">
        <f ca="1"/>
        <v>21995.85</v>
      </c>
      <c r="C157" s="7">
        <f t="shared" ca="1" si="2"/>
        <v>-6.8652106971768267E-3</v>
      </c>
    </row>
    <row r="158" spans="1:3" x14ac:dyDescent="0.3">
      <c r="A158" vm="314">
        <f ca="1"/>
        <v>45401</v>
      </c>
      <c r="B158" s="4" vm="315">
        <f ca="1"/>
        <v>22147</v>
      </c>
      <c r="C158" s="7">
        <f t="shared" ca="1" si="2"/>
        <v>6.8717508075386569E-3</v>
      </c>
    </row>
    <row r="159" spans="1:3" x14ac:dyDescent="0.3">
      <c r="A159" vm="316">
        <f ca="1"/>
        <v>45404</v>
      </c>
      <c r="B159" s="4" vm="317">
        <f ca="1"/>
        <v>22336.400000000001</v>
      </c>
      <c r="C159" s="7">
        <f t="shared" ca="1" si="2"/>
        <v>8.5519483451483858E-3</v>
      </c>
    </row>
    <row r="160" spans="1:3" x14ac:dyDescent="0.3">
      <c r="A160" vm="318">
        <f ca="1"/>
        <v>45405</v>
      </c>
      <c r="B160" s="4" vm="319">
        <f ca="1"/>
        <v>22368</v>
      </c>
      <c r="C160" s="7">
        <f t="shared" ca="1" si="2"/>
        <v>1.4147311115488836E-3</v>
      </c>
    </row>
    <row r="161" spans="1:3" x14ac:dyDescent="0.3">
      <c r="A161" vm="320">
        <f ca="1"/>
        <v>45406</v>
      </c>
      <c r="B161" s="4" vm="321">
        <f ca="1"/>
        <v>22402.400000000001</v>
      </c>
      <c r="C161" s="7">
        <f t="shared" ca="1" si="2"/>
        <v>1.5379113018598733E-3</v>
      </c>
    </row>
    <row r="162" spans="1:3" x14ac:dyDescent="0.3">
      <c r="A162" vm="322">
        <f ca="1"/>
        <v>45407</v>
      </c>
      <c r="B162" s="4" vm="323">
        <f ca="1"/>
        <v>22570.35</v>
      </c>
      <c r="C162" s="7">
        <f t="shared" ca="1" si="2"/>
        <v>7.496964610934409E-3</v>
      </c>
    </row>
    <row r="163" spans="1:3" x14ac:dyDescent="0.3">
      <c r="A163" vm="324">
        <f ca="1"/>
        <v>45408</v>
      </c>
      <c r="B163" s="4" vm="325">
        <f ca="1"/>
        <v>22419.95</v>
      </c>
      <c r="C163" s="7">
        <f t="shared" ca="1" si="2"/>
        <v>-6.6636095585579369E-3</v>
      </c>
    </row>
    <row r="164" spans="1:3" x14ac:dyDescent="0.3">
      <c r="A164" vm="326">
        <f ca="1"/>
        <v>45411</v>
      </c>
      <c r="B164" s="4" vm="327">
        <f ca="1"/>
        <v>22643.4</v>
      </c>
      <c r="C164" s="7">
        <f t="shared" ca="1" si="2"/>
        <v>9.9665699522077933E-3</v>
      </c>
    </row>
    <row r="165" spans="1:3" x14ac:dyDescent="0.3">
      <c r="A165" vm="328">
        <f ca="1"/>
        <v>45412</v>
      </c>
      <c r="B165" s="4" vm="329">
        <f ca="1"/>
        <v>22604.85</v>
      </c>
      <c r="C165" s="7">
        <f t="shared" ca="1" si="2"/>
        <v>-1.7024828426828176E-3</v>
      </c>
    </row>
    <row r="166" spans="1:3" x14ac:dyDescent="0.3">
      <c r="A166" vm="330">
        <f ca="1"/>
        <v>45414</v>
      </c>
      <c r="B166" s="4" vm="331">
        <f ca="1"/>
        <v>22648.2</v>
      </c>
      <c r="C166" s="7">
        <f t="shared" ca="1" si="2"/>
        <v>1.917730044658672E-3</v>
      </c>
    </row>
    <row r="167" spans="1:3" x14ac:dyDescent="0.3">
      <c r="A167" vm="332">
        <f ca="1"/>
        <v>45415</v>
      </c>
      <c r="B167" s="4" vm="333">
        <f ca="1"/>
        <v>22475.85</v>
      </c>
      <c r="C167" s="7">
        <f t="shared" ca="1" si="2"/>
        <v>-7.6098762815588472E-3</v>
      </c>
    </row>
    <row r="168" spans="1:3" x14ac:dyDescent="0.3">
      <c r="A168" vm="334">
        <f ca="1"/>
        <v>45418</v>
      </c>
      <c r="B168" s="4" vm="335">
        <f ca="1"/>
        <v>22442.7</v>
      </c>
      <c r="C168" s="7">
        <f t="shared" ca="1" si="2"/>
        <v>-1.4749164102803025E-3</v>
      </c>
    </row>
    <row r="169" spans="1:3" x14ac:dyDescent="0.3">
      <c r="A169" vm="336">
        <f ca="1"/>
        <v>45419</v>
      </c>
      <c r="B169" s="4" vm="337">
        <f ca="1"/>
        <v>22302.5</v>
      </c>
      <c r="C169" s="7">
        <f t="shared" ca="1" si="2"/>
        <v>-6.2470201891929866E-3</v>
      </c>
    </row>
    <row r="170" spans="1:3" x14ac:dyDescent="0.3">
      <c r="A170" vm="338">
        <f ca="1"/>
        <v>45420</v>
      </c>
      <c r="B170" s="4" vm="337">
        <f ca="1"/>
        <v>22302.5</v>
      </c>
      <c r="C170" s="7">
        <f t="shared" ca="1" si="2"/>
        <v>0</v>
      </c>
    </row>
    <row r="171" spans="1:3" x14ac:dyDescent="0.3">
      <c r="A171" vm="339">
        <f ca="1"/>
        <v>45421</v>
      </c>
      <c r="B171" s="4" vm="340">
        <f ca="1"/>
        <v>21957.5</v>
      </c>
      <c r="C171" s="7">
        <f t="shared" ca="1" si="2"/>
        <v>-1.546911781190452E-2</v>
      </c>
    </row>
    <row r="172" spans="1:3" x14ac:dyDescent="0.3">
      <c r="A172" vm="341">
        <f ca="1"/>
        <v>45422</v>
      </c>
      <c r="B172" s="4" vm="342">
        <f ca="1"/>
        <v>22055.200000000001</v>
      </c>
      <c r="C172" s="7">
        <f t="shared" ca="1" si="2"/>
        <v>4.4495047250370234E-3</v>
      </c>
    </row>
    <row r="173" spans="1:3" x14ac:dyDescent="0.3">
      <c r="A173" vm="343">
        <f ca="1"/>
        <v>45425</v>
      </c>
      <c r="B173" s="4" vm="344">
        <f ca="1"/>
        <v>22104.05</v>
      </c>
      <c r="C173" s="7">
        <f t="shared" ca="1" si="2"/>
        <v>2.2148971671078765E-3</v>
      </c>
    </row>
    <row r="174" spans="1:3" x14ac:dyDescent="0.3">
      <c r="A174" vm="345">
        <f ca="1"/>
        <v>45426</v>
      </c>
      <c r="B174" s="4" vm="346">
        <f ca="1"/>
        <v>22217.85</v>
      </c>
      <c r="C174" s="7">
        <f t="shared" ca="1" si="2"/>
        <v>5.1483777859713253E-3</v>
      </c>
    </row>
    <row r="175" spans="1:3" x14ac:dyDescent="0.3">
      <c r="A175" vm="347">
        <f ca="1"/>
        <v>45427</v>
      </c>
      <c r="B175" s="4" vm="348">
        <f ca="1"/>
        <v>22200.55</v>
      </c>
      <c r="C175" s="7">
        <f t="shared" ca="1" si="2"/>
        <v>-7.7865320001702099E-4</v>
      </c>
    </row>
    <row r="176" spans="1:3" x14ac:dyDescent="0.3">
      <c r="A176" vm="349">
        <f ca="1"/>
        <v>45428</v>
      </c>
      <c r="B176" s="4" vm="350">
        <f ca="1"/>
        <v>22403.85</v>
      </c>
      <c r="C176" s="7">
        <f t="shared" ca="1" si="2"/>
        <v>9.1574307843724778E-3</v>
      </c>
    </row>
    <row r="177" spans="1:3" x14ac:dyDescent="0.3">
      <c r="A177" vm="351">
        <f ca="1"/>
        <v>45429</v>
      </c>
      <c r="B177" s="4" vm="352">
        <f ca="1"/>
        <v>22466.1</v>
      </c>
      <c r="C177" s="7">
        <f t="shared" ca="1" si="2"/>
        <v>2.7785402955295968E-3</v>
      </c>
    </row>
    <row r="178" spans="1:3" x14ac:dyDescent="0.3">
      <c r="A178" vm="353">
        <f ca="1"/>
        <v>45430</v>
      </c>
      <c r="B178" s="4" vm="354">
        <f ca="1"/>
        <v>22502</v>
      </c>
      <c r="C178" s="7">
        <f t="shared" ca="1" si="2"/>
        <v>1.5979631533733496E-3</v>
      </c>
    </row>
    <row r="179" spans="1:3" x14ac:dyDescent="0.3">
      <c r="A179" vm="355">
        <f ca="1"/>
        <v>45433</v>
      </c>
      <c r="B179" s="4" vm="356">
        <f ca="1"/>
        <v>22529.05</v>
      </c>
      <c r="C179" s="7">
        <f t="shared" ca="1" si="2"/>
        <v>1.2021153675227936E-3</v>
      </c>
    </row>
    <row r="180" spans="1:3" x14ac:dyDescent="0.3">
      <c r="A180" vm="357">
        <f ca="1"/>
        <v>45434</v>
      </c>
      <c r="B180" s="4" vm="358">
        <f ca="1"/>
        <v>22597.8</v>
      </c>
      <c r="C180" s="7">
        <f t="shared" ca="1" si="2"/>
        <v>3.0516155807722711E-3</v>
      </c>
    </row>
    <row r="181" spans="1:3" x14ac:dyDescent="0.3">
      <c r="A181" vm="359">
        <f ca="1"/>
        <v>45435</v>
      </c>
      <c r="B181" s="4" vm="360">
        <f ca="1"/>
        <v>22967.65</v>
      </c>
      <c r="C181" s="7">
        <f t="shared" ca="1" si="2"/>
        <v>1.6366637460283773E-2</v>
      </c>
    </row>
    <row r="182" spans="1:3" x14ac:dyDescent="0.3">
      <c r="A182" vm="361">
        <f ca="1"/>
        <v>45436</v>
      </c>
      <c r="B182" s="4" vm="362">
        <f ca="1"/>
        <v>22957.1</v>
      </c>
      <c r="C182" s="7">
        <f t="shared" ca="1" si="2"/>
        <v>-4.5934172629780168E-4</v>
      </c>
    </row>
    <row r="183" spans="1:3" x14ac:dyDescent="0.3">
      <c r="A183" vm="363">
        <f ca="1"/>
        <v>45439</v>
      </c>
      <c r="B183" s="4" vm="364">
        <f ca="1"/>
        <v>22932.45</v>
      </c>
      <c r="C183" s="7">
        <f t="shared" ca="1" si="2"/>
        <v>-1.073741892486324E-3</v>
      </c>
    </row>
    <row r="184" spans="1:3" x14ac:dyDescent="0.3">
      <c r="A184" vm="365">
        <f ca="1"/>
        <v>45440</v>
      </c>
      <c r="B184" s="4" vm="366">
        <f ca="1"/>
        <v>22888.15</v>
      </c>
      <c r="C184" s="7">
        <f t="shared" ca="1" si="2"/>
        <v>-1.9317604529824894E-3</v>
      </c>
    </row>
    <row r="185" spans="1:3" x14ac:dyDescent="0.3">
      <c r="A185" vm="367">
        <f ca="1"/>
        <v>45441</v>
      </c>
      <c r="B185" s="4" vm="368">
        <f ca="1"/>
        <v>22704.7</v>
      </c>
      <c r="C185" s="7">
        <f t="shared" ca="1" si="2"/>
        <v>-8.015064563977492E-3</v>
      </c>
    </row>
    <row r="186" spans="1:3" x14ac:dyDescent="0.3">
      <c r="A186" vm="369">
        <f ca="1"/>
        <v>45442</v>
      </c>
      <c r="B186" s="4" vm="370">
        <f ca="1"/>
        <v>22488.65</v>
      </c>
      <c r="C186" s="7">
        <f t="shared" ca="1" si="2"/>
        <v>-9.515650944518117E-3</v>
      </c>
    </row>
    <row r="187" spans="1:3" x14ac:dyDescent="0.3">
      <c r="A187" vm="371">
        <f ca="1"/>
        <v>45443</v>
      </c>
      <c r="B187" s="4" vm="372">
        <f ca="1"/>
        <v>22530.7</v>
      </c>
      <c r="C187" s="7">
        <f t="shared" ca="1" si="2"/>
        <v>1.8698321153114428E-3</v>
      </c>
    </row>
    <row r="188" spans="1:3" x14ac:dyDescent="0.3">
      <c r="A188" vm="373">
        <f ca="1"/>
        <v>45446</v>
      </c>
      <c r="B188" s="4" vm="374">
        <f ca="1"/>
        <v>23263.9</v>
      </c>
      <c r="C188" s="7">
        <f t="shared" ca="1" si="2"/>
        <v>3.2542264554585643E-2</v>
      </c>
    </row>
    <row r="189" spans="1:3" x14ac:dyDescent="0.3">
      <c r="A189" vm="375">
        <f ca="1"/>
        <v>45447</v>
      </c>
      <c r="B189" s="4" vm="376">
        <f ca="1"/>
        <v>21884.5</v>
      </c>
      <c r="C189" s="7">
        <f t="shared" ca="1" si="2"/>
        <v>-5.9293583620975032E-2</v>
      </c>
    </row>
    <row r="190" spans="1:3" x14ac:dyDescent="0.3">
      <c r="A190" vm="377">
        <f ca="1"/>
        <v>45448</v>
      </c>
      <c r="B190" s="4" vm="378">
        <f ca="1"/>
        <v>22620.35</v>
      </c>
      <c r="C190" s="7">
        <f t="shared" ca="1" si="2"/>
        <v>3.3624254609426751E-2</v>
      </c>
    </row>
    <row r="191" spans="1:3" x14ac:dyDescent="0.3">
      <c r="A191" vm="379">
        <f ca="1"/>
        <v>45449</v>
      </c>
      <c r="B191" s="4" vm="380">
        <f ca="1"/>
        <v>22821.4</v>
      </c>
      <c r="C191" s="7">
        <f t="shared" ca="1" si="2"/>
        <v>8.888014553267487E-3</v>
      </c>
    </row>
    <row r="192" spans="1:3" x14ac:dyDescent="0.3">
      <c r="A192" vm="381">
        <f ca="1"/>
        <v>45450</v>
      </c>
      <c r="B192" s="4" vm="382">
        <f ca="1"/>
        <v>23290.15</v>
      </c>
      <c r="C192" s="7">
        <f t="shared" ca="1" si="2"/>
        <v>2.0539931818380985E-2</v>
      </c>
    </row>
    <row r="193" spans="1:3" x14ac:dyDescent="0.3">
      <c r="A193" vm="383">
        <f ca="1"/>
        <v>45453</v>
      </c>
      <c r="B193" s="4" vm="384">
        <f ca="1"/>
        <v>23259.200000000001</v>
      </c>
      <c r="C193" s="7">
        <f t="shared" ca="1" si="2"/>
        <v>-1.3288879633664985E-3</v>
      </c>
    </row>
    <row r="194" spans="1:3" x14ac:dyDescent="0.3">
      <c r="A194" vm="385">
        <f ca="1"/>
        <v>45454</v>
      </c>
      <c r="B194" s="4" vm="386">
        <f ca="1"/>
        <v>23264.85</v>
      </c>
      <c r="C194" s="7">
        <f t="shared" ca="1" si="2"/>
        <v>2.4291463162962046E-4</v>
      </c>
    </row>
    <row r="195" spans="1:3" x14ac:dyDescent="0.3">
      <c r="A195" vm="387">
        <f ca="1"/>
        <v>45455</v>
      </c>
      <c r="B195" s="4" vm="388">
        <f ca="1"/>
        <v>23322.95</v>
      </c>
      <c r="C195" s="7">
        <f t="shared" ca="1" si="2"/>
        <v>2.4973296625596664E-3</v>
      </c>
    </row>
    <row r="196" spans="1:3" x14ac:dyDescent="0.3">
      <c r="A196" vm="389">
        <f ca="1"/>
        <v>45456</v>
      </c>
      <c r="B196" s="4" vm="390">
        <f ca="1"/>
        <v>23398.9</v>
      </c>
      <c r="C196" s="7">
        <f t="shared" ref="C196:C259" ca="1" si="3">B196/B195-1</f>
        <v>3.2564491198583401E-3</v>
      </c>
    </row>
    <row r="197" spans="1:3" x14ac:dyDescent="0.3">
      <c r="A197" vm="391">
        <f ca="1"/>
        <v>45457</v>
      </c>
      <c r="B197" s="4" vm="392">
        <f ca="1"/>
        <v>23465.599999999999</v>
      </c>
      <c r="C197" s="7">
        <f t="shared" ca="1" si="3"/>
        <v>2.8505613511744521E-3</v>
      </c>
    </row>
    <row r="198" spans="1:3" x14ac:dyDescent="0.3">
      <c r="A198" vm="393">
        <f ca="1"/>
        <v>45461</v>
      </c>
      <c r="B198" s="4" vm="394">
        <f ca="1"/>
        <v>23557.9</v>
      </c>
      <c r="C198" s="7">
        <f t="shared" ca="1" si="3"/>
        <v>3.933417428064967E-3</v>
      </c>
    </row>
    <row r="199" spans="1:3" x14ac:dyDescent="0.3">
      <c r="A199" vm="395">
        <f ca="1"/>
        <v>45462</v>
      </c>
      <c r="B199" s="4" vm="396">
        <f ca="1"/>
        <v>23516</v>
      </c>
      <c r="C199" s="7">
        <f t="shared" ca="1" si="3"/>
        <v>-1.7785965642099777E-3</v>
      </c>
    </row>
    <row r="200" spans="1:3" x14ac:dyDescent="0.3">
      <c r="A200" vm="397">
        <f ca="1"/>
        <v>45463</v>
      </c>
      <c r="B200" s="4" vm="398">
        <f ca="1"/>
        <v>23567</v>
      </c>
      <c r="C200" s="7">
        <f t="shared" ca="1" si="3"/>
        <v>2.1687361796223215E-3</v>
      </c>
    </row>
    <row r="201" spans="1:3" x14ac:dyDescent="0.3">
      <c r="A201" vm="399">
        <f ca="1"/>
        <v>45464</v>
      </c>
      <c r="B201" s="4" vm="400">
        <f ca="1"/>
        <v>23501.1</v>
      </c>
      <c r="C201" s="7">
        <f t="shared" ca="1" si="3"/>
        <v>-2.7962829380066001E-3</v>
      </c>
    </row>
    <row r="202" spans="1:3" x14ac:dyDescent="0.3">
      <c r="A202" vm="401">
        <f ca="1"/>
        <v>45467</v>
      </c>
      <c r="B202" s="4" vm="402">
        <f ca="1"/>
        <v>23537.85</v>
      </c>
      <c r="C202" s="7">
        <f t="shared" ca="1" si="3"/>
        <v>1.5637565901169825E-3</v>
      </c>
    </row>
    <row r="203" spans="1:3" x14ac:dyDescent="0.3">
      <c r="A203" vm="403">
        <f ca="1"/>
        <v>45468</v>
      </c>
      <c r="B203" s="4" vm="404">
        <f ca="1"/>
        <v>23721.3</v>
      </c>
      <c r="C203" s="7">
        <f t="shared" ca="1" si="3"/>
        <v>7.7938299377386944E-3</v>
      </c>
    </row>
    <row r="204" spans="1:3" x14ac:dyDescent="0.3">
      <c r="A204" vm="405">
        <f ca="1"/>
        <v>45469</v>
      </c>
      <c r="B204" s="4" vm="406">
        <f ca="1"/>
        <v>23868.799999999999</v>
      </c>
      <c r="C204" s="7">
        <f t="shared" ca="1" si="3"/>
        <v>6.2180403266263173E-3</v>
      </c>
    </row>
    <row r="205" spans="1:3" x14ac:dyDescent="0.3">
      <c r="A205" vm="407">
        <f ca="1"/>
        <v>45470</v>
      </c>
      <c r="B205" s="4" vm="408">
        <f ca="1"/>
        <v>24044.5</v>
      </c>
      <c r="C205" s="7">
        <f t="shared" ca="1" si="3"/>
        <v>7.3610738704921186E-3</v>
      </c>
    </row>
    <row r="206" spans="1:3" x14ac:dyDescent="0.3">
      <c r="A206" vm="409">
        <f ca="1"/>
        <v>45471</v>
      </c>
      <c r="B206" s="4" vm="410">
        <f ca="1"/>
        <v>24010.6</v>
      </c>
      <c r="C206" s="7">
        <f t="shared" ca="1" si="3"/>
        <v>-1.4098858366778932E-3</v>
      </c>
    </row>
    <row r="207" spans="1:3" x14ac:dyDescent="0.3">
      <c r="A207" vm="411">
        <f ca="1"/>
        <v>45474</v>
      </c>
      <c r="B207" s="4" vm="412">
        <f ca="1"/>
        <v>24141.95</v>
      </c>
      <c r="C207" s="7">
        <f t="shared" ca="1" si="3"/>
        <v>5.4705005289330533E-3</v>
      </c>
    </row>
    <row r="208" spans="1:3" x14ac:dyDescent="0.3">
      <c r="A208" vm="413">
        <f ca="1"/>
        <v>45475</v>
      </c>
      <c r="B208" s="4" vm="414">
        <f ca="1"/>
        <v>24123.85</v>
      </c>
      <c r="C208" s="7">
        <f t="shared" ca="1" si="3"/>
        <v>-7.4973231242725369E-4</v>
      </c>
    </row>
    <row r="209" spans="1:3" x14ac:dyDescent="0.3">
      <c r="A209" vm="415">
        <f ca="1"/>
        <v>45476</v>
      </c>
      <c r="B209" s="4" vm="416">
        <f ca="1"/>
        <v>24286.5</v>
      </c>
      <c r="C209" s="7">
        <f t="shared" ca="1" si="3"/>
        <v>6.7422903060665451E-3</v>
      </c>
    </row>
    <row r="210" spans="1:3" x14ac:dyDescent="0.3">
      <c r="A210" vm="417">
        <f ca="1"/>
        <v>45477</v>
      </c>
      <c r="B210" s="4" vm="418">
        <f ca="1"/>
        <v>24302.15</v>
      </c>
      <c r="C210" s="7">
        <f t="shared" ca="1" si="3"/>
        <v>6.4439091676460336E-4</v>
      </c>
    </row>
    <row r="211" spans="1:3" x14ac:dyDescent="0.3">
      <c r="A211" vm="419">
        <f ca="1"/>
        <v>45478</v>
      </c>
      <c r="B211" s="4" vm="420">
        <f ca="1"/>
        <v>24323.85</v>
      </c>
      <c r="C211" s="7">
        <f t="shared" ca="1" si="3"/>
        <v>8.9292511156413568E-4</v>
      </c>
    </row>
    <row r="212" spans="1:3" x14ac:dyDescent="0.3">
      <c r="A212" vm="421">
        <f ca="1"/>
        <v>45481</v>
      </c>
      <c r="B212" s="4" vm="422">
        <f ca="1"/>
        <v>24320.55</v>
      </c>
      <c r="C212" s="7">
        <f t="shared" ca="1" si="3"/>
        <v>-1.3566931221820067E-4</v>
      </c>
    </row>
    <row r="213" spans="1:3" x14ac:dyDescent="0.3">
      <c r="A213" vm="423">
        <f ca="1"/>
        <v>45482</v>
      </c>
      <c r="B213" s="4" vm="424">
        <f ca="1"/>
        <v>24433.200000000001</v>
      </c>
      <c r="C213" s="7">
        <f t="shared" ca="1" si="3"/>
        <v>4.6318853808815508E-3</v>
      </c>
    </row>
    <row r="214" spans="1:3" x14ac:dyDescent="0.3">
      <c r="A214" vm="425">
        <f ca="1"/>
        <v>45483</v>
      </c>
      <c r="B214" s="4" vm="426">
        <f ca="1"/>
        <v>24324.45</v>
      </c>
      <c r="C214" s="7">
        <f t="shared" ca="1" si="3"/>
        <v>-4.4509110554491471E-3</v>
      </c>
    </row>
    <row r="215" spans="1:3" x14ac:dyDescent="0.3">
      <c r="A215" vm="427">
        <f ca="1"/>
        <v>45484</v>
      </c>
      <c r="B215" s="4" vm="428">
        <f ca="1"/>
        <v>24315.95</v>
      </c>
      <c r="C215" s="7">
        <f t="shared" ca="1" si="3"/>
        <v>-3.4944263899083783E-4</v>
      </c>
    </row>
    <row r="216" spans="1:3" x14ac:dyDescent="0.3">
      <c r="A216" vm="429">
        <f ca="1"/>
        <v>45485</v>
      </c>
      <c r="B216" s="4" vm="430">
        <f ca="1"/>
        <v>24502.15</v>
      </c>
      <c r="C216" s="7">
        <f t="shared" ca="1" si="3"/>
        <v>7.6575252046495734E-3</v>
      </c>
    </row>
    <row r="217" spans="1:3" x14ac:dyDescent="0.3">
      <c r="A217" vm="431">
        <f ca="1"/>
        <v>45488</v>
      </c>
      <c r="B217" s="4" vm="432">
        <f ca="1"/>
        <v>24586.7</v>
      </c>
      <c r="C217" s="7">
        <f t="shared" ca="1" si="3"/>
        <v>3.4507175900890807E-3</v>
      </c>
    </row>
    <row r="218" spans="1:3" x14ac:dyDescent="0.3">
      <c r="A218" vm="433">
        <f ca="1"/>
        <v>45489</v>
      </c>
      <c r="B218" s="4" vm="434">
        <f ca="1"/>
        <v>24613</v>
      </c>
      <c r="C218" s="7">
        <f t="shared" ca="1" si="3"/>
        <v>1.0696840161550369E-3</v>
      </c>
    </row>
    <row r="219" spans="1:3" x14ac:dyDescent="0.3">
      <c r="A219" vm="435">
        <f ca="1"/>
        <v>45491</v>
      </c>
      <c r="B219" s="4" vm="436">
        <f ca="1"/>
        <v>24800.85</v>
      </c>
      <c r="C219" s="7">
        <f t="shared" ca="1" si="3"/>
        <v>7.6321456141064115E-3</v>
      </c>
    </row>
    <row r="220" spans="1:3" x14ac:dyDescent="0.3">
      <c r="A220" vm="437">
        <f ca="1"/>
        <v>45492</v>
      </c>
      <c r="B220" s="4" vm="438">
        <f ca="1"/>
        <v>24530.9</v>
      </c>
      <c r="C220" s="7">
        <f t="shared" ca="1" si="3"/>
        <v>-1.0884707580586794E-2</v>
      </c>
    </row>
    <row r="221" spans="1:3" x14ac:dyDescent="0.3">
      <c r="A221" vm="439">
        <f ca="1"/>
        <v>45495</v>
      </c>
      <c r="B221" s="4" vm="440">
        <f ca="1"/>
        <v>24509.25</v>
      </c>
      <c r="C221" s="7">
        <f t="shared" ca="1" si="3"/>
        <v>-8.8256036264466875E-4</v>
      </c>
    </row>
    <row r="222" spans="1:3" x14ac:dyDescent="0.3">
      <c r="A222" vm="441">
        <f ca="1"/>
        <v>45496</v>
      </c>
      <c r="B222" s="4" vm="442">
        <f ca="1"/>
        <v>24479.05</v>
      </c>
      <c r="C222" s="7">
        <f t="shared" ca="1" si="3"/>
        <v>-1.2321878474453873E-3</v>
      </c>
    </row>
    <row r="223" spans="1:3" x14ac:dyDescent="0.3">
      <c r="A223" vm="443">
        <f ca="1"/>
        <v>45497</v>
      </c>
      <c r="B223" s="4" vm="444">
        <f ca="1"/>
        <v>24413.5</v>
      </c>
      <c r="C223" s="7">
        <f t="shared" ca="1" si="3"/>
        <v>-2.6777999963233379E-3</v>
      </c>
    </row>
    <row r="224" spans="1:3" x14ac:dyDescent="0.3">
      <c r="A224" vm="445">
        <f ca="1"/>
        <v>45498</v>
      </c>
      <c r="B224" s="4" vm="446">
        <f ca="1"/>
        <v>24406.1</v>
      </c>
      <c r="C224" s="7">
        <f t="shared" ca="1" si="3"/>
        <v>-3.0311098367707956E-4</v>
      </c>
    </row>
    <row r="225" spans="1:3" x14ac:dyDescent="0.3">
      <c r="A225" vm="447">
        <f ca="1"/>
        <v>45499</v>
      </c>
      <c r="B225" s="4" vm="448">
        <f ca="1"/>
        <v>24834.85</v>
      </c>
      <c r="C225" s="7">
        <f t="shared" ca="1" si="3"/>
        <v>1.7567329479105664E-2</v>
      </c>
    </row>
    <row r="226" spans="1:3" x14ac:dyDescent="0.3">
      <c r="A226" vm="449">
        <f ca="1"/>
        <v>45502</v>
      </c>
      <c r="B226" s="4" vm="450">
        <f ca="1"/>
        <v>24836.1</v>
      </c>
      <c r="C226" s="7">
        <f t="shared" ca="1" si="3"/>
        <v>5.0332496471794386E-5</v>
      </c>
    </row>
    <row r="227" spans="1:3" x14ac:dyDescent="0.3">
      <c r="A227" vm="451">
        <f ca="1"/>
        <v>45503</v>
      </c>
      <c r="B227" s="4" vm="452">
        <f ca="1"/>
        <v>24857.3</v>
      </c>
      <c r="C227" s="7">
        <f t="shared" ca="1" si="3"/>
        <v>8.5359617653346653E-4</v>
      </c>
    </row>
    <row r="228" spans="1:3" x14ac:dyDescent="0.3">
      <c r="A228" vm="453">
        <f ca="1"/>
        <v>45504</v>
      </c>
      <c r="B228" s="4" vm="454">
        <f ca="1"/>
        <v>24951.15</v>
      </c>
      <c r="C228" s="7">
        <f t="shared" ca="1" si="3"/>
        <v>3.7755508442189889E-3</v>
      </c>
    </row>
    <row r="229" spans="1:3" x14ac:dyDescent="0.3">
      <c r="A229" vm="455">
        <f ca="1"/>
        <v>45505</v>
      </c>
      <c r="B229" s="4" vm="456">
        <f ca="1"/>
        <v>25010.9</v>
      </c>
      <c r="C229" s="7">
        <f t="shared" ca="1" si="3"/>
        <v>2.3946792031630526E-3</v>
      </c>
    </row>
    <row r="230" spans="1:3" x14ac:dyDescent="0.3">
      <c r="A230" vm="457">
        <f ca="1"/>
        <v>45506</v>
      </c>
      <c r="B230" s="4" vm="458">
        <f ca="1"/>
        <v>24717.7</v>
      </c>
      <c r="C230" s="7">
        <f t="shared" ca="1" si="3"/>
        <v>-1.1722888820474342E-2</v>
      </c>
    </row>
    <row r="231" spans="1:3" x14ac:dyDescent="0.3">
      <c r="A231" vm="459">
        <f ca="1"/>
        <v>45509</v>
      </c>
      <c r="B231" s="4" vm="460">
        <f ca="1"/>
        <v>24055.599999999999</v>
      </c>
      <c r="C231" s="7">
        <f t="shared" ca="1" si="3"/>
        <v>-2.6786472851438536E-2</v>
      </c>
    </row>
    <row r="232" spans="1:3" x14ac:dyDescent="0.3">
      <c r="A232" vm="461">
        <f ca="1"/>
        <v>45510</v>
      </c>
      <c r="B232" s="4" vm="462">
        <f ca="1"/>
        <v>23992.55</v>
      </c>
      <c r="C232" s="7">
        <f t="shared" ca="1" si="3"/>
        <v>-2.6210113237665755E-3</v>
      </c>
    </row>
    <row r="233" spans="1:3" x14ac:dyDescent="0.3">
      <c r="A233" vm="463">
        <f ca="1"/>
        <v>45511</v>
      </c>
      <c r="B233" s="4" vm="464">
        <f ca="1"/>
        <v>24297.5</v>
      </c>
      <c r="C233" s="7">
        <f t="shared" ca="1" si="3"/>
        <v>1.2710195456506312E-2</v>
      </c>
    </row>
    <row r="234" spans="1:3" x14ac:dyDescent="0.3">
      <c r="A234" vm="465">
        <f ca="1"/>
        <v>45512</v>
      </c>
      <c r="B234" s="4" vm="466">
        <f ca="1"/>
        <v>24117</v>
      </c>
      <c r="C234" s="7">
        <f t="shared" ca="1" si="3"/>
        <v>-7.4287478135610652E-3</v>
      </c>
    </row>
    <row r="235" spans="1:3" x14ac:dyDescent="0.3">
      <c r="A235" vm="467">
        <f ca="1"/>
        <v>45513</v>
      </c>
      <c r="B235" s="4" vm="468">
        <f ca="1"/>
        <v>24367.5</v>
      </c>
      <c r="C235" s="7">
        <f t="shared" ca="1" si="3"/>
        <v>1.0386864037815746E-2</v>
      </c>
    </row>
    <row r="236" spans="1:3" x14ac:dyDescent="0.3">
      <c r="A236" vm="469">
        <f ca="1"/>
        <v>45516</v>
      </c>
      <c r="B236" s="4" vm="470">
        <f ca="1"/>
        <v>24347</v>
      </c>
      <c r="C236" s="7">
        <f t="shared" ca="1" si="3"/>
        <v>-8.4128449779419245E-4</v>
      </c>
    </row>
    <row r="237" spans="1:3" x14ac:dyDescent="0.3">
      <c r="A237" vm="471">
        <f ca="1"/>
        <v>45517</v>
      </c>
      <c r="B237" s="4" vm="472">
        <f ca="1"/>
        <v>24139</v>
      </c>
      <c r="C237" s="7">
        <f t="shared" ca="1" si="3"/>
        <v>-8.5431469996303244E-3</v>
      </c>
    </row>
    <row r="238" spans="1:3" x14ac:dyDescent="0.3">
      <c r="A238" vm="473">
        <f ca="1"/>
        <v>45518</v>
      </c>
      <c r="B238" s="4" vm="474">
        <f ca="1"/>
        <v>24143.75</v>
      </c>
      <c r="C238" s="7">
        <f t="shared" ca="1" si="3"/>
        <v>1.9677699987563635E-4</v>
      </c>
    </row>
    <row r="239" spans="1:3" x14ac:dyDescent="0.3">
      <c r="A239" vm="475">
        <f ca="1"/>
        <v>45520</v>
      </c>
      <c r="B239" s="4" vm="476">
        <f ca="1"/>
        <v>24541.15</v>
      </c>
      <c r="C239" s="7">
        <f t="shared" ca="1" si="3"/>
        <v>1.6459746311157097E-2</v>
      </c>
    </row>
    <row r="240" spans="1:3" x14ac:dyDescent="0.3">
      <c r="A240" vm="477">
        <f ca="1"/>
        <v>45523</v>
      </c>
      <c r="B240" s="4" vm="478">
        <f ca="1"/>
        <v>24572.65</v>
      </c>
      <c r="C240" s="7">
        <f t="shared" ca="1" si="3"/>
        <v>1.283558431450782E-3</v>
      </c>
    </row>
    <row r="241" spans="1:3" x14ac:dyDescent="0.3">
      <c r="A241" vm="479">
        <f ca="1"/>
        <v>45524</v>
      </c>
      <c r="B241" s="4" vm="480">
        <f ca="1"/>
        <v>24698.85</v>
      </c>
      <c r="C241" s="7">
        <f t="shared" ca="1" si="3"/>
        <v>5.1357912150296059E-3</v>
      </c>
    </row>
    <row r="242" spans="1:3" x14ac:dyDescent="0.3">
      <c r="A242" vm="481">
        <f ca="1"/>
        <v>45525</v>
      </c>
      <c r="B242" s="4" vm="482">
        <f ca="1"/>
        <v>24770.2</v>
      </c>
      <c r="C242" s="7">
        <f t="shared" ca="1" si="3"/>
        <v>2.888798466325504E-3</v>
      </c>
    </row>
    <row r="243" spans="1:3" x14ac:dyDescent="0.3">
      <c r="A243" vm="483">
        <f ca="1"/>
        <v>45526</v>
      </c>
      <c r="B243" s="4" vm="484">
        <f ca="1"/>
        <v>24811.5</v>
      </c>
      <c r="C243" s="7">
        <f t="shared" ca="1" si="3"/>
        <v>1.6673260611541618E-3</v>
      </c>
    </row>
    <row r="244" spans="1:3" x14ac:dyDescent="0.3">
      <c r="A244" vm="485">
        <f ca="1"/>
        <v>45527</v>
      </c>
      <c r="B244" s="4" vm="486">
        <f ca="1"/>
        <v>24823.15</v>
      </c>
      <c r="C244" s="7">
        <f t="shared" ca="1" si="3"/>
        <v>4.6954033411927831E-4</v>
      </c>
    </row>
    <row r="245" spans="1:3" x14ac:dyDescent="0.3">
      <c r="A245" vm="487">
        <f ca="1"/>
        <v>45530</v>
      </c>
      <c r="B245" s="4" vm="488">
        <f ca="1"/>
        <v>25010.6</v>
      </c>
      <c r="C245" s="7">
        <f t="shared" ca="1" si="3"/>
        <v>7.5514187361394036E-3</v>
      </c>
    </row>
    <row r="246" spans="1:3" x14ac:dyDescent="0.3">
      <c r="A246" vm="489">
        <f ca="1"/>
        <v>45531</v>
      </c>
      <c r="B246" s="4" vm="490">
        <f ca="1"/>
        <v>25017.75</v>
      </c>
      <c r="C246" s="7">
        <f t="shared" ca="1" si="3"/>
        <v>2.8587878739427808E-4</v>
      </c>
    </row>
    <row r="247" spans="1:3" x14ac:dyDescent="0.3">
      <c r="A247" vm="491">
        <f ca="1"/>
        <v>45532</v>
      </c>
      <c r="B247" s="4" vm="492">
        <f ca="1"/>
        <v>25052.35</v>
      </c>
      <c r="C247" s="7">
        <f t="shared" ca="1" si="3"/>
        <v>1.3830180571794415E-3</v>
      </c>
    </row>
    <row r="248" spans="1:3" x14ac:dyDescent="0.3">
      <c r="A248" vm="493">
        <f ca="1"/>
        <v>45533</v>
      </c>
      <c r="B248" s="4" vm="494">
        <f ca="1"/>
        <v>25151.95</v>
      </c>
      <c r="C248" s="7">
        <f t="shared" ca="1" si="3"/>
        <v>3.975674936682605E-3</v>
      </c>
    </row>
    <row r="249" spans="1:3" x14ac:dyDescent="0.3">
      <c r="A249" vm="495">
        <f ca="1"/>
        <v>45534</v>
      </c>
      <c r="B249" s="4" vm="496">
        <f ca="1"/>
        <v>25235.9</v>
      </c>
      <c r="C249" s="7">
        <f t="shared" ca="1" si="3"/>
        <v>3.3377133780880808E-3</v>
      </c>
    </row>
    <row r="250" spans="1:3" x14ac:dyDescent="0.3">
      <c r="A250" vm="497">
        <f ca="1"/>
        <v>45537</v>
      </c>
      <c r="B250" s="4" vm="498">
        <f ca="1"/>
        <v>25278.7</v>
      </c>
      <c r="C250" s="7">
        <f t="shared" ca="1" si="3"/>
        <v>1.6959965763059248E-3</v>
      </c>
    </row>
    <row r="251" spans="1:3" x14ac:dyDescent="0.3">
      <c r="A251" vm="499">
        <f ca="1"/>
        <v>45538</v>
      </c>
      <c r="B251" s="4" vm="500">
        <f ca="1"/>
        <v>25279.85</v>
      </c>
      <c r="C251" s="7">
        <f t="shared" ca="1" si="3"/>
        <v>4.5492845755390476E-5</v>
      </c>
    </row>
    <row r="252" spans="1:3" x14ac:dyDescent="0.3">
      <c r="A252" vm="501">
        <f ca="1"/>
        <v>45539</v>
      </c>
      <c r="B252" s="4" vm="502">
        <f ca="1"/>
        <v>25198.7</v>
      </c>
      <c r="C252" s="7">
        <f t="shared" ca="1" si="3"/>
        <v>-3.2100665154262131E-3</v>
      </c>
    </row>
    <row r="253" spans="1:3" x14ac:dyDescent="0.3">
      <c r="A253" vm="503">
        <f ca="1"/>
        <v>45540</v>
      </c>
      <c r="B253" s="4" vm="504">
        <f ca="1"/>
        <v>25145.1</v>
      </c>
      <c r="C253" s="7">
        <f t="shared" ca="1" si="3"/>
        <v>-2.127093858016571E-3</v>
      </c>
    </row>
    <row r="254" spans="1:3" x14ac:dyDescent="0.3">
      <c r="A254" vm="505">
        <f ca="1"/>
        <v>45541</v>
      </c>
      <c r="B254" s="4" vm="506">
        <f ca="1"/>
        <v>24852.15</v>
      </c>
      <c r="C254" s="7">
        <f t="shared" ca="1" si="3"/>
        <v>-1.16503811875871E-2</v>
      </c>
    </row>
    <row r="255" spans="1:3" x14ac:dyDescent="0.3">
      <c r="A255" vm="507">
        <f ca="1"/>
        <v>45544</v>
      </c>
      <c r="B255" s="4" vm="508">
        <f ca="1"/>
        <v>24936.400000000001</v>
      </c>
      <c r="C255" s="7">
        <f t="shared" ca="1" si="3"/>
        <v>3.3900487482974029E-3</v>
      </c>
    </row>
    <row r="256" spans="1:3" x14ac:dyDescent="0.3">
      <c r="A256" vm="509">
        <f ca="1"/>
        <v>45545</v>
      </c>
      <c r="B256" s="4" vm="510">
        <f ca="1"/>
        <v>25041.1</v>
      </c>
      <c r="C256" s="7">
        <f t="shared" ca="1" si="3"/>
        <v>4.1986814455974297E-3</v>
      </c>
    </row>
    <row r="257" spans="1:3" x14ac:dyDescent="0.3">
      <c r="A257" vm="511">
        <f ca="1"/>
        <v>45546</v>
      </c>
      <c r="B257" s="4" vm="512">
        <f ca="1"/>
        <v>24918.45</v>
      </c>
      <c r="C257" s="7">
        <f t="shared" ca="1" si="3"/>
        <v>-4.8979477738596566E-3</v>
      </c>
    </row>
    <row r="258" spans="1:3" x14ac:dyDescent="0.3">
      <c r="A258" vm="513">
        <f ca="1"/>
        <v>45547</v>
      </c>
      <c r="B258" s="4" vm="514">
        <f ca="1"/>
        <v>25388.9</v>
      </c>
      <c r="C258" s="7">
        <f t="shared" ca="1" si="3"/>
        <v>1.8879585206944993E-2</v>
      </c>
    </row>
    <row r="259" spans="1:3" x14ac:dyDescent="0.3">
      <c r="A259" vm="515">
        <f ca="1"/>
        <v>45548</v>
      </c>
      <c r="B259" s="4" vm="516">
        <f ca="1"/>
        <v>25356.5</v>
      </c>
      <c r="C259" s="7">
        <f t="shared" ca="1" si="3"/>
        <v>-1.276148238009589E-3</v>
      </c>
    </row>
    <row r="260" spans="1:3" x14ac:dyDescent="0.3">
      <c r="A260" vm="517">
        <f ca="1"/>
        <v>45551</v>
      </c>
      <c r="B260" s="4" vm="518">
        <f ca="1"/>
        <v>25383.75</v>
      </c>
      <c r="C260" s="7">
        <f t="shared" ref="C260:C323" ca="1" si="4">B260/B259-1</f>
        <v>1.0746751326089488E-3</v>
      </c>
    </row>
    <row r="261" spans="1:3" x14ac:dyDescent="0.3">
      <c r="A261" vm="519">
        <f ca="1"/>
        <v>45552</v>
      </c>
      <c r="B261" s="4" vm="520">
        <f ca="1"/>
        <v>25418.55</v>
      </c>
      <c r="C261" s="7">
        <f t="shared" ca="1" si="4"/>
        <v>1.3709558280394774E-3</v>
      </c>
    </row>
    <row r="262" spans="1:3" x14ac:dyDescent="0.3">
      <c r="A262" vm="521">
        <f ca="1"/>
        <v>45553</v>
      </c>
      <c r="B262" s="4" vm="522">
        <f ca="1"/>
        <v>25377.55</v>
      </c>
      <c r="C262" s="7">
        <f t="shared" ca="1" si="4"/>
        <v>-1.6129952337957665E-3</v>
      </c>
    </row>
    <row r="263" spans="1:3" x14ac:dyDescent="0.3">
      <c r="A263" vm="523">
        <f ca="1"/>
        <v>45554</v>
      </c>
      <c r="B263" s="4" vm="524">
        <f ca="1"/>
        <v>25415.8</v>
      </c>
      <c r="C263" s="7">
        <f t="shared" ca="1" si="4"/>
        <v>1.5072376963103373E-3</v>
      </c>
    </row>
    <row r="264" spans="1:3" x14ac:dyDescent="0.3">
      <c r="A264" vm="525">
        <f ca="1"/>
        <v>45555</v>
      </c>
      <c r="B264" s="4" vm="526">
        <f ca="1"/>
        <v>25790.95</v>
      </c>
      <c r="C264" s="7">
        <f t="shared" ca="1" si="4"/>
        <v>1.4760503308965278E-2</v>
      </c>
    </row>
    <row r="265" spans="1:3" x14ac:dyDescent="0.3">
      <c r="A265" vm="527">
        <f ca="1"/>
        <v>45558</v>
      </c>
      <c r="B265" s="4" vm="528">
        <f ca="1"/>
        <v>25939.05</v>
      </c>
      <c r="C265" s="7">
        <f t="shared" ca="1" si="4"/>
        <v>5.7423243424534753E-3</v>
      </c>
    </row>
    <row r="266" spans="1:3" x14ac:dyDescent="0.3">
      <c r="A266" vm="529">
        <f ca="1"/>
        <v>45559</v>
      </c>
      <c r="B266" s="4" vm="530">
        <f ca="1"/>
        <v>25940.400000000001</v>
      </c>
      <c r="C266" s="7">
        <f t="shared" ca="1" si="4"/>
        <v>5.2045082607143911E-5</v>
      </c>
    </row>
    <row r="267" spans="1:3" x14ac:dyDescent="0.3">
      <c r="A267" vm="531">
        <f ca="1"/>
        <v>45560</v>
      </c>
      <c r="B267" s="4" vm="532">
        <f ca="1"/>
        <v>26004.15</v>
      </c>
      <c r="C267" s="7">
        <f t="shared" ca="1" si="4"/>
        <v>2.4575565527131804E-3</v>
      </c>
    </row>
    <row r="268" spans="1:3" x14ac:dyDescent="0.3">
      <c r="A268" vm="533">
        <f ca="1"/>
        <v>45561</v>
      </c>
      <c r="B268" s="4" vm="534">
        <f ca="1"/>
        <v>26216.05</v>
      </c>
      <c r="C268" s="7">
        <f t="shared" ca="1" si="4"/>
        <v>8.1486993422204002E-3</v>
      </c>
    </row>
    <row r="269" spans="1:3" x14ac:dyDescent="0.3">
      <c r="A269" vm="535">
        <f ca="1"/>
        <v>45562</v>
      </c>
      <c r="B269" s="4" vm="536">
        <f ca="1"/>
        <v>26178.95</v>
      </c>
      <c r="C269" s="7">
        <f t="shared" ca="1" si="4"/>
        <v>-1.4151636116043198E-3</v>
      </c>
    </row>
    <row r="270" spans="1:3" x14ac:dyDescent="0.3">
      <c r="A270" vm="537">
        <f ca="1"/>
        <v>45565</v>
      </c>
      <c r="B270" s="4" vm="538">
        <f ca="1"/>
        <v>25810.85</v>
      </c>
      <c r="C270" s="7">
        <f t="shared" ca="1" si="4"/>
        <v>-1.4060915353747983E-2</v>
      </c>
    </row>
    <row r="271" spans="1:3" x14ac:dyDescent="0.3">
      <c r="A271" vm="539">
        <f ca="1"/>
        <v>45566</v>
      </c>
      <c r="B271" s="4" vm="540">
        <f ca="1"/>
        <v>25796.9</v>
      </c>
      <c r="C271" s="7">
        <f t="shared" ca="1" si="4"/>
        <v>-5.4047038357885047E-4</v>
      </c>
    </row>
    <row r="272" spans="1:3" x14ac:dyDescent="0.3">
      <c r="A272" vm="541">
        <f ca="1"/>
        <v>45568</v>
      </c>
      <c r="B272" s="4" vm="542">
        <f ca="1"/>
        <v>25250.1</v>
      </c>
      <c r="C272" s="7">
        <f t="shared" ca="1" si="4"/>
        <v>-2.1196345297303298E-2</v>
      </c>
    </row>
    <row r="273" spans="1:3" x14ac:dyDescent="0.3">
      <c r="A273" vm="543">
        <f ca="1"/>
        <v>45569</v>
      </c>
      <c r="B273" s="4" vm="544">
        <f ca="1"/>
        <v>25014.6</v>
      </c>
      <c r="C273" s="7">
        <f t="shared" ca="1" si="4"/>
        <v>-9.3266957358584257E-3</v>
      </c>
    </row>
    <row r="274" spans="1:3" x14ac:dyDescent="0.3">
      <c r="A274" vm="545">
        <f ca="1"/>
        <v>45572</v>
      </c>
      <c r="B274" s="4" vm="546">
        <f ca="1"/>
        <v>24795.75</v>
      </c>
      <c r="C274" s="7">
        <f t="shared" ca="1" si="4"/>
        <v>-8.7488906478615514E-3</v>
      </c>
    </row>
    <row r="275" spans="1:3" x14ac:dyDescent="0.3">
      <c r="A275" vm="547">
        <f ca="1"/>
        <v>45573</v>
      </c>
      <c r="B275" s="4" vm="548">
        <f ca="1"/>
        <v>25013.15</v>
      </c>
      <c r="C275" s="7">
        <f t="shared" ca="1" si="4"/>
        <v>8.7676315497615676E-3</v>
      </c>
    </row>
    <row r="276" spans="1:3" x14ac:dyDescent="0.3">
      <c r="A276" vm="549">
        <f ca="1"/>
        <v>45574</v>
      </c>
      <c r="B276" s="4" vm="550">
        <f ca="1"/>
        <v>24981.95</v>
      </c>
      <c r="C276" s="7">
        <f t="shared" ca="1" si="4"/>
        <v>-1.2473438971101203E-3</v>
      </c>
    </row>
    <row r="277" spans="1:3" x14ac:dyDescent="0.3">
      <c r="A277" vm="551">
        <f ca="1"/>
        <v>45575</v>
      </c>
      <c r="B277" s="4" vm="552">
        <f ca="1"/>
        <v>24998.45</v>
      </c>
      <c r="C277" s="7">
        <f t="shared" ca="1" si="4"/>
        <v>6.6047686429593355E-4</v>
      </c>
    </row>
    <row r="278" spans="1:3" x14ac:dyDescent="0.3">
      <c r="A278" vm="553">
        <f ca="1"/>
        <v>45576</v>
      </c>
      <c r="B278" s="4" vm="554">
        <f ca="1"/>
        <v>24964.25</v>
      </c>
      <c r="C278" s="7">
        <f t="shared" ca="1" si="4"/>
        <v>-1.3680848212589414E-3</v>
      </c>
    </row>
    <row r="279" spans="1:3" x14ac:dyDescent="0.3">
      <c r="A279" vm="555">
        <f ca="1"/>
        <v>45579</v>
      </c>
      <c r="B279" s="4" vm="556">
        <f ca="1"/>
        <v>25127.95</v>
      </c>
      <c r="C279" s="7">
        <f t="shared" ca="1" si="4"/>
        <v>6.5573770491802463E-3</v>
      </c>
    </row>
    <row r="280" spans="1:3" x14ac:dyDescent="0.3">
      <c r="A280" vm="557">
        <f ca="1"/>
        <v>45580</v>
      </c>
      <c r="B280" s="4" vm="558">
        <f ca="1"/>
        <v>25057.35</v>
      </c>
      <c r="C280" s="7">
        <f t="shared" ca="1" si="4"/>
        <v>-2.809620362982379E-3</v>
      </c>
    </row>
    <row r="281" spans="1:3" x14ac:dyDescent="0.3">
      <c r="A281" vm="559">
        <f ca="1"/>
        <v>45581</v>
      </c>
      <c r="B281" s="4" vm="560">
        <f ca="1"/>
        <v>24971.3</v>
      </c>
      <c r="C281" s="7">
        <f t="shared" ca="1" si="4"/>
        <v>-3.4341221238478603E-3</v>
      </c>
    </row>
    <row r="282" spans="1:3" x14ac:dyDescent="0.3">
      <c r="A282" vm="561">
        <f ca="1"/>
        <v>45582</v>
      </c>
      <c r="B282" s="4" vm="562">
        <f ca="1"/>
        <v>24749.85</v>
      </c>
      <c r="C282" s="7">
        <f t="shared" ca="1" si="4"/>
        <v>-8.8681806714108191E-3</v>
      </c>
    </row>
    <row r="283" spans="1:3" x14ac:dyDescent="0.3">
      <c r="A283" vm="563">
        <f ca="1"/>
        <v>45583</v>
      </c>
      <c r="B283" s="4" vm="564">
        <f ca="1"/>
        <v>24854.05</v>
      </c>
      <c r="C283" s="7">
        <f t="shared" ca="1" si="4"/>
        <v>4.2101265260194864E-3</v>
      </c>
    </row>
    <row r="284" spans="1:3" x14ac:dyDescent="0.3">
      <c r="A284" vm="565">
        <f ca="1"/>
        <v>45586</v>
      </c>
      <c r="B284" s="4" vm="566">
        <f ca="1"/>
        <v>24781.1</v>
      </c>
      <c r="C284" s="7">
        <f t="shared" ca="1" si="4"/>
        <v>-2.9351353199982277E-3</v>
      </c>
    </row>
    <row r="285" spans="1:3" x14ac:dyDescent="0.3">
      <c r="A285" vm="567">
        <f ca="1"/>
        <v>45587</v>
      </c>
      <c r="B285" s="4" vm="568">
        <f ca="1"/>
        <v>24472.1</v>
      </c>
      <c r="C285" s="7">
        <f t="shared" ca="1" si="4"/>
        <v>-1.2469180141317371E-2</v>
      </c>
    </row>
    <row r="286" spans="1:3" x14ac:dyDescent="0.3">
      <c r="A286" vm="569">
        <f ca="1"/>
        <v>45588</v>
      </c>
      <c r="B286" s="4" vm="570">
        <f ca="1"/>
        <v>24435.5</v>
      </c>
      <c r="C286" s="7">
        <f t="shared" ca="1" si="4"/>
        <v>-1.4955806816742134E-3</v>
      </c>
    </row>
    <row r="287" spans="1:3" x14ac:dyDescent="0.3">
      <c r="A287" vm="571">
        <f ca="1"/>
        <v>45589</v>
      </c>
      <c r="B287" s="4" vm="572">
        <f ca="1"/>
        <v>24399.4</v>
      </c>
      <c r="C287" s="7">
        <f t="shared" ca="1" si="4"/>
        <v>-1.4773587608192251E-3</v>
      </c>
    </row>
    <row r="288" spans="1:3" x14ac:dyDescent="0.3">
      <c r="A288" vm="573">
        <f ca="1"/>
        <v>45590</v>
      </c>
      <c r="B288" s="4" vm="574">
        <f ca="1"/>
        <v>24180.799999999999</v>
      </c>
      <c r="C288" s="7">
        <f t="shared" ca="1" si="4"/>
        <v>-8.9592367025419506E-3</v>
      </c>
    </row>
    <row r="289" spans="1:3" x14ac:dyDescent="0.3">
      <c r="A289" vm="575">
        <f ca="1"/>
        <v>45593</v>
      </c>
      <c r="B289" s="4" vm="576">
        <f ca="1"/>
        <v>24339.15</v>
      </c>
      <c r="C289" s="7">
        <f t="shared" ca="1" si="4"/>
        <v>6.5485840005294893E-3</v>
      </c>
    </row>
    <row r="290" spans="1:3" x14ac:dyDescent="0.3">
      <c r="A290" vm="577">
        <f ca="1"/>
        <v>45594</v>
      </c>
      <c r="B290" s="4" vm="578">
        <f ca="1"/>
        <v>24466.85</v>
      </c>
      <c r="C290" s="7">
        <f t="shared" ca="1" si="4"/>
        <v>5.2466910307056303E-3</v>
      </c>
    </row>
    <row r="291" spans="1:3" x14ac:dyDescent="0.3">
      <c r="A291" vm="579">
        <f ca="1"/>
        <v>45595</v>
      </c>
      <c r="B291" s="4" vm="580">
        <f ca="1"/>
        <v>24340.85</v>
      </c>
      <c r="C291" s="7">
        <f t="shared" ca="1" si="4"/>
        <v>-5.1498251716097787E-3</v>
      </c>
    </row>
    <row r="292" spans="1:3" x14ac:dyDescent="0.3">
      <c r="A292" vm="581">
        <f ca="1"/>
        <v>45596</v>
      </c>
      <c r="B292" s="4" vm="582">
        <f ca="1"/>
        <v>24205.35</v>
      </c>
      <c r="C292" s="7">
        <f t="shared" ca="1" si="4"/>
        <v>-5.5667735514577377E-3</v>
      </c>
    </row>
    <row r="293" spans="1:3" x14ac:dyDescent="0.3">
      <c r="A293" vm="583">
        <f ca="1"/>
        <v>45597</v>
      </c>
      <c r="B293" s="4" vm="584">
        <f ca="1"/>
        <v>24304.35</v>
      </c>
      <c r="C293" s="7">
        <f t="shared" ca="1" si="4"/>
        <v>4.0900048956118429E-3</v>
      </c>
    </row>
    <row r="294" spans="1:3" x14ac:dyDescent="0.3">
      <c r="A294" vm="585">
        <f ca="1"/>
        <v>45600</v>
      </c>
      <c r="B294" s="4" vm="586">
        <f ca="1"/>
        <v>23995.35</v>
      </c>
      <c r="C294" s="7">
        <f t="shared" ca="1" si="4"/>
        <v>-1.2713773460306443E-2</v>
      </c>
    </row>
    <row r="295" spans="1:3" x14ac:dyDescent="0.3">
      <c r="A295" vm="587">
        <f ca="1"/>
        <v>45601</v>
      </c>
      <c r="B295" s="4" vm="588">
        <f ca="1"/>
        <v>24213.3</v>
      </c>
      <c r="C295" s="7">
        <f t="shared" ca="1" si="4"/>
        <v>9.0830098331551312E-3</v>
      </c>
    </row>
    <row r="296" spans="1:3" x14ac:dyDescent="0.3">
      <c r="A296" vm="589">
        <f ca="1"/>
        <v>45602</v>
      </c>
      <c r="B296" s="4" vm="590">
        <f ca="1"/>
        <v>24484.05</v>
      </c>
      <c r="C296" s="7">
        <f t="shared" ca="1" si="4"/>
        <v>1.1181871120417242E-2</v>
      </c>
    </row>
    <row r="297" spans="1:3" x14ac:dyDescent="0.3">
      <c r="A297" vm="591">
        <f ca="1"/>
        <v>45603</v>
      </c>
      <c r="B297" s="4" vm="592">
        <f ca="1"/>
        <v>24199.35</v>
      </c>
      <c r="C297" s="7">
        <f t="shared" ca="1" si="4"/>
        <v>-1.1627978214388546E-2</v>
      </c>
    </row>
    <row r="298" spans="1:3" x14ac:dyDescent="0.3">
      <c r="A298" vm="593">
        <f ca="1"/>
        <v>45604</v>
      </c>
      <c r="B298" s="4" vm="594">
        <f ca="1"/>
        <v>24148.2</v>
      </c>
      <c r="C298" s="7">
        <f t="shared" ca="1" si="4"/>
        <v>-2.1136931363857636E-3</v>
      </c>
    </row>
    <row r="299" spans="1:3" x14ac:dyDescent="0.3">
      <c r="A299" vm="595">
        <f ca="1"/>
        <v>45607</v>
      </c>
      <c r="B299" s="4" vm="596">
        <f ca="1"/>
        <v>24141.3</v>
      </c>
      <c r="C299" s="7">
        <f t="shared" ca="1" si="4"/>
        <v>-2.8573558277644739E-4</v>
      </c>
    </row>
    <row r="300" spans="1:3" x14ac:dyDescent="0.3">
      <c r="A300" vm="597">
        <f ca="1"/>
        <v>45608</v>
      </c>
      <c r="B300" s="4" vm="598">
        <f ca="1"/>
        <v>23883.45</v>
      </c>
      <c r="C300" s="7">
        <f t="shared" ca="1" si="4"/>
        <v>-1.0680866399075395E-2</v>
      </c>
    </row>
    <row r="301" spans="1:3" x14ac:dyDescent="0.3">
      <c r="A301" vm="599">
        <f ca="1"/>
        <v>45609</v>
      </c>
      <c r="B301" s="4" vm="600">
        <f ca="1"/>
        <v>23559.05</v>
      </c>
      <c r="C301" s="7">
        <f t="shared" ca="1" si="4"/>
        <v>-1.3582627300494754E-2</v>
      </c>
    </row>
    <row r="302" spans="1:3" x14ac:dyDescent="0.3">
      <c r="A302" vm="601">
        <f ca="1"/>
        <v>45610</v>
      </c>
      <c r="B302" s="4" vm="602">
        <f ca="1"/>
        <v>23532.7</v>
      </c>
      <c r="C302" s="7">
        <f t="shared" ca="1" si="4"/>
        <v>-1.1184661520731165E-3</v>
      </c>
    </row>
    <row r="303" spans="1:3" x14ac:dyDescent="0.3">
      <c r="A303" vm="603">
        <f ca="1"/>
        <v>45614</v>
      </c>
      <c r="B303" s="4" vm="604">
        <f ca="1"/>
        <v>23453.8</v>
      </c>
      <c r="C303" s="7">
        <f t="shared" ca="1" si="4"/>
        <v>-3.3527814487925856E-3</v>
      </c>
    </row>
    <row r="304" spans="1:3" x14ac:dyDescent="0.3">
      <c r="A304" vm="605">
        <f ca="1"/>
        <v>45615</v>
      </c>
      <c r="B304" s="4" vm="606">
        <f ca="1"/>
        <v>23518.5</v>
      </c>
      <c r="C304" s="7">
        <f t="shared" ca="1" si="4"/>
        <v>2.758614808687776E-3</v>
      </c>
    </row>
    <row r="305" spans="1:3" x14ac:dyDescent="0.3">
      <c r="A305" vm="607">
        <f ca="1"/>
        <v>45617</v>
      </c>
      <c r="B305" s="4" vm="608">
        <f ca="1"/>
        <v>23349.9</v>
      </c>
      <c r="C305" s="7">
        <f t="shared" ca="1" si="4"/>
        <v>-7.1688245423814356E-3</v>
      </c>
    </row>
    <row r="306" spans="1:3" x14ac:dyDescent="0.3">
      <c r="A306" vm="609">
        <f ca="1"/>
        <v>45618</v>
      </c>
      <c r="B306" s="4" vm="610">
        <f ca="1"/>
        <v>23907.25</v>
      </c>
      <c r="C306" s="7">
        <f t="shared" ca="1" si="4"/>
        <v>2.3869481239748191E-2</v>
      </c>
    </row>
    <row r="307" spans="1:3" x14ac:dyDescent="0.3">
      <c r="A307" vm="611">
        <f ca="1"/>
        <v>45621</v>
      </c>
      <c r="B307" s="4" vm="612">
        <f ca="1"/>
        <v>24221.9</v>
      </c>
      <c r="C307" s="7">
        <f t="shared" ca="1" si="4"/>
        <v>1.3161279528176584E-2</v>
      </c>
    </row>
    <row r="308" spans="1:3" x14ac:dyDescent="0.3">
      <c r="A308" vm="613">
        <f ca="1"/>
        <v>45622</v>
      </c>
      <c r="B308" s="4" vm="614">
        <f ca="1"/>
        <v>24194.5</v>
      </c>
      <c r="C308" s="7">
        <f t="shared" ca="1" si="4"/>
        <v>-1.1312077087264338E-3</v>
      </c>
    </row>
    <row r="309" spans="1:3" x14ac:dyDescent="0.3">
      <c r="A309" vm="615">
        <f ca="1"/>
        <v>45623</v>
      </c>
      <c r="B309" s="4" vm="616">
        <f ca="1"/>
        <v>24274.9</v>
      </c>
      <c r="C309" s="7">
        <f t="shared" ca="1" si="4"/>
        <v>3.3230692926078387E-3</v>
      </c>
    </row>
    <row r="310" spans="1:3" x14ac:dyDescent="0.3">
      <c r="A310" vm="617">
        <f ca="1"/>
        <v>45624</v>
      </c>
      <c r="B310" s="4" vm="618">
        <f ca="1"/>
        <v>23914.15</v>
      </c>
      <c r="C310" s="7">
        <f t="shared" ca="1" si="4"/>
        <v>-1.4861029293632533E-2</v>
      </c>
    </row>
    <row r="311" spans="1:3" x14ac:dyDescent="0.3">
      <c r="A311" vm="619">
        <f ca="1"/>
        <v>45625</v>
      </c>
      <c r="B311" s="4" vm="620">
        <f ca="1"/>
        <v>24131.1</v>
      </c>
      <c r="C311" s="7">
        <f t="shared" ca="1" si="4"/>
        <v>9.0720347576642713E-3</v>
      </c>
    </row>
    <row r="312" spans="1:3" x14ac:dyDescent="0.3">
      <c r="A312" vm="621">
        <f ca="1"/>
        <v>45628</v>
      </c>
      <c r="B312" s="4" vm="622">
        <f ca="1"/>
        <v>24276.05</v>
      </c>
      <c r="C312" s="7">
        <f t="shared" ca="1" si="4"/>
        <v>6.0067713448621607E-3</v>
      </c>
    </row>
    <row r="313" spans="1:3" x14ac:dyDescent="0.3">
      <c r="A313" vm="623">
        <f ca="1"/>
        <v>45629</v>
      </c>
      <c r="B313" s="4" vm="624">
        <f ca="1"/>
        <v>24457.15</v>
      </c>
      <c r="C313" s="7">
        <f t="shared" ca="1" si="4"/>
        <v>7.4600274756395635E-3</v>
      </c>
    </row>
    <row r="314" spans="1:3" x14ac:dyDescent="0.3">
      <c r="A314" vm="625">
        <f ca="1"/>
        <v>45630</v>
      </c>
      <c r="B314" s="4" vm="626">
        <f ca="1"/>
        <v>24467.45</v>
      </c>
      <c r="C314" s="7">
        <f t="shared" ca="1" si="4"/>
        <v>4.2114473681520437E-4</v>
      </c>
    </row>
    <row r="315" spans="1:3" x14ac:dyDescent="0.3">
      <c r="A315" vm="627">
        <f ca="1"/>
        <v>45631</v>
      </c>
      <c r="B315" s="4" vm="628">
        <f ca="1"/>
        <v>24708.400000000001</v>
      </c>
      <c r="C315" s="7">
        <f t="shared" ca="1" si="4"/>
        <v>9.8477773531773227E-3</v>
      </c>
    </row>
    <row r="316" spans="1:3" x14ac:dyDescent="0.3">
      <c r="A316" vm="629">
        <f ca="1"/>
        <v>45632</v>
      </c>
      <c r="B316" s="4" vm="630">
        <f ca="1"/>
        <v>24677.8</v>
      </c>
      <c r="C316" s="7">
        <f t="shared" ca="1" si="4"/>
        <v>-1.2384452251057443E-3</v>
      </c>
    </row>
    <row r="317" spans="1:3" x14ac:dyDescent="0.3">
      <c r="A317" vm="631">
        <f ca="1"/>
        <v>45635</v>
      </c>
      <c r="B317" s="4" vm="632">
        <f ca="1"/>
        <v>24619</v>
      </c>
      <c r="C317" s="7">
        <f t="shared" ca="1" si="4"/>
        <v>-2.3827083451523068E-3</v>
      </c>
    </row>
    <row r="318" spans="1:3" x14ac:dyDescent="0.3">
      <c r="A318" vm="633">
        <f ca="1"/>
        <v>45636</v>
      </c>
      <c r="B318" s="4" vm="634">
        <f ca="1"/>
        <v>24610.05</v>
      </c>
      <c r="C318" s="7">
        <f t="shared" ca="1" si="4"/>
        <v>-3.6354035501040549E-4</v>
      </c>
    </row>
    <row r="319" spans="1:3" x14ac:dyDescent="0.3">
      <c r="A319" vm="635">
        <f ca="1"/>
        <v>45637</v>
      </c>
      <c r="B319" s="4" vm="636">
        <f ca="1"/>
        <v>24641.8</v>
      </c>
      <c r="C319" s="7">
        <f t="shared" ca="1" si="4"/>
        <v>1.2901233439184256E-3</v>
      </c>
    </row>
    <row r="320" spans="1:3" x14ac:dyDescent="0.3">
      <c r="A320" vm="637">
        <f ca="1"/>
        <v>45638</v>
      </c>
      <c r="B320" s="4" vm="638">
        <f ca="1"/>
        <v>24548.7</v>
      </c>
      <c r="C320" s="7">
        <f t="shared" ca="1" si="4"/>
        <v>-3.778133090926783E-3</v>
      </c>
    </row>
    <row r="321" spans="1:3" x14ac:dyDescent="0.3">
      <c r="A321" vm="639">
        <f ca="1"/>
        <v>45639</v>
      </c>
      <c r="B321" s="4" vm="640">
        <f ca="1"/>
        <v>24768.3</v>
      </c>
      <c r="C321" s="7">
        <f t="shared" ca="1" si="4"/>
        <v>8.9454838749098986E-3</v>
      </c>
    </row>
    <row r="322" spans="1:3" x14ac:dyDescent="0.3">
      <c r="A322" vm="641">
        <f ca="1"/>
        <v>45642</v>
      </c>
      <c r="B322" s="4" vm="642">
        <f ca="1"/>
        <v>24668.25</v>
      </c>
      <c r="C322" s="7">
        <f t="shared" ca="1" si="4"/>
        <v>-4.0394375068131261E-3</v>
      </c>
    </row>
    <row r="323" spans="1:3" x14ac:dyDescent="0.3">
      <c r="A323" vm="643">
        <f ca="1"/>
        <v>45643</v>
      </c>
      <c r="B323" s="4" vm="644">
        <f ca="1"/>
        <v>24336</v>
      </c>
      <c r="C323" s="7">
        <f t="shared" ca="1" si="4"/>
        <v>-1.3468730047733413E-2</v>
      </c>
    </row>
    <row r="324" spans="1:3" x14ac:dyDescent="0.3">
      <c r="A324" vm="645">
        <f ca="1"/>
        <v>45644</v>
      </c>
      <c r="B324" s="4" vm="646">
        <f ca="1"/>
        <v>24198.85</v>
      </c>
      <c r="C324" s="7">
        <f t="shared" ref="C324:C387" ca="1" si="5">B324/B323-1</f>
        <v>-5.6356837606837962E-3</v>
      </c>
    </row>
    <row r="325" spans="1:3" x14ac:dyDescent="0.3">
      <c r="A325" vm="647">
        <f ca="1"/>
        <v>45645</v>
      </c>
      <c r="B325" s="4" vm="648">
        <f ca="1"/>
        <v>23951.7</v>
      </c>
      <c r="C325" s="7">
        <f t="shared" ca="1" si="5"/>
        <v>-1.0213295259898669E-2</v>
      </c>
    </row>
    <row r="326" spans="1:3" x14ac:dyDescent="0.3">
      <c r="A326" vm="649">
        <f ca="1"/>
        <v>45646</v>
      </c>
      <c r="B326" s="4" vm="650">
        <f ca="1"/>
        <v>23587.5</v>
      </c>
      <c r="C326" s="7">
        <f t="shared" ca="1" si="5"/>
        <v>-1.5205601272561098E-2</v>
      </c>
    </row>
    <row r="327" spans="1:3" x14ac:dyDescent="0.3">
      <c r="A327" vm="651">
        <f ca="1"/>
        <v>45649</v>
      </c>
      <c r="B327" s="4" vm="652">
        <f ca="1"/>
        <v>23753.45</v>
      </c>
      <c r="C327" s="7">
        <f t="shared" ca="1" si="5"/>
        <v>7.0355060943296799E-3</v>
      </c>
    </row>
    <row r="328" spans="1:3" x14ac:dyDescent="0.3">
      <c r="A328" vm="653">
        <f ca="1"/>
        <v>45650</v>
      </c>
      <c r="B328" s="4" vm="654">
        <f ca="1"/>
        <v>23727.65</v>
      </c>
      <c r="C328" s="7">
        <f t="shared" ca="1" si="5"/>
        <v>-1.0861580107310864E-3</v>
      </c>
    </row>
    <row r="329" spans="1:3" x14ac:dyDescent="0.3">
      <c r="A329" vm="655">
        <f ca="1"/>
        <v>45652</v>
      </c>
      <c r="B329" s="4" vm="656">
        <f ca="1"/>
        <v>23750.2</v>
      </c>
      <c r="C329" s="7">
        <f t="shared" ca="1" si="5"/>
        <v>9.5036803054671104E-4</v>
      </c>
    </row>
    <row r="330" spans="1:3" x14ac:dyDescent="0.3">
      <c r="A330" vm="657">
        <f ca="1"/>
        <v>45653</v>
      </c>
      <c r="B330" s="4" vm="658">
        <f ca="1"/>
        <v>23813.4</v>
      </c>
      <c r="C330" s="7">
        <f t="shared" ca="1" si="5"/>
        <v>2.6610302229033156E-3</v>
      </c>
    </row>
    <row r="331" spans="1:3" x14ac:dyDescent="0.3">
      <c r="A331" vm="659">
        <f ca="1"/>
        <v>45656</v>
      </c>
      <c r="B331" s="4" vm="660">
        <f ca="1"/>
        <v>23644.9</v>
      </c>
      <c r="C331" s="7">
        <f t="shared" ca="1" si="5"/>
        <v>-7.0758480519371725E-3</v>
      </c>
    </row>
    <row r="332" spans="1:3" x14ac:dyDescent="0.3">
      <c r="A332" vm="661">
        <f ca="1"/>
        <v>45657</v>
      </c>
      <c r="B332" s="4" vm="662">
        <f ca="1"/>
        <v>23644.799999999999</v>
      </c>
      <c r="C332" s="7">
        <f t="shared" ca="1" si="5"/>
        <v>-4.2292418238609741E-6</v>
      </c>
    </row>
    <row r="333" spans="1:3" x14ac:dyDescent="0.3">
      <c r="A333" vm="663">
        <f ca="1"/>
        <v>45658</v>
      </c>
      <c r="B333" s="4" vm="664">
        <f ca="1"/>
        <v>23742.9</v>
      </c>
      <c r="C333" s="7">
        <f t="shared" ca="1" si="5"/>
        <v>4.1489037758830616E-3</v>
      </c>
    </row>
    <row r="334" spans="1:3" x14ac:dyDescent="0.3">
      <c r="A334" vm="665">
        <f ca="1"/>
        <v>45659</v>
      </c>
      <c r="B334" s="4" vm="666">
        <f ca="1"/>
        <v>24188.65</v>
      </c>
      <c r="C334" s="7">
        <f t="shared" ca="1" si="5"/>
        <v>1.8774033500541298E-2</v>
      </c>
    </row>
    <row r="335" spans="1:3" x14ac:dyDescent="0.3">
      <c r="A335" vm="667">
        <f ca="1"/>
        <v>45660</v>
      </c>
      <c r="B335" s="4" vm="668">
        <f ca="1"/>
        <v>24004.75</v>
      </c>
      <c r="C335" s="7">
        <f t="shared" ca="1" si="5"/>
        <v>-7.6027393012839672E-3</v>
      </c>
    </row>
    <row r="336" spans="1:3" x14ac:dyDescent="0.3">
      <c r="A336" vm="669">
        <f ca="1"/>
        <v>45663</v>
      </c>
      <c r="B336" s="4" vm="670">
        <f ca="1"/>
        <v>23616.05</v>
      </c>
      <c r="C336" s="7">
        <f t="shared" ca="1" si="5"/>
        <v>-1.6192628542267662E-2</v>
      </c>
    </row>
    <row r="337" spans="1:3" x14ac:dyDescent="0.3">
      <c r="A337" vm="671">
        <f ca="1"/>
        <v>45664</v>
      </c>
      <c r="B337" s="4" vm="672">
        <f ca="1"/>
        <v>23707.9</v>
      </c>
      <c r="C337" s="7">
        <f t="shared" ca="1" si="5"/>
        <v>3.8893040961549552E-3</v>
      </c>
    </row>
    <row r="338" spans="1:3" x14ac:dyDescent="0.3">
      <c r="A338" vm="673">
        <f ca="1"/>
        <v>45665</v>
      </c>
      <c r="B338" s="4" vm="674">
        <f ca="1"/>
        <v>23688.95</v>
      </c>
      <c r="C338" s="7">
        <f t="shared" ca="1" si="5"/>
        <v>-7.9931162186441806E-4</v>
      </c>
    </row>
    <row r="339" spans="1:3" x14ac:dyDescent="0.3">
      <c r="A339" vm="675">
        <f ca="1"/>
        <v>45666</v>
      </c>
      <c r="B339" s="4" vm="676">
        <f ca="1"/>
        <v>23526.5</v>
      </c>
      <c r="C339" s="7">
        <f t="shared" ca="1" si="5"/>
        <v>-6.8576277124988705E-3</v>
      </c>
    </row>
    <row r="340" spans="1:3" x14ac:dyDescent="0.3">
      <c r="A340" vm="677">
        <f ca="1"/>
        <v>45667</v>
      </c>
      <c r="B340" s="4" vm="678">
        <f ca="1"/>
        <v>23431.5</v>
      </c>
      <c r="C340" s="7">
        <f t="shared" ca="1" si="5"/>
        <v>-4.037999702463213E-3</v>
      </c>
    </row>
    <row r="341" spans="1:3" x14ac:dyDescent="0.3">
      <c r="A341" vm="679">
        <f ca="1"/>
        <v>45670</v>
      </c>
      <c r="B341" s="4" vm="680">
        <f ca="1"/>
        <v>23085.95</v>
      </c>
      <c r="C341" s="7">
        <f t="shared" ca="1" si="5"/>
        <v>-1.4747241960608504E-2</v>
      </c>
    </row>
    <row r="342" spans="1:3" x14ac:dyDescent="0.3">
      <c r="A342" vm="681">
        <f ca="1"/>
        <v>45671</v>
      </c>
      <c r="B342" s="4" vm="682">
        <f ca="1"/>
        <v>23176.05</v>
      </c>
      <c r="C342" s="7">
        <f t="shared" ca="1" si="5"/>
        <v>3.9028066854513987E-3</v>
      </c>
    </row>
    <row r="343" spans="1:3" x14ac:dyDescent="0.3">
      <c r="A343" vm="683">
        <f ca="1"/>
        <v>45672</v>
      </c>
      <c r="B343" s="4" vm="684">
        <f ca="1"/>
        <v>23213.200000000001</v>
      </c>
      <c r="C343" s="7">
        <f t="shared" ca="1" si="5"/>
        <v>1.6029478707546563E-3</v>
      </c>
    </row>
    <row r="344" spans="1:3" x14ac:dyDescent="0.3">
      <c r="A344" vm="685">
        <f ca="1"/>
        <v>45673</v>
      </c>
      <c r="B344" s="4" vm="686">
        <f ca="1"/>
        <v>23311.8</v>
      </c>
      <c r="C344" s="7">
        <f t="shared" ca="1" si="5"/>
        <v>4.2475832715866968E-3</v>
      </c>
    </row>
    <row r="345" spans="1:3" x14ac:dyDescent="0.3">
      <c r="A345" vm="687">
        <f ca="1"/>
        <v>45674</v>
      </c>
      <c r="B345" s="4" vm="688">
        <f ca="1"/>
        <v>23203.200000000001</v>
      </c>
      <c r="C345" s="7">
        <f t="shared" ca="1" si="5"/>
        <v>-4.6585849226571385E-3</v>
      </c>
    </row>
    <row r="346" spans="1:3" x14ac:dyDescent="0.3">
      <c r="A346" vm="689">
        <f ca="1"/>
        <v>45677</v>
      </c>
      <c r="B346" s="4" vm="690">
        <f ca="1"/>
        <v>23344.75</v>
      </c>
      <c r="C346" s="7">
        <f t="shared" ca="1" si="5"/>
        <v>6.1004516618397009E-3</v>
      </c>
    </row>
    <row r="347" spans="1:3" x14ac:dyDescent="0.3">
      <c r="A347" vm="691">
        <f ca="1"/>
        <v>45678</v>
      </c>
      <c r="B347" s="4" vm="692">
        <f ca="1"/>
        <v>23024.65</v>
      </c>
      <c r="C347" s="7">
        <f t="shared" ca="1" si="5"/>
        <v>-1.3711862410177855E-2</v>
      </c>
    </row>
    <row r="348" spans="1:3" x14ac:dyDescent="0.3">
      <c r="A348" vm="693">
        <f ca="1"/>
        <v>45679</v>
      </c>
      <c r="B348" s="4" vm="694">
        <f ca="1"/>
        <v>23155.35</v>
      </c>
      <c r="C348" s="7">
        <f t="shared" ca="1" si="5"/>
        <v>5.6765249417471964E-3</v>
      </c>
    </row>
    <row r="349" spans="1:3" x14ac:dyDescent="0.3">
      <c r="A349" vm="695">
        <f ca="1"/>
        <v>45680</v>
      </c>
      <c r="B349" s="4" vm="696">
        <f ca="1"/>
        <v>23205.35</v>
      </c>
      <c r="C349" s="7">
        <f t="shared" ca="1" si="5"/>
        <v>2.1593281898135697E-3</v>
      </c>
    </row>
    <row r="350" spans="1:3" x14ac:dyDescent="0.3">
      <c r="A350" vm="697">
        <f ca="1"/>
        <v>45681</v>
      </c>
      <c r="B350" s="4" vm="698">
        <f ca="1"/>
        <v>23092.2</v>
      </c>
      <c r="C350" s="7">
        <f t="shared" ca="1" si="5"/>
        <v>-4.876030742910431E-3</v>
      </c>
    </row>
    <row r="351" spans="1:3" x14ac:dyDescent="0.3">
      <c r="A351" vm="699">
        <f ca="1"/>
        <v>45684</v>
      </c>
      <c r="B351" s="4" vm="700">
        <f ca="1"/>
        <v>22829.15</v>
      </c>
      <c r="C351" s="7">
        <f t="shared" ca="1" si="5"/>
        <v>-1.139129229783209E-2</v>
      </c>
    </row>
    <row r="352" spans="1:3" x14ac:dyDescent="0.3">
      <c r="A352" vm="701">
        <f ca="1"/>
        <v>45685</v>
      </c>
      <c r="B352" s="4" vm="702">
        <f ca="1"/>
        <v>22957.25</v>
      </c>
      <c r="C352" s="7">
        <f t="shared" ca="1" si="5"/>
        <v>5.6112470240896606E-3</v>
      </c>
    </row>
    <row r="353" spans="1:3" x14ac:dyDescent="0.3">
      <c r="A353" vm="703">
        <f ca="1"/>
        <v>45686</v>
      </c>
      <c r="B353" s="4" vm="704">
        <f ca="1"/>
        <v>23163.1</v>
      </c>
      <c r="C353" s="7">
        <f t="shared" ca="1" si="5"/>
        <v>8.9666663036731542E-3</v>
      </c>
    </row>
    <row r="354" spans="1:3" x14ac:dyDescent="0.3">
      <c r="A354" vm="705">
        <f ca="1"/>
        <v>45687</v>
      </c>
      <c r="B354" s="4" vm="706">
        <f ca="1"/>
        <v>23249.5</v>
      </c>
      <c r="C354" s="7">
        <f t="shared" ca="1" si="5"/>
        <v>3.7300706727512178E-3</v>
      </c>
    </row>
    <row r="355" spans="1:3" x14ac:dyDescent="0.3">
      <c r="A355" vm="707">
        <f ca="1"/>
        <v>45688</v>
      </c>
      <c r="B355" s="4" vm="708">
        <f ca="1"/>
        <v>23508.400000000001</v>
      </c>
      <c r="C355" s="7">
        <f t="shared" ca="1" si="5"/>
        <v>1.1135723348889348E-2</v>
      </c>
    </row>
    <row r="356" spans="1:3" x14ac:dyDescent="0.3">
      <c r="A356" vm="709">
        <f ca="1"/>
        <v>45689</v>
      </c>
      <c r="B356" s="4" vm="710">
        <f ca="1"/>
        <v>23482.15</v>
      </c>
      <c r="C356" s="7">
        <f t="shared" ca="1" si="5"/>
        <v>-1.1166221435742196E-3</v>
      </c>
    </row>
    <row r="357" spans="1:3" x14ac:dyDescent="0.3">
      <c r="A357" vm="711">
        <f ca="1"/>
        <v>45691</v>
      </c>
      <c r="B357" s="4" vm="712">
        <f ca="1"/>
        <v>23361.05</v>
      </c>
      <c r="C357" s="7">
        <f t="shared" ca="1" si="5"/>
        <v>-5.1571086974575575E-3</v>
      </c>
    </row>
    <row r="358" spans="1:3" x14ac:dyDescent="0.3">
      <c r="A358" vm="713">
        <f ca="1"/>
        <v>45692</v>
      </c>
      <c r="B358" s="4" vm="714">
        <f ca="1"/>
        <v>23739.25</v>
      </c>
      <c r="C358" s="7">
        <f t="shared" ca="1" si="5"/>
        <v>1.6189340804458663E-2</v>
      </c>
    </row>
    <row r="359" spans="1:3" x14ac:dyDescent="0.3">
      <c r="A359" vm="715">
        <f ca="1"/>
        <v>45693</v>
      </c>
      <c r="B359" s="4" vm="716">
        <f ca="1"/>
        <v>23696.3</v>
      </c>
      <c r="C359" s="7">
        <f t="shared" ca="1" si="5"/>
        <v>-1.8092399717767327E-3</v>
      </c>
    </row>
    <row r="360" spans="1:3" x14ac:dyDescent="0.3">
      <c r="A360" vm="717">
        <f ca="1"/>
        <v>45694</v>
      </c>
      <c r="B360" s="4" vm="718">
        <f ca="1"/>
        <v>23603.35</v>
      </c>
      <c r="C360" s="7">
        <f t="shared" ca="1" si="5"/>
        <v>-3.922553310010457E-3</v>
      </c>
    </row>
    <row r="361" spans="1:3" x14ac:dyDescent="0.3">
      <c r="A361" vm="719">
        <f ca="1"/>
        <v>45695</v>
      </c>
      <c r="B361" s="4" vm="720">
        <f ca="1"/>
        <v>23559.95</v>
      </c>
      <c r="C361" s="7">
        <f t="shared" ca="1" si="5"/>
        <v>-1.8387220458111475E-3</v>
      </c>
    </row>
    <row r="362" spans="1:3" x14ac:dyDescent="0.3">
      <c r="A362" vm="721">
        <f ca="1"/>
        <v>45698</v>
      </c>
      <c r="B362" s="4" vm="722">
        <f ca="1"/>
        <v>23381.599999999999</v>
      </c>
      <c r="C362" s="7">
        <f t="shared" ca="1" si="5"/>
        <v>-7.5700500213287114E-3</v>
      </c>
    </row>
    <row r="363" spans="1:3" x14ac:dyDescent="0.3">
      <c r="A363" vm="723">
        <f ca="1"/>
        <v>45699</v>
      </c>
      <c r="B363" s="4" vm="724">
        <f ca="1"/>
        <v>23071.8</v>
      </c>
      <c r="C363" s="7">
        <f t="shared" ca="1" si="5"/>
        <v>-1.3249734834228644E-2</v>
      </c>
    </row>
    <row r="364" spans="1:3" x14ac:dyDescent="0.3">
      <c r="A364" vm="725">
        <f ca="1"/>
        <v>45700</v>
      </c>
      <c r="B364" s="4" vm="726">
        <f ca="1"/>
        <v>23045.25</v>
      </c>
      <c r="C364" s="7">
        <f t="shared" ca="1" si="5"/>
        <v>-1.1507554677138154E-3</v>
      </c>
    </row>
    <row r="365" spans="1:3" x14ac:dyDescent="0.3">
      <c r="A365" vm="727">
        <f ca="1"/>
        <v>45701</v>
      </c>
      <c r="B365" s="4" vm="728">
        <f ca="1"/>
        <v>23031.4</v>
      </c>
      <c r="C365" s="7">
        <f t="shared" ca="1" si="5"/>
        <v>-6.0099152753811946E-4</v>
      </c>
    </row>
    <row r="366" spans="1:3" x14ac:dyDescent="0.3">
      <c r="A366" vm="729">
        <f ca="1"/>
        <v>45702</v>
      </c>
      <c r="B366" s="4" vm="730">
        <f ca="1"/>
        <v>22929.25</v>
      </c>
      <c r="C366" s="7">
        <f t="shared" ca="1" si="5"/>
        <v>-4.4352492683902289E-3</v>
      </c>
    </row>
    <row r="367" spans="1:3" x14ac:dyDescent="0.3">
      <c r="A367" vm="731">
        <f ca="1"/>
        <v>45705</v>
      </c>
      <c r="B367" s="4" vm="732">
        <f ca="1"/>
        <v>22959.5</v>
      </c>
      <c r="C367" s="7">
        <f t="shared" ca="1" si="5"/>
        <v>1.3192755977626813E-3</v>
      </c>
    </row>
    <row r="368" spans="1:3" x14ac:dyDescent="0.3">
      <c r="A368" vm="733">
        <f ca="1"/>
        <v>45706</v>
      </c>
      <c r="B368" s="4" vm="734">
        <f ca="1"/>
        <v>22945.3</v>
      </c>
      <c r="C368" s="7">
        <f t="shared" ca="1" si="5"/>
        <v>-6.1848036760381309E-4</v>
      </c>
    </row>
    <row r="369" spans="1:3" x14ac:dyDescent="0.3">
      <c r="A369" vm="735">
        <f ca="1"/>
        <v>45707</v>
      </c>
      <c r="B369" s="4" vm="736">
        <f ca="1"/>
        <v>22932.9</v>
      </c>
      <c r="C369" s="7">
        <f t="shared" ca="1" si="5"/>
        <v>-5.4041568425766684E-4</v>
      </c>
    </row>
    <row r="370" spans="1:3" x14ac:dyDescent="0.3">
      <c r="A370" vm="737">
        <f ca="1"/>
        <v>45708</v>
      </c>
      <c r="B370" s="4" vm="738">
        <f ca="1"/>
        <v>22913.15</v>
      </c>
      <c r="C370" s="7">
        <f t="shared" ca="1" si="5"/>
        <v>-8.6120813329326751E-4</v>
      </c>
    </row>
    <row r="371" spans="1:3" x14ac:dyDescent="0.3">
      <c r="A371" vm="739">
        <f ca="1"/>
        <v>45709</v>
      </c>
      <c r="B371" s="4" vm="740">
        <f ca="1"/>
        <v>22795.9</v>
      </c>
      <c r="C371" s="7">
        <f t="shared" ca="1" si="5"/>
        <v>-5.1171488861200265E-3</v>
      </c>
    </row>
    <row r="372" spans="1:3" x14ac:dyDescent="0.3">
      <c r="A372" vm="741">
        <f ca="1"/>
        <v>45712</v>
      </c>
      <c r="B372" s="4" vm="742">
        <f ca="1"/>
        <v>22553.35</v>
      </c>
      <c r="C372" s="7">
        <f t="shared" ca="1" si="5"/>
        <v>-1.0640071240881177E-2</v>
      </c>
    </row>
    <row r="373" spans="1:3" x14ac:dyDescent="0.3">
      <c r="A373" vm="743">
        <f ca="1"/>
        <v>45713</v>
      </c>
      <c r="B373" s="4" vm="744">
        <f ca="1"/>
        <v>22547.55</v>
      </c>
      <c r="C373" s="7">
        <f t="shared" ca="1" si="5"/>
        <v>-2.5716800386632599E-4</v>
      </c>
    </row>
    <row r="374" spans="1:3" x14ac:dyDescent="0.3">
      <c r="A374" vm="745">
        <f ca="1"/>
        <v>45715</v>
      </c>
      <c r="B374" s="4" vm="746">
        <f ca="1"/>
        <v>22545.05</v>
      </c>
      <c r="C374" s="7">
        <f t="shared" ca="1" si="5"/>
        <v>-1.1087679149179852E-4</v>
      </c>
    </row>
    <row r="375" spans="1:3" x14ac:dyDescent="0.3">
      <c r="A375" vm="747">
        <f ca="1"/>
        <v>45716</v>
      </c>
      <c r="B375" s="4" vm="748">
        <f ca="1"/>
        <v>22124.7</v>
      </c>
      <c r="C375" s="7">
        <f t="shared" ca="1" si="5"/>
        <v>-1.8644891007116748E-2</v>
      </c>
    </row>
    <row r="376" spans="1:3" x14ac:dyDescent="0.3">
      <c r="A376" vm="749">
        <f ca="1"/>
        <v>45719</v>
      </c>
      <c r="B376" s="4" vm="750">
        <f ca="1"/>
        <v>22119.3</v>
      </c>
      <c r="C376" s="7">
        <f t="shared" ca="1" si="5"/>
        <v>-2.4407110604895976E-4</v>
      </c>
    </row>
    <row r="377" spans="1:3" x14ac:dyDescent="0.3">
      <c r="A377" vm="751">
        <f ca="1"/>
        <v>45720</v>
      </c>
      <c r="B377" s="4" vm="752">
        <f ca="1"/>
        <v>22082.65</v>
      </c>
      <c r="C377" s="7">
        <f t="shared" ca="1" si="5"/>
        <v>-1.6569240437083188E-3</v>
      </c>
    </row>
    <row r="378" spans="1:3" x14ac:dyDescent="0.3">
      <c r="A378" vm="753">
        <f ca="1"/>
        <v>45721</v>
      </c>
      <c r="B378" s="4" vm="754">
        <f ca="1"/>
        <v>22337.3</v>
      </c>
      <c r="C378" s="7">
        <f t="shared" ca="1" si="5"/>
        <v>1.1531677583985545E-2</v>
      </c>
    </row>
    <row r="379" spans="1:3" x14ac:dyDescent="0.3">
      <c r="A379" vm="755">
        <f ca="1"/>
        <v>45722</v>
      </c>
      <c r="B379" s="4" vm="756">
        <f ca="1"/>
        <v>22544.7</v>
      </c>
      <c r="C379" s="7">
        <f t="shared" ca="1" si="5"/>
        <v>9.2849180518683738E-3</v>
      </c>
    </row>
    <row r="380" spans="1:3" x14ac:dyDescent="0.3">
      <c r="A380" vm="757">
        <f ca="1"/>
        <v>45723</v>
      </c>
      <c r="B380" s="4" vm="758">
        <f ca="1"/>
        <v>22552.5</v>
      </c>
      <c r="C380" s="7">
        <f t="shared" ca="1" si="5"/>
        <v>3.459793210820461E-4</v>
      </c>
    </row>
    <row r="381" spans="1:3" x14ac:dyDescent="0.3">
      <c r="A381" vm="759">
        <f ca="1"/>
        <v>45726</v>
      </c>
      <c r="B381" s="4" vm="760">
        <f ca="1"/>
        <v>22460.3</v>
      </c>
      <c r="C381" s="7">
        <f t="shared" ca="1" si="5"/>
        <v>-4.0882385544840361E-3</v>
      </c>
    </row>
    <row r="382" spans="1:3" x14ac:dyDescent="0.3">
      <c r="A382" vm="761">
        <f ca="1"/>
        <v>45727</v>
      </c>
      <c r="B382" s="4" vm="762">
        <f ca="1"/>
        <v>22497.9</v>
      </c>
      <c r="C382" s="7">
        <f t="shared" ca="1" si="5"/>
        <v>1.6740649056334878E-3</v>
      </c>
    </row>
    <row r="383" spans="1:3" x14ac:dyDescent="0.3">
      <c r="A383" vm="763">
        <f ca="1"/>
        <v>45728</v>
      </c>
      <c r="B383" s="4" vm="764">
        <f ca="1"/>
        <v>22470.5</v>
      </c>
      <c r="C383" s="7">
        <f t="shared" ca="1" si="5"/>
        <v>-1.2178914476462799E-3</v>
      </c>
    </row>
    <row r="384" spans="1:3" x14ac:dyDescent="0.3">
      <c r="A384" vm="765">
        <f ca="1"/>
        <v>45729</v>
      </c>
      <c r="B384" s="4" vm="766">
        <f ca="1"/>
        <v>22397.200000000001</v>
      </c>
      <c r="C384" s="7">
        <f t="shared" ca="1" si="5"/>
        <v>-3.2620546939320372E-3</v>
      </c>
    </row>
    <row r="385" spans="1:3" x14ac:dyDescent="0.3">
      <c r="A385" vm="767">
        <f ca="1"/>
        <v>45733</v>
      </c>
      <c r="B385" s="4" vm="768">
        <f ca="1"/>
        <v>22508.75</v>
      </c>
      <c r="C385" s="7">
        <f t="shared" ca="1" si="5"/>
        <v>4.9805332809458314E-3</v>
      </c>
    </row>
    <row r="386" spans="1:3" x14ac:dyDescent="0.3">
      <c r="A386" vm="769">
        <f ca="1"/>
        <v>45734</v>
      </c>
      <c r="B386" s="4" vm="770">
        <f ca="1"/>
        <v>22834.3</v>
      </c>
      <c r="C386" s="7">
        <f t="shared" ca="1" si="5"/>
        <v>1.4463264286110888E-2</v>
      </c>
    </row>
    <row r="387" spans="1:3" x14ac:dyDescent="0.3">
      <c r="A387" vm="771">
        <f ca="1"/>
        <v>45735</v>
      </c>
      <c r="B387" s="4" vm="772">
        <f ca="1"/>
        <v>22907.599999999999</v>
      </c>
      <c r="C387" s="7">
        <f t="shared" ca="1" si="5"/>
        <v>3.2100830767747279E-3</v>
      </c>
    </row>
    <row r="388" spans="1:3" x14ac:dyDescent="0.3">
      <c r="A388" vm="773">
        <f ca="1"/>
        <v>45736</v>
      </c>
      <c r="B388" s="4" vm="774">
        <f ca="1"/>
        <v>23190.65</v>
      </c>
      <c r="C388" s="7">
        <f t="shared" ref="C388:C451" ca="1" si="6">B388/B387-1</f>
        <v>1.2356161273987754E-2</v>
      </c>
    </row>
    <row r="389" spans="1:3" x14ac:dyDescent="0.3">
      <c r="A389" vm="775">
        <f ca="1"/>
        <v>45737</v>
      </c>
      <c r="B389" s="4" vm="776">
        <f ca="1"/>
        <v>23350.400000000001</v>
      </c>
      <c r="C389" s="7">
        <f t="shared" ca="1" si="6"/>
        <v>6.8885520673203082E-3</v>
      </c>
    </row>
    <row r="390" spans="1:3" x14ac:dyDescent="0.3">
      <c r="A390" vm="777">
        <f ca="1"/>
        <v>45740</v>
      </c>
      <c r="B390" s="4" vm="778">
        <f ca="1"/>
        <v>23658.35</v>
      </c>
      <c r="C390" s="7">
        <f t="shared" ca="1" si="6"/>
        <v>1.3188210908592346E-2</v>
      </c>
    </row>
    <row r="391" spans="1:3" x14ac:dyDescent="0.3">
      <c r="A391" vm="779">
        <f ca="1"/>
        <v>45741</v>
      </c>
      <c r="B391" s="4" vm="780">
        <f ca="1"/>
        <v>23668.65</v>
      </c>
      <c r="C391" s="7">
        <f t="shared" ca="1" si="6"/>
        <v>4.353642582852757E-4</v>
      </c>
    </row>
    <row r="392" spans="1:3" x14ac:dyDescent="0.3">
      <c r="A392" vm="781">
        <f ca="1"/>
        <v>45742</v>
      </c>
      <c r="B392" s="4" vm="782">
        <f ca="1"/>
        <v>23486.85</v>
      </c>
      <c r="C392" s="7">
        <f t="shared" ca="1" si="6"/>
        <v>-7.6810464475161044E-3</v>
      </c>
    </row>
    <row r="393" spans="1:3" x14ac:dyDescent="0.3">
      <c r="A393" vm="783">
        <f ca="1"/>
        <v>45743</v>
      </c>
      <c r="B393" s="4" vm="784">
        <f ca="1"/>
        <v>23591.95</v>
      </c>
      <c r="C393" s="7">
        <f t="shared" ca="1" si="6"/>
        <v>4.4748444342259663E-3</v>
      </c>
    </row>
    <row r="394" spans="1:3" x14ac:dyDescent="0.3">
      <c r="A394" vm="785">
        <f ca="1"/>
        <v>45744</v>
      </c>
      <c r="B394" s="4" vm="786">
        <f ca="1"/>
        <v>23519.35</v>
      </c>
      <c r="C394" s="7">
        <f t="shared" ca="1" si="6"/>
        <v>-3.0773208658039231E-3</v>
      </c>
    </row>
    <row r="395" spans="1:3" x14ac:dyDescent="0.3">
      <c r="A395" vm="787">
        <f ca="1"/>
        <v>45748</v>
      </c>
      <c r="B395" s="4" vm="788">
        <f ca="1"/>
        <v>23165.7</v>
      </c>
      <c r="C395" s="7">
        <f t="shared" ca="1" si="6"/>
        <v>-1.5036555006834651E-2</v>
      </c>
    </row>
    <row r="396" spans="1:3" x14ac:dyDescent="0.3">
      <c r="A396" vm="789">
        <f ca="1"/>
        <v>45749</v>
      </c>
      <c r="B396" s="4" vm="790">
        <f ca="1"/>
        <v>23332.35</v>
      </c>
      <c r="C396" s="7">
        <f t="shared" ca="1" si="6"/>
        <v>7.1938253538634811E-3</v>
      </c>
    </row>
    <row r="397" spans="1:3" x14ac:dyDescent="0.3">
      <c r="A397" vm="791">
        <f ca="1"/>
        <v>45750</v>
      </c>
      <c r="B397" s="4" vm="792">
        <f ca="1"/>
        <v>23250.1</v>
      </c>
      <c r="C397" s="7">
        <f t="shared" ca="1" si="6"/>
        <v>-3.5251485598322141E-3</v>
      </c>
    </row>
    <row r="398" spans="1:3" x14ac:dyDescent="0.3">
      <c r="A398" vm="793">
        <f ca="1"/>
        <v>45751</v>
      </c>
      <c r="B398" s="4" vm="794">
        <f ca="1"/>
        <v>22904.45</v>
      </c>
      <c r="C398" s="7">
        <f t="shared" ca="1" si="6"/>
        <v>-1.4866602724289302E-2</v>
      </c>
    </row>
    <row r="399" spans="1:3" x14ac:dyDescent="0.3">
      <c r="A399" vm="795">
        <f ca="1"/>
        <v>45754</v>
      </c>
      <c r="B399" s="4" vm="796">
        <f ca="1"/>
        <v>22161.599999999999</v>
      </c>
      <c r="C399" s="7">
        <f t="shared" ca="1" si="6"/>
        <v>-3.2432562231356932E-2</v>
      </c>
    </row>
    <row r="400" spans="1:3" x14ac:dyDescent="0.3">
      <c r="A400" vm="797">
        <f ca="1"/>
        <v>45755</v>
      </c>
      <c r="B400" s="4" vm="798">
        <f ca="1"/>
        <v>22535.85</v>
      </c>
      <c r="C400" s="7">
        <f t="shared" ca="1" si="6"/>
        <v>1.68873186051548E-2</v>
      </c>
    </row>
    <row r="401" spans="1:3" x14ac:dyDescent="0.3">
      <c r="A401" vm="799">
        <f ca="1"/>
        <v>45756</v>
      </c>
      <c r="B401" s="4" vm="800">
        <f ca="1"/>
        <v>22399.15</v>
      </c>
      <c r="C401" s="7">
        <f t="shared" ca="1" si="6"/>
        <v>-6.0658905699140231E-3</v>
      </c>
    </row>
    <row r="402" spans="1:3" x14ac:dyDescent="0.3">
      <c r="A402" vm="801">
        <f ca="1"/>
        <v>45758</v>
      </c>
      <c r="B402" s="4" vm="802">
        <f ca="1"/>
        <v>22828.55</v>
      </c>
      <c r="C402" s="7">
        <f t="shared" ca="1" si="6"/>
        <v>1.91703703042303E-2</v>
      </c>
    </row>
    <row r="403" spans="1:3" x14ac:dyDescent="0.3">
      <c r="A403" vm="803">
        <f ca="1"/>
        <v>45762</v>
      </c>
      <c r="B403" s="4" vm="804">
        <f ca="1"/>
        <v>23328.55</v>
      </c>
      <c r="C403" s="7">
        <f t="shared" ca="1" si="6"/>
        <v>2.1902398531663314E-2</v>
      </c>
    </row>
    <row r="404" spans="1:3" x14ac:dyDescent="0.3">
      <c r="A404" vm="805">
        <f ca="1"/>
        <v>45763</v>
      </c>
      <c r="B404" s="4" vm="806">
        <f ca="1"/>
        <v>23437.200000000001</v>
      </c>
      <c r="C404" s="7">
        <f t="shared" ca="1" si="6"/>
        <v>4.6573833350123106E-3</v>
      </c>
    </row>
    <row r="405" spans="1:3" x14ac:dyDescent="0.3">
      <c r="A405" vm="807">
        <f ca="1"/>
        <v>45764</v>
      </c>
      <c r="B405" s="4" vm="808">
        <f ca="1"/>
        <v>23851.65</v>
      </c>
      <c r="C405" s="7">
        <f t="shared" ca="1" si="6"/>
        <v>1.7683426347857356E-2</v>
      </c>
    </row>
    <row r="406" spans="1:3" x14ac:dyDescent="0.3">
      <c r="A406" vm="809">
        <f ca="1"/>
        <v>45768</v>
      </c>
      <c r="B406" s="4" vm="810">
        <f ca="1"/>
        <v>24125.55</v>
      </c>
      <c r="C406" s="7">
        <f t="shared" ca="1" si="6"/>
        <v>1.1483482274811108E-2</v>
      </c>
    </row>
    <row r="407" spans="1:3" x14ac:dyDescent="0.3">
      <c r="A407" vm="811">
        <f ca="1"/>
        <v>45769</v>
      </c>
      <c r="B407" s="4" vm="812">
        <f ca="1"/>
        <v>24167.25</v>
      </c>
      <c r="C407" s="7">
        <f t="shared" ca="1" si="6"/>
        <v>1.7284580040661801E-3</v>
      </c>
    </row>
    <row r="408" spans="1:3" x14ac:dyDescent="0.3">
      <c r="A408" vm="813">
        <f ca="1"/>
        <v>45770</v>
      </c>
      <c r="B408" s="4" vm="814">
        <f ca="1"/>
        <v>24328.95</v>
      </c>
      <c r="C408" s="7">
        <f t="shared" ca="1" si="6"/>
        <v>6.6908729789281196E-3</v>
      </c>
    </row>
    <row r="409" spans="1:3" x14ac:dyDescent="0.3">
      <c r="A409" vm="815">
        <f ca="1"/>
        <v>45771</v>
      </c>
      <c r="B409" s="4" vm="816">
        <f ca="1"/>
        <v>24246.7</v>
      </c>
      <c r="C409" s="7">
        <f t="shared" ca="1" si="6"/>
        <v>-3.380745983694311E-3</v>
      </c>
    </row>
    <row r="410" spans="1:3" x14ac:dyDescent="0.3">
      <c r="A410" vm="817">
        <f ca="1"/>
        <v>45772</v>
      </c>
      <c r="B410" s="4" vm="818">
        <f ca="1"/>
        <v>24039.35</v>
      </c>
      <c r="C410" s="7">
        <f t="shared" ca="1" si="6"/>
        <v>-8.5516791975815964E-3</v>
      </c>
    </row>
    <row r="411" spans="1:3" x14ac:dyDescent="0.3">
      <c r="A411" vm="819">
        <f ca="1"/>
        <v>45775</v>
      </c>
      <c r="B411" s="4" vm="820">
        <f ca="1"/>
        <v>24328.5</v>
      </c>
      <c r="C411" s="7">
        <f t="shared" ca="1" si="6"/>
        <v>1.2028195437896683E-2</v>
      </c>
    </row>
    <row r="412" spans="1:3" x14ac:dyDescent="0.3">
      <c r="A412" vm="821">
        <f ca="1"/>
        <v>45776</v>
      </c>
      <c r="B412" s="4" vm="822">
        <f ca="1"/>
        <v>24335.95</v>
      </c>
      <c r="C412" s="7">
        <f t="shared" ca="1" si="6"/>
        <v>3.0622520911682827E-4</v>
      </c>
    </row>
    <row r="413" spans="1:3" x14ac:dyDescent="0.3">
      <c r="A413" vm="823">
        <f ca="1"/>
        <v>45777</v>
      </c>
      <c r="B413" s="4" vm="824">
        <f ca="1"/>
        <v>24334.2</v>
      </c>
      <c r="C413" s="7">
        <f t="shared" ca="1" si="6"/>
        <v>-7.1910075423398112E-5</v>
      </c>
    </row>
    <row r="414" spans="1:3" x14ac:dyDescent="0.3">
      <c r="A414" vm="825">
        <f ca="1"/>
        <v>45779</v>
      </c>
      <c r="B414" s="4" vm="826">
        <f ca="1"/>
        <v>24346.7</v>
      </c>
      <c r="C414" s="7">
        <f t="shared" ca="1" si="6"/>
        <v>5.1368033467302787E-4</v>
      </c>
    </row>
    <row r="415" spans="1:3" x14ac:dyDescent="0.3">
      <c r="A415" vm="827">
        <f ca="1"/>
        <v>45782</v>
      </c>
      <c r="B415" s="4" vm="828">
        <f ca="1"/>
        <v>24461.15</v>
      </c>
      <c r="C415" s="7">
        <f t="shared" ca="1" si="6"/>
        <v>4.7008424139616256E-3</v>
      </c>
    </row>
    <row r="416" spans="1:3" x14ac:dyDescent="0.3">
      <c r="A416" vm="829">
        <f ca="1"/>
        <v>45783</v>
      </c>
      <c r="B416" s="4" vm="830">
        <f ca="1"/>
        <v>24379.599999999999</v>
      </c>
      <c r="C416" s="7">
        <f t="shared" ca="1" si="6"/>
        <v>-3.3338579747886898E-3</v>
      </c>
    </row>
    <row r="417" spans="1:3" x14ac:dyDescent="0.3">
      <c r="A417" vm="831">
        <f ca="1"/>
        <v>45784</v>
      </c>
      <c r="B417" s="4" vm="832">
        <f ca="1"/>
        <v>24414.400000000001</v>
      </c>
      <c r="C417" s="7">
        <f t="shared" ca="1" si="6"/>
        <v>1.4274229273656402E-3</v>
      </c>
    </row>
    <row r="418" spans="1:3" x14ac:dyDescent="0.3">
      <c r="A418" vm="833">
        <f ca="1"/>
        <v>45785</v>
      </c>
      <c r="B418" s="4" vm="834">
        <f ca="1"/>
        <v>24273.8</v>
      </c>
      <c r="C418" s="7">
        <f t="shared" ca="1" si="6"/>
        <v>-5.758896389016388E-3</v>
      </c>
    </row>
    <row r="419" spans="1:3" x14ac:dyDescent="0.3">
      <c r="A419" vm="835">
        <f ca="1"/>
        <v>45786</v>
      </c>
      <c r="B419" s="4" vm="836">
        <f ca="1"/>
        <v>24008</v>
      </c>
      <c r="C419" s="7">
        <f t="shared" ca="1" si="6"/>
        <v>-1.0950077861727414E-2</v>
      </c>
    </row>
    <row r="420" spans="1:3" x14ac:dyDescent="0.3">
      <c r="A420" vm="837">
        <f ca="1"/>
        <v>45789</v>
      </c>
      <c r="B420" s="4" vm="838">
        <f ca="1"/>
        <v>24924.7</v>
      </c>
      <c r="C420" s="7">
        <f t="shared" ca="1" si="6"/>
        <v>3.8183105631456105E-2</v>
      </c>
    </row>
    <row r="421" spans="1:3" x14ac:dyDescent="0.3">
      <c r="A421" vm="839">
        <f ca="1"/>
        <v>45790</v>
      </c>
      <c r="B421" s="4" vm="840">
        <f ca="1"/>
        <v>24578.35</v>
      </c>
      <c r="C421" s="7">
        <f t="shared" ca="1" si="6"/>
        <v>-1.3895854313191403E-2</v>
      </c>
    </row>
    <row r="422" spans="1:3" x14ac:dyDescent="0.3">
      <c r="A422" vm="841">
        <f ca="1"/>
        <v>45791</v>
      </c>
      <c r="B422" s="4" vm="842">
        <f ca="1"/>
        <v>24666.9</v>
      </c>
      <c r="C422" s="7">
        <f t="shared" ca="1" si="6"/>
        <v>3.602764221357635E-3</v>
      </c>
    </row>
    <row r="423" spans="1:3" x14ac:dyDescent="0.3">
      <c r="A423" vm="843">
        <f ca="1"/>
        <v>45792</v>
      </c>
      <c r="B423" s="4" vm="844">
        <f ca="1"/>
        <v>25062.1</v>
      </c>
      <c r="C423" s="7">
        <f t="shared" ca="1" si="6"/>
        <v>1.6021470067175025E-2</v>
      </c>
    </row>
    <row r="424" spans="1:3" x14ac:dyDescent="0.3">
      <c r="A424" vm="845">
        <f ca="1"/>
        <v>45793</v>
      </c>
      <c r="B424" s="4" vm="846">
        <f ca="1"/>
        <v>25019.8</v>
      </c>
      <c r="C424" s="7">
        <f t="shared" ca="1" si="6"/>
        <v>-1.6878074862042292E-3</v>
      </c>
    </row>
    <row r="425" spans="1:3" x14ac:dyDescent="0.3">
      <c r="A425" vm="847">
        <f ca="1"/>
        <v>45796</v>
      </c>
      <c r="B425" s="4" vm="848">
        <f ca="1"/>
        <v>24945.45</v>
      </c>
      <c r="C425" s="7">
        <f t="shared" ca="1" si="6"/>
        <v>-2.9716464560067823E-3</v>
      </c>
    </row>
    <row r="426" spans="1:3" x14ac:dyDescent="0.3">
      <c r="A426" vm="849">
        <f ca="1"/>
        <v>45797</v>
      </c>
      <c r="B426" s="4" vm="850">
        <f ca="1"/>
        <v>24683.9</v>
      </c>
      <c r="C426" s="7">
        <f t="shared" ca="1" si="6"/>
        <v>-1.0484878003804265E-2</v>
      </c>
    </row>
    <row r="427" spans="1:3" x14ac:dyDescent="0.3">
      <c r="A427" vm="851">
        <f ca="1"/>
        <v>45798</v>
      </c>
      <c r="B427" s="4" vm="852">
        <f ca="1"/>
        <v>24813.45</v>
      </c>
      <c r="C427" s="7">
        <f t="shared" ca="1" si="6"/>
        <v>5.2483602672186436E-3</v>
      </c>
    </row>
    <row r="428" spans="1:3" x14ac:dyDescent="0.3">
      <c r="A428" vm="853">
        <f ca="1"/>
        <v>45799</v>
      </c>
      <c r="B428" s="4" vm="854">
        <f ca="1"/>
        <v>24609.7</v>
      </c>
      <c r="C428" s="7">
        <f t="shared" ca="1" si="6"/>
        <v>-8.2112725155107924E-3</v>
      </c>
    </row>
    <row r="429" spans="1:3" x14ac:dyDescent="0.3">
      <c r="A429" vm="855">
        <f ca="1"/>
        <v>45800</v>
      </c>
      <c r="B429" s="4" vm="856">
        <f ca="1"/>
        <v>24853.15</v>
      </c>
      <c r="C429" s="7">
        <f t="shared" ca="1" si="6"/>
        <v>9.8924407855438545E-3</v>
      </c>
    </row>
    <row r="430" spans="1:3" x14ac:dyDescent="0.3">
      <c r="A430" vm="857">
        <f ca="1"/>
        <v>45803</v>
      </c>
      <c r="B430" s="4" vm="858">
        <f ca="1"/>
        <v>25001.15</v>
      </c>
      <c r="C430" s="7">
        <f t="shared" ca="1" si="6"/>
        <v>5.954979549875894E-3</v>
      </c>
    </row>
    <row r="431" spans="1:3" x14ac:dyDescent="0.3">
      <c r="A431" vm="859">
        <f ca="1"/>
        <v>45804</v>
      </c>
      <c r="B431" s="4" vm="860">
        <f ca="1"/>
        <v>24826.2</v>
      </c>
      <c r="C431" s="7">
        <f t="shared" ca="1" si="6"/>
        <v>-6.9976781068070704E-3</v>
      </c>
    </row>
    <row r="432" spans="1:3" x14ac:dyDescent="0.3">
      <c r="A432" vm="861">
        <f ca="1"/>
        <v>45805</v>
      </c>
      <c r="B432" s="4" vm="862">
        <f ca="1"/>
        <v>24752.45</v>
      </c>
      <c r="C432" s="7">
        <f t="shared" ca="1" si="6"/>
        <v>-2.9706519725128944E-3</v>
      </c>
    </row>
    <row r="433" spans="1:3" x14ac:dyDescent="0.3">
      <c r="A433" vm="863">
        <f ca="1"/>
        <v>45806</v>
      </c>
      <c r="B433" s="4" vm="864">
        <f ca="1"/>
        <v>24833.599999999999</v>
      </c>
      <c r="C433" s="7">
        <f t="shared" ca="1" si="6"/>
        <v>3.2784633440325894E-3</v>
      </c>
    </row>
    <row r="434" spans="1:3" x14ac:dyDescent="0.3">
      <c r="A434" vm="865">
        <f ca="1"/>
        <v>45807</v>
      </c>
      <c r="B434" s="4" vm="866">
        <f ca="1"/>
        <v>24750.7</v>
      </c>
      <c r="C434" s="7">
        <f t="shared" ca="1" si="6"/>
        <v>-3.3382191869080202E-3</v>
      </c>
    </row>
    <row r="435" spans="1:3" x14ac:dyDescent="0.3">
      <c r="A435" vm="867">
        <f ca="1"/>
        <v>45810</v>
      </c>
      <c r="B435" s="4" vm="868">
        <f ca="1"/>
        <v>24716.6</v>
      </c>
      <c r="C435" s="7">
        <f t="shared" ca="1" si="6"/>
        <v>-1.3777388114276645E-3</v>
      </c>
    </row>
    <row r="436" spans="1:3" x14ac:dyDescent="0.3">
      <c r="A436" vm="869">
        <f ca="1"/>
        <v>45811</v>
      </c>
      <c r="B436" s="4" vm="870">
        <f ca="1"/>
        <v>24542.5</v>
      </c>
      <c r="C436" s="7">
        <f t="shared" ca="1" si="6"/>
        <v>-7.0438490730925229E-3</v>
      </c>
    </row>
    <row r="437" spans="1:3" x14ac:dyDescent="0.3">
      <c r="A437" vm="871">
        <f ca="1"/>
        <v>45812</v>
      </c>
      <c r="B437" s="4" vm="872">
        <f ca="1"/>
        <v>24620.2</v>
      </c>
      <c r="C437" s="7">
        <f t="shared" ca="1" si="6"/>
        <v>3.1659366405216716E-3</v>
      </c>
    </row>
    <row r="438" spans="1:3" x14ac:dyDescent="0.3">
      <c r="A438" vm="873">
        <f ca="1"/>
        <v>45813</v>
      </c>
      <c r="B438" s="4" vm="874">
        <f ca="1"/>
        <v>24750.9</v>
      </c>
      <c r="C438" s="7">
        <f t="shared" ca="1" si="6"/>
        <v>5.3086489955402882E-3</v>
      </c>
    </row>
    <row r="439" spans="1:3" x14ac:dyDescent="0.3">
      <c r="A439" vm="875">
        <f ca="1"/>
        <v>45814</v>
      </c>
      <c r="B439" s="4" vm="876">
        <f ca="1"/>
        <v>25003.05</v>
      </c>
      <c r="C439" s="7">
        <f t="shared" ca="1" si="6"/>
        <v>1.0187508333030282E-2</v>
      </c>
    </row>
    <row r="440" spans="1:3" x14ac:dyDescent="0.3">
      <c r="A440" vm="877">
        <f ca="1"/>
        <v>45817</v>
      </c>
      <c r="B440" s="4" vm="878">
        <f ca="1"/>
        <v>25103.200000000001</v>
      </c>
      <c r="C440" s="7">
        <f t="shared" ca="1" si="6"/>
        <v>4.0055113276180609E-3</v>
      </c>
    </row>
    <row r="441" spans="1:3" x14ac:dyDescent="0.3">
      <c r="A441" vm="879">
        <f ca="1"/>
        <v>45818</v>
      </c>
      <c r="B441" s="4" vm="880">
        <f ca="1"/>
        <v>25104.25</v>
      </c>
      <c r="C441" s="7">
        <f t="shared" ca="1" si="6"/>
        <v>4.1827336753952338E-5</v>
      </c>
    </row>
    <row r="442" spans="1:3" x14ac:dyDescent="0.3">
      <c r="A442" vm="881">
        <f ca="1"/>
        <v>45819</v>
      </c>
      <c r="B442" s="4" vm="882">
        <f ca="1"/>
        <v>25141.4</v>
      </c>
      <c r="C442" s="7">
        <f t="shared" ca="1" si="6"/>
        <v>1.4798291126005836E-3</v>
      </c>
    </row>
    <row r="443" spans="1:3" x14ac:dyDescent="0.3">
      <c r="A443" vm="883">
        <f ca="1"/>
        <v>45820</v>
      </c>
      <c r="B443" s="4" vm="884">
        <f ca="1"/>
        <v>24888.2</v>
      </c>
      <c r="C443" s="7">
        <f t="shared" ca="1" si="6"/>
        <v>-1.0071038207896121E-2</v>
      </c>
    </row>
    <row r="444" spans="1:3" x14ac:dyDescent="0.3">
      <c r="A444" vm="885">
        <f ca="1"/>
        <v>45821</v>
      </c>
      <c r="B444" s="4" vm="886">
        <f ca="1"/>
        <v>24718.6</v>
      </c>
      <c r="C444" s="7">
        <f t="shared" ca="1" si="6"/>
        <v>-6.8144743292002374E-3</v>
      </c>
    </row>
    <row r="445" spans="1:3" x14ac:dyDescent="0.3">
      <c r="A445" vm="887">
        <f ca="1"/>
        <v>45824</v>
      </c>
      <c r="B445" s="4" vm="888">
        <f ca="1"/>
        <v>24946.5</v>
      </c>
      <c r="C445" s="7">
        <f t="shared" ca="1" si="6"/>
        <v>9.2197778191323021E-3</v>
      </c>
    </row>
    <row r="446" spans="1:3" x14ac:dyDescent="0.3">
      <c r="A446" vm="889">
        <f ca="1"/>
        <v>45825</v>
      </c>
      <c r="B446" s="4" vm="890">
        <f ca="1"/>
        <v>24853.4</v>
      </c>
      <c r="C446" s="7">
        <f t="shared" ca="1" si="6"/>
        <v>-3.7319864510051426E-3</v>
      </c>
    </row>
    <row r="447" spans="1:3" x14ac:dyDescent="0.3">
      <c r="A447" vm="891">
        <f ca="1"/>
        <v>45826</v>
      </c>
      <c r="B447" s="4" vm="892">
        <f ca="1"/>
        <v>24812.05</v>
      </c>
      <c r="C447" s="7">
        <f t="shared" ca="1" si="6"/>
        <v>-1.6637562667483063E-3</v>
      </c>
    </row>
    <row r="448" spans="1:3" x14ac:dyDescent="0.3">
      <c r="A448" vm="893">
        <f ca="1"/>
        <v>45827</v>
      </c>
      <c r="B448" s="4" vm="894">
        <f ca="1"/>
        <v>24793.25</v>
      </c>
      <c r="C448" s="7">
        <f t="shared" ca="1" si="6"/>
        <v>-7.5769636124378703E-4</v>
      </c>
    </row>
    <row r="449" spans="1:3" x14ac:dyDescent="0.3">
      <c r="A449" vm="895">
        <f ca="1"/>
        <v>45828</v>
      </c>
      <c r="B449" s="4" vm="896">
        <f ca="1"/>
        <v>25112.400000000001</v>
      </c>
      <c r="C449" s="7">
        <f t="shared" ca="1" si="6"/>
        <v>1.2872455204541611E-2</v>
      </c>
    </row>
    <row r="450" spans="1:3" x14ac:dyDescent="0.3">
      <c r="A450" vm="897">
        <f ca="1"/>
        <v>45831</v>
      </c>
      <c r="B450" s="4" vm="898">
        <f ca="1"/>
        <v>24971.9</v>
      </c>
      <c r="C450" s="7">
        <f t="shared" ca="1" si="6"/>
        <v>-5.594845574297902E-3</v>
      </c>
    </row>
    <row r="451" spans="1:3" x14ac:dyDescent="0.3">
      <c r="A451" vm="899">
        <f ca="1"/>
        <v>45832</v>
      </c>
      <c r="B451" s="4" vm="900">
        <f ca="1"/>
        <v>25044.35</v>
      </c>
      <c r="C451" s="7">
        <f t="shared" ca="1" si="6"/>
        <v>2.9012610173835274E-3</v>
      </c>
    </row>
    <row r="452" spans="1:3" x14ac:dyDescent="0.3">
      <c r="A452" vm="901">
        <f ca="1"/>
        <v>45833</v>
      </c>
      <c r="B452" s="4" vm="902">
        <f ca="1"/>
        <v>25244.75</v>
      </c>
      <c r="C452" s="7">
        <f t="shared" ref="C452:C515" ca="1" si="7">B452/B451-1</f>
        <v>8.001804798287937E-3</v>
      </c>
    </row>
    <row r="453" spans="1:3" x14ac:dyDescent="0.3">
      <c r="A453" vm="903">
        <f ca="1"/>
        <v>45834</v>
      </c>
      <c r="B453" s="4" vm="904">
        <f ca="1"/>
        <v>25549</v>
      </c>
      <c r="C453" s="7">
        <f t="shared" ca="1" si="7"/>
        <v>1.2052010814129765E-2</v>
      </c>
    </row>
    <row r="454" spans="1:3" x14ac:dyDescent="0.3">
      <c r="A454" vm="905">
        <f ca="1"/>
        <v>45835</v>
      </c>
      <c r="B454" s="4" vm="906">
        <f ca="1"/>
        <v>25637.8</v>
      </c>
      <c r="C454" s="7">
        <f t="shared" ca="1" si="7"/>
        <v>3.4756741946846414E-3</v>
      </c>
    </row>
    <row r="455" spans="1:3" x14ac:dyDescent="0.3">
      <c r="A455" vm="907">
        <f ca="1"/>
        <v>45838</v>
      </c>
      <c r="B455" s="4" vm="908">
        <f ca="1"/>
        <v>25517.05</v>
      </c>
      <c r="C455" s="7">
        <f t="shared" ca="1" si="7"/>
        <v>-4.7098424981862896E-3</v>
      </c>
    </row>
    <row r="456" spans="1:3" x14ac:dyDescent="0.3">
      <c r="A456" vm="909">
        <f ca="1"/>
        <v>45839</v>
      </c>
      <c r="B456" s="4" vm="910">
        <f ca="1"/>
        <v>25541.8</v>
      </c>
      <c r="C456" s="7">
        <f t="shared" ca="1" si="7"/>
        <v>9.6993970698022736E-4</v>
      </c>
    </row>
    <row r="457" spans="1:3" x14ac:dyDescent="0.3">
      <c r="A457" vm="911">
        <f ca="1"/>
        <v>45840</v>
      </c>
      <c r="B457" s="4" vm="912">
        <f ca="1"/>
        <v>25453.4</v>
      </c>
      <c r="C457" s="7">
        <f t="shared" ca="1" si="7"/>
        <v>-3.4609933520737268E-3</v>
      </c>
    </row>
    <row r="458" spans="1:3" x14ac:dyDescent="0.3">
      <c r="A458" vm="913">
        <f ca="1"/>
        <v>45841</v>
      </c>
      <c r="B458" s="4" vm="914">
        <f ca="1"/>
        <v>25405.3</v>
      </c>
      <c r="C458" s="7">
        <f t="shared" ca="1" si="7"/>
        <v>-1.8897278948981633E-3</v>
      </c>
    </row>
    <row r="459" spans="1:3" x14ac:dyDescent="0.3">
      <c r="A459" vm="915">
        <f ca="1"/>
        <v>45842</v>
      </c>
      <c r="B459" s="4" vm="916">
        <f ca="1"/>
        <v>25461</v>
      </c>
      <c r="C459" s="7">
        <f t="shared" ca="1" si="7"/>
        <v>2.1924559048702719E-3</v>
      </c>
    </row>
    <row r="460" spans="1:3" x14ac:dyDescent="0.3">
      <c r="A460" vm="917">
        <f ca="1"/>
        <v>45845</v>
      </c>
      <c r="B460" s="4" vm="918">
        <f ca="1"/>
        <v>25461.3</v>
      </c>
      <c r="C460" s="7">
        <f t="shared" ca="1" si="7"/>
        <v>1.1782726522913123E-5</v>
      </c>
    </row>
    <row r="461" spans="1:3" x14ac:dyDescent="0.3">
      <c r="A461" vm="919">
        <f ca="1"/>
        <v>45846</v>
      </c>
      <c r="B461" s="4" vm="920">
        <f ca="1"/>
        <v>25522.5</v>
      </c>
      <c r="C461" s="7">
        <f t="shared" ca="1" si="7"/>
        <v>2.403647889149374E-3</v>
      </c>
    </row>
    <row r="462" spans="1:3" x14ac:dyDescent="0.3">
      <c r="A462" vm="921">
        <f ca="1"/>
        <v>45847</v>
      </c>
      <c r="B462" s="4" vm="922">
        <f ca="1"/>
        <v>25476.1</v>
      </c>
      <c r="C462" s="7">
        <f t="shared" ca="1" si="7"/>
        <v>-1.8180037222059742E-3</v>
      </c>
    </row>
    <row r="463" spans="1:3" x14ac:dyDescent="0.3">
      <c r="A463" vm="923">
        <f ca="1"/>
        <v>45848</v>
      </c>
      <c r="B463" s="4" vm="924">
        <f ca="1"/>
        <v>25355.25</v>
      </c>
      <c r="C463" s="7">
        <f t="shared" ca="1" si="7"/>
        <v>-4.7436617064621212E-3</v>
      </c>
    </row>
    <row r="464" spans="1:3" x14ac:dyDescent="0.3">
      <c r="A464" vm="925">
        <f ca="1"/>
        <v>45849</v>
      </c>
      <c r="B464" s="4" vm="926">
        <f ca="1"/>
        <v>25149.85</v>
      </c>
      <c r="C464" s="7">
        <f t="shared" ca="1" si="7"/>
        <v>-8.1008864041963724E-3</v>
      </c>
    </row>
    <row r="465" spans="1:3" x14ac:dyDescent="0.3">
      <c r="A465" vm="927">
        <f ca="1"/>
        <v>45852</v>
      </c>
      <c r="B465" s="4" vm="928">
        <f ca="1"/>
        <v>25082.3</v>
      </c>
      <c r="C465" s="7">
        <f t="shared" ca="1" si="7"/>
        <v>-2.68590071113739E-3</v>
      </c>
    </row>
    <row r="466" spans="1:3" x14ac:dyDescent="0.3">
      <c r="A466" vm="929">
        <f ca="1"/>
        <v>45853</v>
      </c>
      <c r="B466" s="4" vm="930">
        <f ca="1"/>
        <v>25195.8</v>
      </c>
      <c r="C466" s="7">
        <f t="shared" ca="1" si="7"/>
        <v>4.5251033597397683E-3</v>
      </c>
    </row>
    <row r="467" spans="1:3" x14ac:dyDescent="0.3">
      <c r="A467" vm="931">
        <f ca="1"/>
        <v>45854</v>
      </c>
      <c r="B467" s="4" vm="932">
        <f ca="1"/>
        <v>25212.05</v>
      </c>
      <c r="C467" s="7">
        <f t="shared" ca="1" si="7"/>
        <v>6.4494876130138934E-4</v>
      </c>
    </row>
    <row r="468" spans="1:3" x14ac:dyDescent="0.3">
      <c r="A468" vm="933">
        <f ca="1"/>
        <v>45855</v>
      </c>
      <c r="B468" s="4" vm="934">
        <f ca="1"/>
        <v>25111.45</v>
      </c>
      <c r="C468" s="7">
        <f t="shared" ca="1" si="7"/>
        <v>-3.9901555010400935E-3</v>
      </c>
    </row>
    <row r="469" spans="1:3" x14ac:dyDescent="0.3">
      <c r="A469" vm="935">
        <f ca="1"/>
        <v>45856</v>
      </c>
      <c r="B469" s="4" vm="936">
        <f ca="1"/>
        <v>24968.400000000001</v>
      </c>
      <c r="C469" s="7">
        <f t="shared" ca="1" si="7"/>
        <v>-5.6966045369741813E-3</v>
      </c>
    </row>
    <row r="470" spans="1:3" x14ac:dyDescent="0.3">
      <c r="A470" vm="937">
        <f ca="1"/>
        <v>45859</v>
      </c>
      <c r="B470" s="4" vm="938">
        <f ca="1"/>
        <v>25090.7</v>
      </c>
      <c r="C470" s="7">
        <f t="shared" ca="1" si="7"/>
        <v>4.8981913138206323E-3</v>
      </c>
    </row>
    <row r="471" spans="1:3" x14ac:dyDescent="0.3">
      <c r="A471" vm="939">
        <f ca="1"/>
        <v>45860</v>
      </c>
      <c r="B471" s="4" vm="940">
        <f ca="1"/>
        <v>25060.9</v>
      </c>
      <c r="C471" s="7">
        <f t="shared" ca="1" si="7"/>
        <v>-1.1876910568456855E-3</v>
      </c>
    </row>
    <row r="472" spans="1:3" x14ac:dyDescent="0.3">
      <c r="A472" vm="941">
        <f ca="1"/>
        <v>45861</v>
      </c>
      <c r="B472" s="4" vm="942">
        <f ca="1"/>
        <v>25219.9</v>
      </c>
      <c r="C472" s="7">
        <f t="shared" ca="1" si="7"/>
        <v>6.3445446891372548E-3</v>
      </c>
    </row>
    <row r="473" spans="1:3" x14ac:dyDescent="0.3">
      <c r="A473" vm="943">
        <f ca="1"/>
        <v>45862</v>
      </c>
      <c r="B473" s="4" vm="844">
        <f ca="1"/>
        <v>25062.1</v>
      </c>
      <c r="C473" s="7">
        <f t="shared" ca="1" si="7"/>
        <v>-6.2569637468825601E-3</v>
      </c>
    </row>
    <row r="474" spans="1:3" x14ac:dyDescent="0.3">
      <c r="A474" vm="944">
        <f ca="1"/>
        <v>45863</v>
      </c>
      <c r="B474" s="4" vm="945">
        <f ca="1"/>
        <v>24837</v>
      </c>
      <c r="C474" s="7">
        <f t="shared" ca="1" si="7"/>
        <v>-8.9816894833233407E-3</v>
      </c>
    </row>
    <row r="475" spans="1:3" x14ac:dyDescent="0.3">
      <c r="A475" vm="946">
        <f ca="1"/>
        <v>45866</v>
      </c>
      <c r="B475" s="4" vm="947">
        <f ca="1"/>
        <v>24680.9</v>
      </c>
      <c r="C475" s="7">
        <f t="shared" ca="1" si="7"/>
        <v>-6.2849780569311786E-3</v>
      </c>
    </row>
    <row r="476" spans="1:3" x14ac:dyDescent="0.3">
      <c r="A476" vm="948">
        <f ca="1"/>
        <v>45867</v>
      </c>
      <c r="B476" s="4" vm="949">
        <f ca="1"/>
        <v>24821.1</v>
      </c>
      <c r="C476" s="7">
        <f t="shared" ca="1" si="7"/>
        <v>5.6805059783069378E-3</v>
      </c>
    </row>
    <row r="477" spans="1:3" x14ac:dyDescent="0.3">
      <c r="A477" vm="950">
        <f ca="1"/>
        <v>45868</v>
      </c>
      <c r="B477" s="4" vm="951">
        <f ca="1"/>
        <v>24855.05</v>
      </c>
      <c r="C477" s="7">
        <f t="shared" ca="1" si="7"/>
        <v>1.3677878901419138E-3</v>
      </c>
    </row>
    <row r="478" spans="1:3" x14ac:dyDescent="0.3">
      <c r="A478" vm="952">
        <f ca="1"/>
        <v>45869</v>
      </c>
      <c r="B478" s="4" vm="953">
        <f ca="1"/>
        <v>24768.35</v>
      </c>
      <c r="C478" s="7">
        <f t="shared" ca="1" si="7"/>
        <v>-3.4882247269669708E-3</v>
      </c>
    </row>
    <row r="479" spans="1:3" x14ac:dyDescent="0.3">
      <c r="A479" vm="954">
        <f ca="1"/>
        <v>45870</v>
      </c>
      <c r="B479" s="4" vm="955">
        <f ca="1"/>
        <v>24565.35</v>
      </c>
      <c r="C479" s="7">
        <f t="shared" ca="1" si="7"/>
        <v>-8.195943613522938E-3</v>
      </c>
    </row>
    <row r="480" spans="1:3" x14ac:dyDescent="0.3">
      <c r="A480" vm="956">
        <f ca="1"/>
        <v>45873</v>
      </c>
      <c r="B480" s="4" vm="957">
        <f ca="1"/>
        <v>24722.75</v>
      </c>
      <c r="C480" s="7">
        <f t="shared" ca="1" si="7"/>
        <v>6.4073990397044422E-3</v>
      </c>
    </row>
    <row r="481" spans="1:3" x14ac:dyDescent="0.3">
      <c r="A481" vm="958">
        <f ca="1"/>
        <v>45874</v>
      </c>
      <c r="B481" s="4" vm="959">
        <f ca="1"/>
        <v>24649.55</v>
      </c>
      <c r="C481" s="7">
        <f t="shared" ca="1" si="7"/>
        <v>-2.9608356675532299E-3</v>
      </c>
    </row>
    <row r="482" spans="1:3" x14ac:dyDescent="0.3">
      <c r="A482" vm="960">
        <f ca="1"/>
        <v>45875</v>
      </c>
      <c r="B482" s="4" vm="961">
        <f ca="1"/>
        <v>24574.2</v>
      </c>
      <c r="C482" s="7">
        <f t="shared" ca="1" si="7"/>
        <v>-3.0568509364268248E-3</v>
      </c>
    </row>
    <row r="483" spans="1:3" x14ac:dyDescent="0.3">
      <c r="A483" vm="962">
        <f ca="1"/>
        <v>45876</v>
      </c>
      <c r="B483" s="4" vm="963">
        <f ca="1"/>
        <v>24596.15</v>
      </c>
      <c r="C483" s="7">
        <f t="shared" ca="1" si="7"/>
        <v>8.9321320734758736E-4</v>
      </c>
    </row>
    <row r="484" spans="1:3" x14ac:dyDescent="0.3">
      <c r="A484" vm="964">
        <f ca="1"/>
        <v>45877</v>
      </c>
      <c r="B484" s="4" vm="965">
        <f ca="1"/>
        <v>24363.3</v>
      </c>
      <c r="C484" s="7">
        <f t="shared" ca="1" si="7"/>
        <v>-9.4669287673071478E-3</v>
      </c>
    </row>
    <row r="485" spans="1:3" x14ac:dyDescent="0.3">
      <c r="A485" vm="966">
        <f ca="1"/>
        <v>45880</v>
      </c>
      <c r="B485" s="4" vm="967">
        <f ca="1"/>
        <v>24585.05</v>
      </c>
      <c r="C485" s="7">
        <f t="shared" ca="1" si="7"/>
        <v>9.1018047637225763E-3</v>
      </c>
    </row>
    <row r="486" spans="1:3" x14ac:dyDescent="0.3">
      <c r="A486" vm="968">
        <f ca="1"/>
        <v>45881</v>
      </c>
      <c r="B486" s="4" vm="969">
        <f ca="1"/>
        <v>24487.4</v>
      </c>
      <c r="C486" s="7">
        <f t="shared" ca="1" si="7"/>
        <v>-3.9719260282162772E-3</v>
      </c>
    </row>
    <row r="487" spans="1:3" x14ac:dyDescent="0.3">
      <c r="A487" vm="970">
        <f ca="1"/>
        <v>45882</v>
      </c>
      <c r="B487" s="4" vm="971">
        <f ca="1"/>
        <v>24619.35</v>
      </c>
      <c r="C487" s="7">
        <f t="shared" ca="1" si="7"/>
        <v>5.3884855068320192E-3</v>
      </c>
    </row>
    <row r="488" spans="1:3" x14ac:dyDescent="0.3">
      <c r="A488" vm="972">
        <f ca="1"/>
        <v>45883</v>
      </c>
      <c r="B488" s="4" vm="973">
        <f ca="1"/>
        <v>24631.3</v>
      </c>
      <c r="C488" s="7">
        <f t="shared" ca="1" si="7"/>
        <v>4.8539055661511732E-4</v>
      </c>
    </row>
    <row r="489" spans="1:3" x14ac:dyDescent="0.3">
      <c r="A489" vm="974">
        <f ca="1"/>
        <v>45887</v>
      </c>
      <c r="B489" s="4" vm="975">
        <f ca="1"/>
        <v>24876.95</v>
      </c>
      <c r="C489" s="7">
        <f t="shared" ca="1" si="7"/>
        <v>9.9730830285045258E-3</v>
      </c>
    </row>
    <row r="490" spans="1:3" x14ac:dyDescent="0.3">
      <c r="A490" vm="976">
        <f ca="1"/>
        <v>45888</v>
      </c>
      <c r="B490" s="4" vm="977">
        <f ca="1"/>
        <v>24980.65</v>
      </c>
      <c r="C490" s="7">
        <f t="shared" ca="1" si="7"/>
        <v>4.1685174428538474E-3</v>
      </c>
    </row>
    <row r="491" spans="1:3" x14ac:dyDescent="0.3">
      <c r="A491" vm="978">
        <f ca="1"/>
        <v>45889</v>
      </c>
      <c r="B491" s="4" vm="979">
        <f ca="1"/>
        <v>25050.55</v>
      </c>
      <c r="C491" s="7">
        <f t="shared" ca="1" si="7"/>
        <v>2.7981657803137772E-3</v>
      </c>
    </row>
    <row r="492" spans="1:3" x14ac:dyDescent="0.3">
      <c r="A492" vm="980">
        <f ca="1"/>
        <v>45890</v>
      </c>
      <c r="B492" s="4" vm="981">
        <f ca="1"/>
        <v>25083.75</v>
      </c>
      <c r="C492" s="7">
        <f t="shared" ca="1" si="7"/>
        <v>1.3253202025504951E-3</v>
      </c>
    </row>
    <row r="493" spans="1:3" x14ac:dyDescent="0.3">
      <c r="A493" vm="982">
        <f ca="1"/>
        <v>45891</v>
      </c>
      <c r="B493" s="4" vm="983">
        <f ca="1"/>
        <v>24870.1</v>
      </c>
      <c r="C493" s="7">
        <f t="shared" ca="1" si="7"/>
        <v>-8.5174664872676997E-3</v>
      </c>
    </row>
    <row r="494" spans="1:3" x14ac:dyDescent="0.3">
      <c r="A494" vm="984">
        <f ca="1"/>
        <v>45894</v>
      </c>
      <c r="B494" s="4" vm="985">
        <f ca="1"/>
        <v>24967.75</v>
      </c>
      <c r="C494" s="7">
        <f t="shared" ca="1" si="7"/>
        <v>3.9264015826234733E-3</v>
      </c>
    </row>
    <row r="495" spans="1:3" x14ac:dyDescent="0.3">
      <c r="A495" vm="986">
        <f ca="1"/>
        <v>45895</v>
      </c>
      <c r="B495" s="4" vm="987">
        <f ca="1"/>
        <v>24712.05</v>
      </c>
      <c r="C495" s="7">
        <f t="shared" ca="1" si="7"/>
        <v>-1.0241211162399511E-2</v>
      </c>
    </row>
    <row r="496" spans="1:3" x14ac:dyDescent="0.3">
      <c r="A496" vm="988">
        <f ca="1"/>
        <v>45897</v>
      </c>
      <c r="B496" s="4" vm="989">
        <f ca="1"/>
        <v>24500.9</v>
      </c>
      <c r="C496" s="7">
        <f t="shared" ca="1" si="7"/>
        <v>-8.5444145669824056E-3</v>
      </c>
    </row>
    <row r="497" spans="1:3" x14ac:dyDescent="0.3">
      <c r="A497" vm="990">
        <f ca="1"/>
        <v>45898</v>
      </c>
      <c r="B497" s="4" vm="991">
        <f ca="1"/>
        <v>24426.85</v>
      </c>
      <c r="C497" s="7">
        <f t="shared" ca="1" si="7"/>
        <v>-3.0223379549323415E-3</v>
      </c>
    </row>
    <row r="498" spans="1:3" x14ac:dyDescent="0.3">
      <c r="A498" vm="992">
        <f ca="1"/>
        <v>45901</v>
      </c>
      <c r="B498" s="4" vm="993">
        <f ca="1"/>
        <v>24625.05</v>
      </c>
      <c r="C498" s="7">
        <f t="shared" ca="1" si="7"/>
        <v>8.1140220699762455E-3</v>
      </c>
    </row>
    <row r="499" spans="1:3" x14ac:dyDescent="0.3">
      <c r="A499" vm="994">
        <f ca="1"/>
        <v>45902</v>
      </c>
      <c r="B499" s="4" vm="995">
        <f ca="1"/>
        <v>24579.599999999999</v>
      </c>
      <c r="C499" s="7">
        <f t="shared" ca="1" si="7"/>
        <v>-1.8456815316111319E-3</v>
      </c>
    </row>
    <row r="500" spans="1:3" x14ac:dyDescent="0.3">
      <c r="A500" vm="996">
        <f ca="1"/>
        <v>45903</v>
      </c>
      <c r="B500" s="4" vm="997">
        <f ca="1"/>
        <v>24715.05</v>
      </c>
      <c r="C500" s="7">
        <f t="shared" ca="1" si="7"/>
        <v>5.510667382707668E-3</v>
      </c>
    </row>
    <row r="501" spans="1:3" x14ac:dyDescent="0.3">
      <c r="A501" vm="998">
        <f ca="1"/>
        <v>45904</v>
      </c>
      <c r="B501" s="4" vm="999">
        <f ca="1"/>
        <v>24734.3</v>
      </c>
      <c r="C501" s="7">
        <f t="shared" ca="1" si="7"/>
        <v>7.7887764742534671E-4</v>
      </c>
    </row>
    <row r="502" spans="1:3" x14ac:dyDescent="0.3">
      <c r="A502" vm="1000">
        <f ca="1"/>
        <v>45905</v>
      </c>
      <c r="B502" s="4" vm="1001">
        <f ca="1"/>
        <v>24741</v>
      </c>
      <c r="C502" s="7">
        <f t="shared" ca="1" si="7"/>
        <v>2.7087890095933709E-4</v>
      </c>
    </row>
    <row r="503" spans="1:3" x14ac:dyDescent="0.3">
      <c r="A503" vm="1002">
        <f ca="1"/>
        <v>45908</v>
      </c>
      <c r="B503" s="4" vm="1003">
        <f ca="1"/>
        <v>24773.15</v>
      </c>
      <c r="C503" s="7">
        <f t="shared" ca="1" si="7"/>
        <v>1.2994624307829383E-3</v>
      </c>
    </row>
    <row r="504" spans="1:3" x14ac:dyDescent="0.3">
      <c r="A504" vm="1004">
        <f ca="1"/>
        <v>45909</v>
      </c>
      <c r="B504" s="4" vm="1005">
        <f ca="1"/>
        <v>24868.6</v>
      </c>
      <c r="C504" s="7">
        <f t="shared" ca="1" si="7"/>
        <v>3.8529617751474898E-3</v>
      </c>
    </row>
    <row r="505" spans="1:3" x14ac:dyDescent="0.3">
      <c r="A505" vm="1006">
        <f ca="1"/>
        <v>45910</v>
      </c>
      <c r="B505" s="4" vm="1007">
        <f ca="1"/>
        <v>24973.1</v>
      </c>
      <c r="C505" s="7">
        <f t="shared" ca="1" si="7"/>
        <v>4.2020861648826013E-3</v>
      </c>
    </row>
    <row r="506" spans="1:3" x14ac:dyDescent="0.3">
      <c r="A506" vm="1008">
        <f ca="1"/>
        <v>45911</v>
      </c>
      <c r="B506" s="4" vm="1009">
        <f ca="1"/>
        <v>25005.5</v>
      </c>
      <c r="C506" s="7">
        <f t="shared" ca="1" si="7"/>
        <v>1.2973959980939753E-3</v>
      </c>
    </row>
    <row r="507" spans="1:3" x14ac:dyDescent="0.3">
      <c r="A507" vm="1010">
        <f ca="1"/>
        <v>45912</v>
      </c>
      <c r="B507" s="4" vm="1011">
        <f ca="1"/>
        <v>25114</v>
      </c>
      <c r="C507" s="7">
        <f t="shared" ca="1" si="7"/>
        <v>4.3390454100098452E-3</v>
      </c>
    </row>
    <row r="508" spans="1:3" x14ac:dyDescent="0.3">
      <c r="A508" vm="1012">
        <f ca="1"/>
        <v>45915</v>
      </c>
      <c r="B508" s="4" vm="1013">
        <f ca="1"/>
        <v>25069.200000000001</v>
      </c>
      <c r="C508" s="7">
        <f t="shared" ca="1" si="7"/>
        <v>-1.7838655729871533E-3</v>
      </c>
    </row>
    <row r="509" spans="1:3" x14ac:dyDescent="0.3">
      <c r="A509" vm="1014">
        <f ca="1"/>
        <v>45916</v>
      </c>
      <c r="B509" s="4" vm="1015">
        <f ca="1"/>
        <v>25239.1</v>
      </c>
      <c r="C509" s="7">
        <f t="shared" ca="1" si="7"/>
        <v>6.7772405980246475E-3</v>
      </c>
    </row>
    <row r="510" spans="1:3" x14ac:dyDescent="0.3">
      <c r="A510" vm="1016">
        <f ca="1"/>
        <v>45917</v>
      </c>
      <c r="B510" s="4" vm="1017">
        <f ca="1"/>
        <v>25330.25</v>
      </c>
      <c r="C510" s="7">
        <f t="shared" ca="1" si="7"/>
        <v>3.6114599965926253E-3</v>
      </c>
    </row>
    <row r="511" spans="1:3" x14ac:dyDescent="0.3">
      <c r="A511" vm="1018">
        <f ca="1"/>
        <v>45918</v>
      </c>
      <c r="B511" s="4" vm="1019">
        <f ca="1"/>
        <v>25423.599999999999</v>
      </c>
      <c r="C511" s="7">
        <f t="shared" ca="1" si="7"/>
        <v>3.685316962919849E-3</v>
      </c>
    </row>
    <row r="512" spans="1:3" x14ac:dyDescent="0.3">
      <c r="A512" vm="1020">
        <f ca="1"/>
        <v>45919</v>
      </c>
      <c r="B512" s="4" vm="1021">
        <f ca="1"/>
        <v>25327.05</v>
      </c>
      <c r="C512" s="7">
        <f t="shared" ca="1" si="7"/>
        <v>-3.7976525747730472E-3</v>
      </c>
    </row>
    <row r="513" spans="1:3" x14ac:dyDescent="0.3">
      <c r="A513" vm="1022">
        <f ca="1"/>
        <v>45922</v>
      </c>
      <c r="B513" s="4" vm="1023">
        <f ca="1"/>
        <v>25202.35</v>
      </c>
      <c r="C513" s="7">
        <f t="shared" ca="1" si="7"/>
        <v>-4.9235896008418267E-3</v>
      </c>
    </row>
    <row r="514" spans="1:3" x14ac:dyDescent="0.3">
      <c r="A514" vm="1024">
        <f ca="1"/>
        <v>45923</v>
      </c>
      <c r="B514" s="4" vm="1025">
        <f ca="1"/>
        <v>25169.5</v>
      </c>
      <c r="C514" s="7">
        <f t="shared" ca="1" si="7"/>
        <v>-1.3034498766979485E-3</v>
      </c>
    </row>
    <row r="515" spans="1:3" x14ac:dyDescent="0.3">
      <c r="A515" vm="1026">
        <f ca="1"/>
        <v>45924</v>
      </c>
      <c r="B515" s="4" vm="1027">
        <f ca="1"/>
        <v>25056.9</v>
      </c>
      <c r="C515" s="7">
        <f t="shared" ca="1" si="7"/>
        <v>-4.4736685273842891E-3</v>
      </c>
    </row>
    <row r="516" spans="1:3" x14ac:dyDescent="0.3">
      <c r="A516" vm="1028">
        <f ca="1"/>
        <v>45925</v>
      </c>
      <c r="B516" s="4" vm="1029">
        <f ca="1"/>
        <v>24890.85</v>
      </c>
      <c r="C516" s="7">
        <f t="shared" ref="C516:C579" ca="1" si="8">B516/B515-1</f>
        <v>-6.6269171365972435E-3</v>
      </c>
    </row>
    <row r="517" spans="1:3" x14ac:dyDescent="0.3">
      <c r="A517" vm="1030">
        <f ca="1"/>
        <v>45926</v>
      </c>
      <c r="B517" s="4" vm="1031">
        <f ca="1"/>
        <v>24654.7</v>
      </c>
      <c r="C517" s="7">
        <f t="shared" ca="1" si="8"/>
        <v>-9.4874220848222279E-3</v>
      </c>
    </row>
    <row r="518" spans="1:3" x14ac:dyDescent="0.3">
      <c r="A518" vm="1032">
        <f ca="1"/>
        <v>45929</v>
      </c>
      <c r="B518" s="4" vm="1033">
        <f ca="1"/>
        <v>24634.9</v>
      </c>
      <c r="C518" s="7">
        <f t="shared" ca="1" si="8"/>
        <v>-8.0309231099950917E-4</v>
      </c>
    </row>
    <row r="519" spans="1:3" x14ac:dyDescent="0.3">
      <c r="A519" vm="1034">
        <f ca="1"/>
        <v>45930</v>
      </c>
      <c r="B519" s="4" vm="1035">
        <f ca="1"/>
        <v>24611.1</v>
      </c>
      <c r="C519" s="7">
        <f t="shared" ca="1" si="8"/>
        <v>-9.6610905666361102E-4</v>
      </c>
    </row>
    <row r="520" spans="1:3" x14ac:dyDescent="0.3">
      <c r="A520" vm="1036">
        <f ca="1"/>
        <v>45931</v>
      </c>
      <c r="B520" s="4" vm="1037">
        <f ca="1"/>
        <v>24836.3</v>
      </c>
      <c r="C520" s="7">
        <f t="shared" ca="1" si="8"/>
        <v>9.1503427315318131E-3</v>
      </c>
    </row>
    <row r="521" spans="1:3" x14ac:dyDescent="0.3">
      <c r="A521" vm="1038">
        <f ca="1"/>
        <v>45933</v>
      </c>
      <c r="B521" s="4" vm="1039">
        <f ca="1"/>
        <v>24894.25</v>
      </c>
      <c r="C521" s="7">
        <f t="shared" ca="1" si="8"/>
        <v>2.3332783063501061E-3</v>
      </c>
    </row>
    <row r="522" spans="1:3" x14ac:dyDescent="0.3">
      <c r="A522" vm="1040">
        <f ca="1"/>
        <v>45936</v>
      </c>
      <c r="B522" s="4" vm="1041">
        <f ca="1"/>
        <v>25077.65</v>
      </c>
      <c r="C522" s="7">
        <f t="shared" ca="1" si="8"/>
        <v>7.3671630999125881E-3</v>
      </c>
    </row>
    <row r="523" spans="1:3" x14ac:dyDescent="0.3">
      <c r="A523" vm="1042">
        <f ca="1"/>
        <v>45937</v>
      </c>
      <c r="B523" s="4" vm="1043">
        <f ca="1"/>
        <v>25108.3</v>
      </c>
      <c r="C523" s="7">
        <f t="shared" ca="1" si="8"/>
        <v>1.222203834888802E-3</v>
      </c>
    </row>
    <row r="524" spans="1:3" x14ac:dyDescent="0.3">
      <c r="A524" vm="1044">
        <f ca="1"/>
        <v>45938</v>
      </c>
      <c r="B524" s="4" vm="1045">
        <f ca="1"/>
        <v>25046.15</v>
      </c>
      <c r="C524" s="7">
        <f t="shared" ca="1" si="8"/>
        <v>-2.4752770996043783E-3</v>
      </c>
    </row>
    <row r="525" spans="1:3" x14ac:dyDescent="0.3">
      <c r="A525" vm="1046">
        <f ca="1"/>
        <v>45939</v>
      </c>
      <c r="B525" s="4" vm="1047">
        <f ca="1"/>
        <v>25181.8</v>
      </c>
      <c r="C525" s="7">
        <f t="shared" ca="1" si="8"/>
        <v>5.4160020601967673E-3</v>
      </c>
    </row>
    <row r="526" spans="1:3" x14ac:dyDescent="0.3">
      <c r="A526" vm="1048">
        <f ca="1"/>
        <v>45940</v>
      </c>
      <c r="B526" s="4" vm="1049">
        <f ca="1"/>
        <v>25285.35</v>
      </c>
      <c r="C526" s="7">
        <f t="shared" ca="1" si="8"/>
        <v>4.1120968318388851E-3</v>
      </c>
    </row>
    <row r="527" spans="1:3" x14ac:dyDescent="0.3">
      <c r="A527" vm="1050">
        <f ca="1"/>
        <v>45943</v>
      </c>
      <c r="B527" s="4" vm="1051">
        <f ca="1"/>
        <v>25227.35</v>
      </c>
      <c r="C527" s="7">
        <f t="shared" ca="1" si="8"/>
        <v>-2.2938183572701609E-3</v>
      </c>
    </row>
    <row r="528" spans="1:3" x14ac:dyDescent="0.3">
      <c r="A528" vm="1052">
        <f ca="1"/>
        <v>45944</v>
      </c>
      <c r="B528" s="4" vm="1053">
        <f ca="1"/>
        <v>25145.5</v>
      </c>
      <c r="C528" s="7">
        <f t="shared" ca="1" si="8"/>
        <v>-3.2444945664129587E-3</v>
      </c>
    </row>
    <row r="529" spans="1:3" x14ac:dyDescent="0.3">
      <c r="A529" vm="1054">
        <f ca="1"/>
        <v>45945</v>
      </c>
      <c r="B529" s="4" vm="1055">
        <f ca="1"/>
        <v>25323.55</v>
      </c>
      <c r="C529" s="7">
        <f t="shared" ca="1" si="8"/>
        <v>7.0807898033444783E-3</v>
      </c>
    </row>
    <row r="530" spans="1:3" x14ac:dyDescent="0.3">
      <c r="A530" vm="1056">
        <f ca="1"/>
        <v>45946</v>
      </c>
      <c r="B530" s="4" vm="1057">
        <f ca="1"/>
        <v>25585.3</v>
      </c>
      <c r="C530" s="7">
        <f t="shared" ca="1" si="8"/>
        <v>1.0336228530360092E-2</v>
      </c>
    </row>
    <row r="531" spans="1:3" x14ac:dyDescent="0.3">
      <c r="A531" vm="1058">
        <f ca="1"/>
        <v>45947</v>
      </c>
      <c r="B531" s="4" vm="1059">
        <f ca="1"/>
        <v>25709.85</v>
      </c>
      <c r="C531" s="7">
        <f t="shared" ca="1" si="8"/>
        <v>4.8680296889229702E-3</v>
      </c>
    </row>
    <row r="532" spans="1:3" x14ac:dyDescent="0.3">
      <c r="A532" vm="1060">
        <f ca="1"/>
        <v>45950</v>
      </c>
      <c r="B532" s="4" vm="1061">
        <f ca="1"/>
        <v>25843.15</v>
      </c>
      <c r="C532" s="7">
        <f t="shared" ca="1" si="8"/>
        <v>5.1847832640019575E-3</v>
      </c>
    </row>
    <row r="533" spans="1:3" x14ac:dyDescent="0.3">
      <c r="A533" vm="1062">
        <f ca="1"/>
        <v>45951</v>
      </c>
      <c r="B533" s="4" vm="1063">
        <f ca="1"/>
        <v>25868.6</v>
      </c>
      <c r="C533" s="7">
        <f t="shared" ca="1" si="8"/>
        <v>9.8478707123539344E-4</v>
      </c>
    </row>
    <row r="534" spans="1:3" x14ac:dyDescent="0.3">
      <c r="A534" vm="1064">
        <f ca="1"/>
        <v>45953</v>
      </c>
      <c r="B534" s="4" vm="1065">
        <f ca="1"/>
        <v>25891.4</v>
      </c>
      <c r="C534" s="7">
        <f t="shared" ca="1" si="8"/>
        <v>8.8137742282157205E-4</v>
      </c>
    </row>
    <row r="535" spans="1:3" x14ac:dyDescent="0.3">
      <c r="A535" vm="1066">
        <f ca="1"/>
        <v>45954</v>
      </c>
      <c r="B535" s="4" vm="1067">
        <f ca="1"/>
        <v>25795.15</v>
      </c>
      <c r="C535" s="7">
        <f t="shared" ca="1" si="8"/>
        <v>-3.7174505820465331E-3</v>
      </c>
    </row>
    <row r="536" spans="1:3" x14ac:dyDescent="0.3">
      <c r="A536" vm="1068">
        <f ca="1"/>
        <v>45957</v>
      </c>
      <c r="B536" s="4" vm="1069">
        <f ca="1"/>
        <v>25966.05</v>
      </c>
      <c r="C536" s="7">
        <f t="shared" ca="1" si="8"/>
        <v>6.6252764570082778E-3</v>
      </c>
    </row>
    <row r="537" spans="1:3" x14ac:dyDescent="0.3">
      <c r="A537" vm="1070">
        <f ca="1"/>
        <v>45958</v>
      </c>
      <c r="B537" s="4" vm="1071">
        <f ca="1"/>
        <v>25936.2</v>
      </c>
      <c r="C537" s="7">
        <f t="shared" ca="1" si="8"/>
        <v>-1.1495780066663741E-3</v>
      </c>
    </row>
    <row r="538" spans="1:3" x14ac:dyDescent="0.3">
      <c r="A538" vm="1072">
        <f ca="1"/>
        <v>45959</v>
      </c>
      <c r="B538" s="4" vm="1073">
        <f ca="1"/>
        <v>26053.9</v>
      </c>
      <c r="C538" s="7">
        <f t="shared" ca="1" si="8"/>
        <v>4.5380587749941359E-3</v>
      </c>
    </row>
    <row r="539" spans="1:3" x14ac:dyDescent="0.3">
      <c r="A539" vm="1074">
        <f ca="1"/>
        <v>45960</v>
      </c>
      <c r="B539" s="4" vm="1075">
        <f ca="1"/>
        <v>25877.85</v>
      </c>
      <c r="C539" s="7">
        <f t="shared" ca="1" si="8"/>
        <v>-6.7571457632064069E-3</v>
      </c>
    </row>
    <row r="540" spans="1:3" x14ac:dyDescent="0.3">
      <c r="A540" vm="1076">
        <f ca="1"/>
        <v>45961</v>
      </c>
      <c r="B540" s="4" vm="1077">
        <f ca="1"/>
        <v>25722.1</v>
      </c>
      <c r="C540" s="7">
        <f t="shared" ca="1" si="8"/>
        <v>-6.0186607465457787E-3</v>
      </c>
    </row>
    <row r="541" spans="1:3" x14ac:dyDescent="0.3">
      <c r="A541" vm="1078">
        <f ca="1"/>
        <v>45964</v>
      </c>
      <c r="B541" s="4" vm="1079">
        <f ca="1"/>
        <v>25763.35</v>
      </c>
      <c r="C541" s="7">
        <f t="shared" ca="1" si="8"/>
        <v>1.6036793263380922E-3</v>
      </c>
    </row>
    <row r="542" spans="1:3" x14ac:dyDescent="0.3">
      <c r="A542" vm="1080">
        <f ca="1"/>
        <v>45965</v>
      </c>
      <c r="B542" s="4" vm="1081">
        <f ca="1"/>
        <v>25597.65</v>
      </c>
      <c r="C542" s="7">
        <f t="shared" ca="1" si="8"/>
        <v>-6.4316170063286604E-3</v>
      </c>
    </row>
    <row r="543" spans="1:3" x14ac:dyDescent="0.3">
      <c r="A543" vm="1082">
        <f ca="1"/>
        <v>45967</v>
      </c>
      <c r="B543" s="4" vm="1083">
        <f ca="1"/>
        <v>25509.7</v>
      </c>
      <c r="C543" s="7">
        <f t="shared" ca="1" si="8"/>
        <v>-3.4358622764198987E-3</v>
      </c>
    </row>
    <row r="544" spans="1:3" x14ac:dyDescent="0.3">
      <c r="A544" vm="1084">
        <f ca="1"/>
        <v>45968</v>
      </c>
      <c r="B544" s="4" vm="1085">
        <f ca="1"/>
        <v>25492.3</v>
      </c>
      <c r="C544" s="7">
        <f t="shared" ca="1" si="8"/>
        <v>-6.8209347816716726E-4</v>
      </c>
    </row>
    <row r="545" spans="1:3" x14ac:dyDescent="0.3">
      <c r="A545" vm="1086">
        <f ca="1"/>
        <v>45971</v>
      </c>
      <c r="B545" s="4" vm="1087">
        <f ca="1"/>
        <v>25574.35</v>
      </c>
      <c r="C545" s="7">
        <f t="shared" ca="1" si="8"/>
        <v>3.2186189555276634E-3</v>
      </c>
    </row>
    <row r="546" spans="1:3" x14ac:dyDescent="0.3">
      <c r="A546" vm="1088">
        <f ca="1"/>
        <v>45972</v>
      </c>
      <c r="B546" s="4" vm="1089">
        <f ca="1"/>
        <v>25694.95</v>
      </c>
      <c r="C546" s="7">
        <f t="shared" ca="1" si="8"/>
        <v>4.7156623726507529E-3</v>
      </c>
    </row>
    <row r="547" spans="1:3" x14ac:dyDescent="0.3">
      <c r="A547" vm="1090">
        <f ca="1"/>
        <v>45973</v>
      </c>
      <c r="B547" s="4" vm="1091">
        <f ca="1"/>
        <v>25875.8</v>
      </c>
      <c r="C547" s="7">
        <f t="shared" ca="1" si="8"/>
        <v>7.0383480022337963E-3</v>
      </c>
    </row>
    <row r="548" spans="1:3" x14ac:dyDescent="0.3">
      <c r="A548" vm="1092">
        <f ca="1"/>
        <v>45974</v>
      </c>
      <c r="B548" s="4" vm="1093">
        <f ca="1"/>
        <v>25879.15</v>
      </c>
      <c r="C548" s="7">
        <f t="shared" ca="1" si="8"/>
        <v>1.2946459626372864E-4</v>
      </c>
    </row>
    <row r="549" spans="1:3" x14ac:dyDescent="0.3">
      <c r="A549" vm="1094">
        <f ca="1"/>
        <v>45975</v>
      </c>
      <c r="B549" s="4" vm="1095">
        <f ca="1"/>
        <v>25910.05</v>
      </c>
      <c r="C549" s="7">
        <f t="shared" ca="1" si="8"/>
        <v>1.194011395273753E-3</v>
      </c>
    </row>
    <row r="550" spans="1:3" x14ac:dyDescent="0.3">
      <c r="A550" vm="1096">
        <f ca="1"/>
        <v>45978</v>
      </c>
      <c r="B550" s="4" vm="1097">
        <f ca="1"/>
        <v>26013.45</v>
      </c>
      <c r="C550" s="7">
        <f t="shared" ca="1" si="8"/>
        <v>3.9907294659795589E-3</v>
      </c>
    </row>
    <row r="551" spans="1:3" x14ac:dyDescent="0.3">
      <c r="A551" vm="1098">
        <f ca="1"/>
        <v>45979</v>
      </c>
      <c r="B551" s="4" vm="1095">
        <f ca="1"/>
        <v>25910.05</v>
      </c>
      <c r="C551" s="7">
        <f t="shared" ca="1" si="8"/>
        <v>-3.9748668477268545E-3</v>
      </c>
    </row>
    <row r="552" spans="1:3" x14ac:dyDescent="0.3">
      <c r="A552" vm="1099">
        <f ca="1"/>
        <v>45980</v>
      </c>
      <c r="B552" s="4" vm="1100">
        <f ca="1"/>
        <v>26052.65</v>
      </c>
      <c r="C552" s="7">
        <f t="shared" ca="1" si="8"/>
        <v>5.5036559172985111E-3</v>
      </c>
    </row>
    <row r="553" spans="1:3" x14ac:dyDescent="0.3">
      <c r="A553" vm="1101">
        <f ca="1"/>
        <v>45981</v>
      </c>
      <c r="B553" s="4" vm="1102">
        <f ca="1"/>
        <v>26192.15</v>
      </c>
      <c r="C553" s="7">
        <f t="shared" ca="1" si="8"/>
        <v>5.3545416685059077E-3</v>
      </c>
    </row>
    <row r="554" spans="1:3" x14ac:dyDescent="0.3">
      <c r="A554" vm="1103">
        <f ca="1"/>
        <v>45982</v>
      </c>
      <c r="B554" s="4" vm="1104">
        <f ca="1"/>
        <v>26068.15</v>
      </c>
      <c r="C554" s="7">
        <f t="shared" ca="1" si="8"/>
        <v>-4.7342428933859759E-3</v>
      </c>
    </row>
    <row r="555" spans="1:3" x14ac:dyDescent="0.3">
      <c r="A555" vm="1105">
        <f ca="1"/>
        <v>45985</v>
      </c>
      <c r="B555" s="4" vm="1106">
        <f ca="1"/>
        <v>25959.5</v>
      </c>
      <c r="C555" s="7">
        <f t="shared" ca="1" si="8"/>
        <v>-4.1679213906625767E-3</v>
      </c>
    </row>
    <row r="556" spans="1:3" x14ac:dyDescent="0.3">
      <c r="A556" vm="1107">
        <f ca="1"/>
        <v>45986</v>
      </c>
      <c r="B556" s="4" vm="1108">
        <f ca="1"/>
        <v>25884.799999999999</v>
      </c>
      <c r="C556" s="7">
        <f t="shared" ca="1" si="8"/>
        <v>-2.8775592750245327E-3</v>
      </c>
    </row>
    <row r="557" spans="1:3" x14ac:dyDescent="0.3">
      <c r="A557" vm="1109">
        <f ca="1"/>
        <v>45987</v>
      </c>
      <c r="B557" s="4" vm="1110">
        <f ca="1"/>
        <v>26205.3</v>
      </c>
      <c r="C557" s="7">
        <f t="shared" ca="1" si="8"/>
        <v>1.238178390406719E-2</v>
      </c>
    </row>
    <row r="558" spans="1:3" x14ac:dyDescent="0.3">
      <c r="A558" vm="1111">
        <f ca="1"/>
        <v>45988</v>
      </c>
      <c r="B558" s="4" vm="1112">
        <f ca="1"/>
        <v>26215.55</v>
      </c>
      <c r="C558" s="7">
        <f t="shared" ca="1" si="8"/>
        <v>3.9114224985015156E-4</v>
      </c>
    </row>
    <row r="559" spans="1:3" x14ac:dyDescent="0.3">
      <c r="A559" vm="1113">
        <f ca="1"/>
        <v>45989</v>
      </c>
      <c r="B559" s="4" vm="1114">
        <f ca="1"/>
        <v>26202.95</v>
      </c>
      <c r="C559" s="7">
        <f t="shared" ca="1" si="8"/>
        <v>-4.806307706685109E-4</v>
      </c>
    </row>
    <row r="560" spans="1:3" x14ac:dyDescent="0.3">
      <c r="A560" vm="1115">
        <f ca="1"/>
        <v>45992</v>
      </c>
      <c r="B560" s="4" vm="1116">
        <f ca="1"/>
        <v>26175.75</v>
      </c>
      <c r="C560" s="7">
        <f t="shared" ca="1" si="8"/>
        <v>-1.0380510591364578E-3</v>
      </c>
    </row>
    <row r="561" spans="1:3" x14ac:dyDescent="0.3">
      <c r="A561" vm="1117">
        <f ca="1"/>
        <v>45993</v>
      </c>
      <c r="B561" s="4" vm="1118">
        <f ca="1"/>
        <v>26032.2</v>
      </c>
      <c r="C561" s="7">
        <f t="shared" ca="1" si="8"/>
        <v>-5.4840835506145824E-3</v>
      </c>
    </row>
    <row r="562" spans="1:3" x14ac:dyDescent="0.3">
      <c r="A562" vm="1119">
        <f ca="1"/>
        <v>45994</v>
      </c>
      <c r="B562" s="4" vm="1120">
        <f ca="1"/>
        <v>25986</v>
      </c>
      <c r="C562" s="7">
        <f t="shared" ca="1" si="8"/>
        <v>-1.7747251480858539E-3</v>
      </c>
    </row>
    <row r="563" spans="1:3" x14ac:dyDescent="0.3">
      <c r="A563" vm="1121">
        <f ca="1"/>
        <v>45995</v>
      </c>
      <c r="B563" s="4" vm="1122">
        <f ca="1"/>
        <v>26033.75</v>
      </c>
      <c r="C563" s="7">
        <f t="shared" ca="1" si="8"/>
        <v>1.8375278996383138E-3</v>
      </c>
    </row>
    <row r="564" spans="1:3" x14ac:dyDescent="0.3">
      <c r="A564" vm="1123">
        <f ca="1"/>
        <v>45996</v>
      </c>
      <c r="B564" s="4" vm="1124">
        <f ca="1"/>
        <v>26186.45</v>
      </c>
      <c r="C564" s="7">
        <f t="shared" ca="1" si="8"/>
        <v>5.8654631007826197E-3</v>
      </c>
    </row>
    <row r="565" spans="1:3" x14ac:dyDescent="0.3">
      <c r="A565" vm="1125">
        <f ca="1"/>
        <v>45999</v>
      </c>
      <c r="B565" s="4" vm="1126">
        <f ca="1"/>
        <v>25960.55</v>
      </c>
      <c r="C565" s="7">
        <f t="shared" ca="1" si="8"/>
        <v>-8.626598870790092E-3</v>
      </c>
    </row>
    <row r="566" spans="1:3" x14ac:dyDescent="0.3">
      <c r="A566" vm="1127">
        <f ca="1"/>
        <v>46000</v>
      </c>
      <c r="B566" s="4" vm="1128">
        <f ca="1"/>
        <v>25839.65</v>
      </c>
      <c r="C566" s="7">
        <f t="shared" ca="1" si="8"/>
        <v>-4.6570662023723841E-3</v>
      </c>
    </row>
    <row r="567" spans="1:3" x14ac:dyDescent="0.3">
      <c r="A567" vm="1129">
        <f ca="1"/>
        <v>46001</v>
      </c>
      <c r="B567" s="4" vm="1130">
        <f ca="1"/>
        <v>25758</v>
      </c>
      <c r="C567" s="7">
        <f t="shared" ca="1" si="8"/>
        <v>-3.15987252149319E-3</v>
      </c>
    </row>
    <row r="568" spans="1:3" x14ac:dyDescent="0.3">
      <c r="A568" vm="1131">
        <f ca="1"/>
        <v>46002</v>
      </c>
      <c r="B568" s="4" vm="1132">
        <f ca="1"/>
        <v>25898.55</v>
      </c>
      <c r="C568" s="7">
        <f t="shared" ca="1" si="8"/>
        <v>5.4565571861169282E-3</v>
      </c>
    </row>
    <row r="569" spans="1:3" x14ac:dyDescent="0.3">
      <c r="A569" vm="1133">
        <f ca="1"/>
        <v>46003</v>
      </c>
      <c r="B569" s="4" vm="1134">
        <f ca="1"/>
        <v>26046.95</v>
      </c>
      <c r="C569" s="7">
        <f t="shared" ca="1" si="8"/>
        <v>5.7300505240640565E-3</v>
      </c>
    </row>
    <row r="570" spans="1:3" x14ac:dyDescent="0.3">
      <c r="A570" vm="1135">
        <f ca="1"/>
        <v>46006</v>
      </c>
      <c r="B570" s="4" vm="1136">
        <f ca="1"/>
        <v>26027.3</v>
      </c>
      <c r="C570" s="7">
        <f t="shared" ca="1" si="8"/>
        <v>-7.5440694591888402E-4</v>
      </c>
    </row>
    <row r="571" spans="1:3" x14ac:dyDescent="0.3">
      <c r="A571" vm="1137">
        <f ca="1"/>
        <v>46007</v>
      </c>
      <c r="B571" s="4" vm="1138">
        <f ca="1"/>
        <v>25860.1</v>
      </c>
      <c r="C571" s="7">
        <f t="shared" ca="1" si="8"/>
        <v>-6.4240240055634112E-3</v>
      </c>
    </row>
    <row r="572" spans="1:3" x14ac:dyDescent="0.3">
      <c r="A572" vm="1139">
        <f ca="1"/>
        <v>46008</v>
      </c>
      <c r="B572" s="4" vm="1140">
        <f ca="1"/>
        <v>25818.55</v>
      </c>
      <c r="C572" s="7">
        <f t="shared" ca="1" si="8"/>
        <v>-1.6067223251263751E-3</v>
      </c>
    </row>
    <row r="573" spans="1:3" x14ac:dyDescent="0.3">
      <c r="A573" vm="1141">
        <f ca="1"/>
        <v>46009</v>
      </c>
      <c r="B573" s="4" vm="1142">
        <f ca="1"/>
        <v>25815.55</v>
      </c>
      <c r="C573" s="7">
        <f t="shared" ca="1" si="8"/>
        <v>-1.1619552608488348E-4</v>
      </c>
    </row>
    <row r="574" spans="1:3" x14ac:dyDescent="0.3">
      <c r="A574" vm="1143">
        <f ca="1"/>
        <v>46010</v>
      </c>
      <c r="B574" s="4" vm="1144">
        <f ca="1"/>
        <v>25966.400000000001</v>
      </c>
      <c r="C574" s="7">
        <f t="shared" ca="1" si="8"/>
        <v>5.8433773442752024E-3</v>
      </c>
    </row>
    <row r="575" spans="1:3" x14ac:dyDescent="0.3">
      <c r="A575" vm="1145">
        <f ca="1"/>
        <v>46013</v>
      </c>
      <c r="B575" s="4" vm="1146">
        <f ca="1"/>
        <v>26172.400000000001</v>
      </c>
      <c r="C575" s="7">
        <f t="shared" ca="1" si="8"/>
        <v>7.9333292254606391E-3</v>
      </c>
    </row>
    <row r="576" spans="1:3" x14ac:dyDescent="0.3">
      <c r="A576" vm="1147">
        <f ca="1"/>
        <v>46014</v>
      </c>
      <c r="B576" s="4" vm="1148">
        <f ca="1"/>
        <v>26177.15</v>
      </c>
      <c r="C576" s="7">
        <f t="shared" ca="1" si="8"/>
        <v>1.8148889670044355E-4</v>
      </c>
    </row>
    <row r="577" spans="1:3" x14ac:dyDescent="0.3">
      <c r="A577" vm="1149">
        <f ca="1"/>
        <v>46015</v>
      </c>
      <c r="B577" s="4" vm="1150">
        <f ca="1"/>
        <v>26142.1</v>
      </c>
      <c r="C577" s="7">
        <f t="shared" ca="1" si="8"/>
        <v>-1.3389540114184806E-3</v>
      </c>
    </row>
    <row r="578" spans="1:3" x14ac:dyDescent="0.3">
      <c r="A578" vm="1151">
        <f ca="1"/>
        <v>46017</v>
      </c>
      <c r="B578" s="4" vm="1152">
        <f ca="1"/>
        <v>26042.3</v>
      </c>
      <c r="C578" s="7">
        <f t="shared" ca="1" si="8"/>
        <v>-3.8175969030797008E-3</v>
      </c>
    </row>
    <row r="579" spans="1:3" x14ac:dyDescent="0.3">
      <c r="A579" vm="1153">
        <f ca="1"/>
        <v>46020</v>
      </c>
      <c r="B579" s="4" vm="1154">
        <f ca="1"/>
        <v>25942.1</v>
      </c>
      <c r="C579" s="7">
        <f t="shared" ca="1" si="8"/>
        <v>-3.8475864266981352E-3</v>
      </c>
    </row>
    <row r="580" spans="1:3" x14ac:dyDescent="0.3">
      <c r="A580" vm="1155">
        <f ca="1"/>
        <v>46021</v>
      </c>
      <c r="B580" s="4" vm="1156">
        <f ca="1"/>
        <v>25938.85</v>
      </c>
      <c r="C580" s="7">
        <f t="shared" ref="C580:C643" ca="1" si="9">B580/B579-1</f>
        <v>-1.2527898666647719E-4</v>
      </c>
    </row>
    <row r="581" spans="1:3" x14ac:dyDescent="0.3">
      <c r="A581" vm="1157">
        <f ca="1"/>
        <v>46022</v>
      </c>
      <c r="B581" s="4" vm="1158">
        <f ca="1"/>
        <v>26129.599999999999</v>
      </c>
      <c r="C581" s="7">
        <f t="shared" ca="1" si="9"/>
        <v>7.3538341136942798E-3</v>
      </c>
    </row>
    <row r="582" spans="1:3" x14ac:dyDescent="0.3">
      <c r="A582" vm="1159">
        <f ca="1"/>
        <v>46023</v>
      </c>
      <c r="B582" s="4" vm="1160">
        <f ca="1"/>
        <v>26146.55</v>
      </c>
      <c r="C582" s="7">
        <f t="shared" ca="1" si="9"/>
        <v>6.4868960871966586E-4</v>
      </c>
    </row>
    <row r="583" spans="1:3" x14ac:dyDescent="0.3">
      <c r="A583" vm="1161">
        <f ca="1"/>
        <v>46024</v>
      </c>
      <c r="B583" s="4" vm="1162">
        <f ca="1"/>
        <v>26328.55</v>
      </c>
      <c r="C583" s="7">
        <f t="shared" ca="1" si="9"/>
        <v>6.9607653782239876E-3</v>
      </c>
    </row>
    <row r="584" spans="1:3" x14ac:dyDescent="0.3">
      <c r="A584" vm="1163">
        <f ca="1"/>
        <v>46027</v>
      </c>
      <c r="B584" s="4" vm="1164">
        <f ca="1"/>
        <v>26250.3</v>
      </c>
      <c r="C584" s="7">
        <f t="shared" ca="1" si="9"/>
        <v>-2.9720588486642496E-3</v>
      </c>
    </row>
    <row r="585" spans="1:3" x14ac:dyDescent="0.3">
      <c r="A585" vm="1165">
        <f ca="1"/>
        <v>46028</v>
      </c>
      <c r="B585" s="4" vm="1166">
        <f ca="1"/>
        <v>26178.7</v>
      </c>
      <c r="C585" s="7">
        <f t="shared" ca="1" si="9"/>
        <v>-2.7275878751861216E-3</v>
      </c>
    </row>
    <row r="586" spans="1:3" x14ac:dyDescent="0.3">
      <c r="A586" vm="1167">
        <f ca="1"/>
        <v>46029</v>
      </c>
      <c r="B586" s="4" vm="1168">
        <f ca="1"/>
        <v>26140.75</v>
      </c>
      <c r="C586" s="7">
        <f t="shared" ca="1" si="9"/>
        <v>-1.4496518161711824E-3</v>
      </c>
    </row>
    <row r="587" spans="1:3" x14ac:dyDescent="0.3">
      <c r="A587" vm="1169">
        <f ca="1"/>
        <v>46030</v>
      </c>
      <c r="B587" s="4" vm="1170">
        <f ca="1"/>
        <v>25876.85</v>
      </c>
      <c r="C587" s="7">
        <f t="shared" ca="1" si="9"/>
        <v>-1.0095349215305638E-2</v>
      </c>
    </row>
    <row r="588" spans="1:3" x14ac:dyDescent="0.3">
      <c r="A588" vm="1171">
        <f ca="1"/>
        <v>46031</v>
      </c>
      <c r="B588" s="4" vm="1172">
        <f ca="1"/>
        <v>25683.3</v>
      </c>
      <c r="C588" s="7">
        <f t="shared" ca="1" si="9"/>
        <v>-7.4796584592019544E-3</v>
      </c>
    </row>
    <row r="589" spans="1:3" x14ac:dyDescent="0.3">
      <c r="A589" vm="1173">
        <f ca="1"/>
        <v>46034</v>
      </c>
      <c r="B589" s="4" vm="1174">
        <f ca="1"/>
        <v>25790.25</v>
      </c>
      <c r="C589" s="7">
        <f t="shared" ca="1" si="9"/>
        <v>4.164184509000135E-3</v>
      </c>
    </row>
    <row r="590" spans="1:3" x14ac:dyDescent="0.3">
      <c r="A590" vm="1175">
        <f ca="1"/>
        <v>46035</v>
      </c>
      <c r="B590" s="4" vm="1176">
        <f ca="1"/>
        <v>25732.3</v>
      </c>
      <c r="C590" s="7">
        <f t="shared" ca="1" si="9"/>
        <v>-2.2469731778482771E-3</v>
      </c>
    </row>
    <row r="591" spans="1:3" x14ac:dyDescent="0.3">
      <c r="A591" vm="1177">
        <f ca="1"/>
        <v>46036</v>
      </c>
      <c r="B591" s="4" vm="1178">
        <f ca="1"/>
        <v>25665.599999999999</v>
      </c>
      <c r="C591" s="7">
        <f t="shared" ca="1" si="9"/>
        <v>-2.5920729977498835E-3</v>
      </c>
    </row>
    <row r="592" spans="1:3" x14ac:dyDescent="0.3">
      <c r="A592" vm="1179">
        <f ca="1"/>
        <v>46038</v>
      </c>
      <c r="B592" s="4" vm="1180">
        <f ca="1"/>
        <v>25694.35</v>
      </c>
      <c r="C592" s="7">
        <f t="shared" ca="1" si="9"/>
        <v>1.1201764229162858E-3</v>
      </c>
    </row>
    <row r="593" spans="1:3" x14ac:dyDescent="0.3">
      <c r="A593" vm="1181">
        <f ca="1"/>
        <v>46041</v>
      </c>
      <c r="B593" s="4" vm="1182">
        <f ca="1"/>
        <v>25585.5</v>
      </c>
      <c r="C593" s="7">
        <f t="shared" ca="1" si="9"/>
        <v>-4.2363398957357967E-3</v>
      </c>
    </row>
    <row r="594" spans="1:3" x14ac:dyDescent="0.3">
      <c r="A594" vm="1183">
        <f ca="1"/>
        <v>46042</v>
      </c>
      <c r="B594" s="4" vm="1184">
        <f ca="1"/>
        <v>25232.5</v>
      </c>
      <c r="C594" s="7">
        <f t="shared" ca="1" si="9"/>
        <v>-1.3796877137441155E-2</v>
      </c>
    </row>
    <row r="595" spans="1:3" x14ac:dyDescent="0.3">
      <c r="A595" vm="1185">
        <f ca="1"/>
        <v>46043</v>
      </c>
      <c r="B595" s="4" vm="1186">
        <f ca="1"/>
        <v>25157.5</v>
      </c>
      <c r="C595" s="7">
        <f t="shared" ca="1" si="9"/>
        <v>-2.9723570791637677E-3</v>
      </c>
    </row>
    <row r="596" spans="1:3" x14ac:dyDescent="0.3">
      <c r="A596" vm="1187">
        <f ca="1"/>
        <v>46044</v>
      </c>
      <c r="B596" s="4" vm="1188">
        <f ca="1"/>
        <v>25289.9</v>
      </c>
      <c r="C596" s="7">
        <f t="shared" ca="1" si="9"/>
        <v>5.2628440822817257E-3</v>
      </c>
    </row>
    <row r="597" spans="1:3" x14ac:dyDescent="0.3">
      <c r="A597" vm="1189">
        <f ca="1"/>
        <v>46045</v>
      </c>
      <c r="B597" s="4" vm="1190">
        <f ca="1"/>
        <v>25048.65</v>
      </c>
      <c r="C597" s="7">
        <f t="shared" ca="1" si="9"/>
        <v>-9.5393813340503009E-3</v>
      </c>
    </row>
    <row r="598" spans="1:3" x14ac:dyDescent="0.3">
      <c r="A598" vm="1191">
        <f ca="1"/>
        <v>46049</v>
      </c>
      <c r="B598" s="4" vm="1192">
        <f ca="1"/>
        <v>25175.4</v>
      </c>
      <c r="C598" s="7">
        <f t="shared" ca="1" si="9"/>
        <v>5.0601529423741631E-3</v>
      </c>
    </row>
    <row r="599" spans="1:3" x14ac:dyDescent="0.3">
      <c r="A599" vm="1193">
        <f ca="1"/>
        <v>46050</v>
      </c>
      <c r="B599" s="4" vm="1194">
        <f ca="1"/>
        <v>25342.75</v>
      </c>
      <c r="C599" s="7">
        <f t="shared" ca="1" si="9"/>
        <v>6.6473621074540912E-3</v>
      </c>
    </row>
    <row r="600" spans="1:3" x14ac:dyDescent="0.3">
      <c r="A600" vm="1195">
        <f ca="1"/>
        <v>46051</v>
      </c>
      <c r="B600" s="4" vm="1196">
        <f ca="1"/>
        <v>25418.9</v>
      </c>
      <c r="C600" s="7">
        <f t="shared" ca="1" si="9"/>
        <v>3.004804135305017E-3</v>
      </c>
    </row>
    <row r="601" spans="1:3" x14ac:dyDescent="0.3">
      <c r="A601" vm="1197">
        <f ca="1"/>
        <v>46052</v>
      </c>
      <c r="B601" s="4" vm="1198">
        <f ca="1"/>
        <v>25320.65</v>
      </c>
      <c r="C601" s="7">
        <f t="shared" ca="1" si="9"/>
        <v>-3.8652341368037302E-3</v>
      </c>
    </row>
    <row r="602" spans="1:3" x14ac:dyDescent="0.3">
      <c r="A602" vm="1199">
        <f ca="1"/>
        <v>46054</v>
      </c>
      <c r="B602" s="4" vm="1200">
        <f ca="1"/>
        <v>24825.45</v>
      </c>
      <c r="C602" s="7">
        <f t="shared" ca="1" si="9"/>
        <v>-1.955715986753892E-2</v>
      </c>
    </row>
    <row r="603" spans="1:3" x14ac:dyDescent="0.3">
      <c r="A603" vm="1201">
        <f ca="1"/>
        <v>46055</v>
      </c>
      <c r="B603" s="4" vm="1202">
        <f ca="1"/>
        <v>25088.400000000001</v>
      </c>
      <c r="C603" s="7">
        <f t="shared" ca="1" si="9"/>
        <v>1.05919530159575E-2</v>
      </c>
    </row>
    <row r="604" spans="1:3" x14ac:dyDescent="0.3">
      <c r="A604" vm="1203">
        <f ca="1"/>
        <v>46056</v>
      </c>
      <c r="B604" s="4" vm="1204">
        <f ca="1"/>
        <v>25727.55</v>
      </c>
      <c r="C604" s="7">
        <f t="shared" ca="1" si="9"/>
        <v>2.5475917156932981E-2</v>
      </c>
    </row>
    <row r="605" spans="1:3" x14ac:dyDescent="0.3">
      <c r="A605" vm="1205">
        <f ca="1"/>
        <v>46057</v>
      </c>
      <c r="B605" s="4" vm="1206">
        <f ca="1"/>
        <v>25776</v>
      </c>
      <c r="C605" s="7">
        <f t="shared" ca="1" si="9"/>
        <v>1.8831952517825989E-3</v>
      </c>
    </row>
    <row r="606" spans="1:3" x14ac:dyDescent="0.3">
      <c r="A606" vm="1207">
        <f ca="1"/>
        <v>46058</v>
      </c>
      <c r="B606" s="4" vm="1208">
        <f ca="1"/>
        <v>25642.799999999999</v>
      </c>
      <c r="C606" s="7">
        <f t="shared" ca="1" si="9"/>
        <v>-5.16759776536313E-3</v>
      </c>
    </row>
    <row r="607" spans="1:3" x14ac:dyDescent="0.3">
      <c r="A607" vm="1209">
        <f ca="1"/>
        <v>46059</v>
      </c>
      <c r="B607" s="4" vm="1210">
        <f ca="1"/>
        <v>25693.7</v>
      </c>
      <c r="C607" s="7">
        <f t="shared" ca="1" si="9"/>
        <v>1.9849626405852305E-3</v>
      </c>
    </row>
    <row r="608" spans="1:3" x14ac:dyDescent="0.3">
      <c r="A608" vm="1211">
        <f ca="1"/>
        <v>46062</v>
      </c>
      <c r="B608" s="4" vm="1212">
        <f ca="1"/>
        <v>25867.3</v>
      </c>
      <c r="C608" s="7">
        <f t="shared" ca="1" si="9"/>
        <v>6.7565200807979675E-3</v>
      </c>
    </row>
    <row r="609" spans="1:3" x14ac:dyDescent="0.3">
      <c r="A609" vm="1213">
        <f ca="1"/>
        <v>46063</v>
      </c>
      <c r="B609" s="4" vm="1214">
        <f ca="1"/>
        <v>25935.15</v>
      </c>
      <c r="C609" s="7">
        <f t="shared" ca="1" si="9"/>
        <v>2.6230027873028749E-3</v>
      </c>
    </row>
    <row r="610" spans="1:3" x14ac:dyDescent="0.3">
      <c r="A610" vm="1215">
        <f ca="1"/>
        <v>46064</v>
      </c>
      <c r="B610" s="4" vm="1216">
        <f ca="1"/>
        <v>25953.85</v>
      </c>
      <c r="C610" s="7">
        <f t="shared" ca="1" si="9"/>
        <v>7.2102918240291025E-4</v>
      </c>
    </row>
    <row r="611" spans="1:3" x14ac:dyDescent="0.3">
      <c r="A611" vm="1217">
        <f ca="1"/>
        <v>46065</v>
      </c>
      <c r="B611" s="4" vm="1218">
        <f ca="1"/>
        <v>25807.200000000001</v>
      </c>
      <c r="C611" s="7">
        <f t="shared" ca="1" si="9"/>
        <v>-5.6504141004127817E-3</v>
      </c>
    </row>
    <row r="612" spans="1:3" x14ac:dyDescent="0.3">
      <c r="A612" vm="1219">
        <f ca="1"/>
        <v>46066</v>
      </c>
      <c r="B612" s="4" vm="1220">
        <f ca="1"/>
        <v>25471.1</v>
      </c>
      <c r="C612" s="7">
        <f t="shared" ca="1" si="9"/>
        <v>-1.3023497318577881E-2</v>
      </c>
    </row>
    <row r="613" spans="1:3" x14ac:dyDescent="0.3">
      <c r="A613" vm="1221">
        <f ca="1"/>
        <v>46069</v>
      </c>
      <c r="B613" s="4" vm="1222">
        <f ca="1"/>
        <v>25682.75</v>
      </c>
      <c r="C613" s="7">
        <f t="shared" ca="1" si="9"/>
        <v>8.3094173396516258E-3</v>
      </c>
    </row>
    <row r="614" spans="1:3" x14ac:dyDescent="0.3">
      <c r="A614" vm="1223">
        <f ca="1"/>
        <v>46070</v>
      </c>
      <c r="B614" s="4" vm="1224">
        <f ca="1"/>
        <v>25725.4</v>
      </c>
      <c r="C614" s="7">
        <f t="shared" ca="1" si="9"/>
        <v>1.6606477110123752E-3</v>
      </c>
    </row>
    <row r="615" spans="1:3" x14ac:dyDescent="0.3">
      <c r="A615" vm="1225">
        <f ca="1"/>
        <v>46071</v>
      </c>
      <c r="B615" s="4" vm="1226">
        <f ca="1"/>
        <v>25819.35</v>
      </c>
      <c r="C615" s="7">
        <f t="shared" ca="1" si="9"/>
        <v>3.6520326214557475E-3</v>
      </c>
    </row>
    <row r="616" spans="1:3" x14ac:dyDescent="0.3">
      <c r="A616" vm="1227">
        <f ca="1"/>
        <v>46072</v>
      </c>
      <c r="B616" s="4" vm="1228">
        <f ca="1"/>
        <v>25454.35</v>
      </c>
      <c r="C616" s="7">
        <f t="shared" ca="1" si="9"/>
        <v>-1.4136684308474035E-2</v>
      </c>
    </row>
    <row r="617" spans="1:3" x14ac:dyDescent="0.3">
      <c r="A617" vm="1229">
        <f ca="1"/>
        <v>46073</v>
      </c>
      <c r="B617" s="4" vm="1230">
        <f ca="1"/>
        <v>25571.25</v>
      </c>
      <c r="C617" s="7">
        <f t="shared" ca="1" si="9"/>
        <v>4.5925352641100758E-3</v>
      </c>
    </row>
    <row r="618" spans="1:3" x14ac:dyDescent="0.3">
      <c r="A618" vm="1231">
        <f ca="1"/>
        <v>46076</v>
      </c>
      <c r="B618" s="4" vm="1232">
        <f ca="1"/>
        <v>25713</v>
      </c>
      <c r="C618" s="7">
        <f t="shared" ca="1" si="9"/>
        <v>5.5433347998239402E-3</v>
      </c>
    </row>
    <row r="619" spans="1:3" x14ac:dyDescent="0.3">
      <c r="A619" vm="1233">
        <f ca="1"/>
        <v>46077</v>
      </c>
      <c r="B619" s="4" vm="1234">
        <f ca="1"/>
        <v>25424.65</v>
      </c>
      <c r="C619" s="7">
        <f t="shared" ca="1" si="9"/>
        <v>-1.1214171819702079E-2</v>
      </c>
    </row>
    <row r="620" spans="1:3" x14ac:dyDescent="0.3">
      <c r="A620" vm="1235">
        <f ca="1"/>
        <v>46078</v>
      </c>
      <c r="B620" s="4" vm="1236">
        <f ca="1"/>
        <v>25482.5</v>
      </c>
      <c r="C620" s="7">
        <f t="shared" ca="1" si="9"/>
        <v>2.275350889786143E-3</v>
      </c>
    </row>
    <row r="621" spans="1:3" x14ac:dyDescent="0.3">
      <c r="A621" vm="1237">
        <f ca="1"/>
        <v>46079</v>
      </c>
      <c r="B621" s="4" vm="1238">
        <f ca="1"/>
        <v>25496.55</v>
      </c>
      <c r="C621" s="7">
        <f t="shared" ca="1" si="9"/>
        <v>5.5135877563028401E-4</v>
      </c>
    </row>
    <row r="622" spans="1:3" x14ac:dyDescent="0.3">
      <c r="A622" vm="1239">
        <f ca="1"/>
        <v>46080</v>
      </c>
      <c r="B622" s="4" vm="1240">
        <f ca="1"/>
        <v>25178.65</v>
      </c>
      <c r="C622" s="7">
        <f t="shared" ca="1" si="9"/>
        <v>-1.2468353561560175E-2</v>
      </c>
    </row>
    <row r="623" spans="1:3" x14ac:dyDescent="0.3">
      <c r="A623" vm="1241">
        <f ca="1"/>
        <v>46083</v>
      </c>
      <c r="B623" s="4" vm="1242">
        <f ca="1"/>
        <v>24865.7</v>
      </c>
      <c r="C623" s="7">
        <f t="shared" ca="1" si="9"/>
        <v>-1.2429181072059148E-2</v>
      </c>
    </row>
    <row r="624" spans="1:3" x14ac:dyDescent="0.3">
      <c r="A624" vm="1243">
        <f ca="1"/>
        <v>46085</v>
      </c>
      <c r="B624" s="4" vm="1244">
        <f ca="1"/>
        <v>24480.5</v>
      </c>
      <c r="C624" s="7">
        <f t="shared" ca="1" si="9"/>
        <v>-1.5491218827541564E-2</v>
      </c>
    </row>
    <row r="625" spans="1:3" x14ac:dyDescent="0.3">
      <c r="A625" vm="1245">
        <f ca="1"/>
        <v>46086</v>
      </c>
      <c r="B625" s="4" vm="1246">
        <f ca="1"/>
        <v>24765.9</v>
      </c>
      <c r="C625" s="7">
        <f t="shared" ca="1" si="9"/>
        <v>1.1658258613999051E-2</v>
      </c>
    </row>
    <row r="626" spans="1:3" x14ac:dyDescent="0.3">
      <c r="A626" vm="1247">
        <f ca="1"/>
        <v>46087</v>
      </c>
      <c r="B626" s="4" vm="1248">
        <f ca="1"/>
        <v>24450.45</v>
      </c>
      <c r="C626" s="7">
        <f t="shared" ca="1" si="9"/>
        <v>-1.2737271813259343E-2</v>
      </c>
    </row>
    <row r="627" spans="1:3" x14ac:dyDescent="0.3">
      <c r="A627" vm="1249">
        <f ca="1"/>
        <v>46090</v>
      </c>
      <c r="B627" s="4" vm="1250">
        <f ca="1"/>
        <v>24028.05</v>
      </c>
      <c r="C627" s="7">
        <f t="shared" ca="1" si="9"/>
        <v>-1.7275755660938863E-2</v>
      </c>
    </row>
    <row r="628" spans="1:3" x14ac:dyDescent="0.3">
      <c r="A628" vm="1251">
        <f ca="1"/>
        <v>46091</v>
      </c>
      <c r="B628" s="4" vm="1252">
        <f ca="1"/>
        <v>24261.599999999999</v>
      </c>
      <c r="C628" s="7">
        <f t="shared" ca="1" si="9"/>
        <v>9.7198898787043131E-3</v>
      </c>
    </row>
    <row r="629" spans="1:3" x14ac:dyDescent="0.3">
      <c r="A629" vm="1253">
        <f ca="1"/>
        <v>46092</v>
      </c>
      <c r="B629" s="4" vm="1254">
        <f ca="1"/>
        <v>23866.85</v>
      </c>
      <c r="C629" s="7">
        <f t="shared" ca="1" si="9"/>
        <v>-1.6270567481122433E-2</v>
      </c>
    </row>
    <row r="630" spans="1:3" x14ac:dyDescent="0.3">
      <c r="A630" vm="1255">
        <f ca="1"/>
        <v>46093</v>
      </c>
      <c r="B630" s="4" vm="1256">
        <f ca="1"/>
        <v>23639.15</v>
      </c>
      <c r="C630" s="7">
        <f t="shared" ca="1" si="9"/>
        <v>-9.5404295078738155E-3</v>
      </c>
    </row>
    <row r="631" spans="1:3" x14ac:dyDescent="0.3">
      <c r="A631" vm="1257">
        <f ca="1"/>
        <v>46094</v>
      </c>
      <c r="B631" s="4" vm="1258">
        <f ca="1"/>
        <v>23151.1</v>
      </c>
      <c r="C631" s="7">
        <f t="shared" ca="1" si="9"/>
        <v>-2.0645835404403456E-2</v>
      </c>
    </row>
    <row r="632" spans="1:3" x14ac:dyDescent="0.3">
      <c r="A632" vm="1259">
        <f ca="1"/>
        <v>46097</v>
      </c>
      <c r="B632" s="4" vm="1260">
        <f ca="1"/>
        <v>23408.799999999999</v>
      </c>
      <c r="C632" s="7">
        <f t="shared" ca="1" si="9"/>
        <v>1.1131220546755971E-2</v>
      </c>
    </row>
    <row r="633" spans="1:3" x14ac:dyDescent="0.3">
      <c r="A633" vm="1261">
        <f ca="1"/>
        <v>46098</v>
      </c>
      <c r="B633" s="4" vm="1262">
        <f ca="1"/>
        <v>23581.15</v>
      </c>
      <c r="C633" s="7">
        <f t="shared" ca="1" si="9"/>
        <v>7.3626157684290039E-3</v>
      </c>
    </row>
    <row r="634" spans="1:3" x14ac:dyDescent="0.3">
      <c r="A634" vm="1263">
        <f ca="1"/>
        <v>46099</v>
      </c>
      <c r="B634" s="4" vm="1264">
        <f ca="1"/>
        <v>23777.8</v>
      </c>
      <c r="C634" s="7">
        <f t="shared" ca="1" si="9"/>
        <v>8.3392879482127036E-3</v>
      </c>
    </row>
    <row r="635" spans="1:3" x14ac:dyDescent="0.3">
      <c r="A635" vm="1265">
        <f ca="1"/>
        <v>46100</v>
      </c>
      <c r="B635" s="4" vm="1266">
        <f ca="1"/>
        <v>23002.15</v>
      </c>
      <c r="C635" s="7">
        <f t="shared" ca="1" si="9"/>
        <v>-3.2620763905828021E-2</v>
      </c>
    </row>
    <row r="636" spans="1:3" x14ac:dyDescent="0.3">
      <c r="A636" vm="1267">
        <f ca="1"/>
        <v>46101</v>
      </c>
      <c r="B636" s="4" vm="1268">
        <f ca="1"/>
        <v>23114.5</v>
      </c>
      <c r="C636" s="7">
        <f t="shared" ca="1" si="9"/>
        <v>4.8843260303927938E-3</v>
      </c>
    </row>
    <row r="637" spans="1:3" x14ac:dyDescent="0.3">
      <c r="A637" vm="1269">
        <f ca="1"/>
        <v>46104</v>
      </c>
      <c r="B637" s="4" vm="1270">
        <f ca="1"/>
        <v>22512.65</v>
      </c>
      <c r="C637" s="7">
        <f t="shared" ca="1" si="9"/>
        <v>-2.6037768500291936E-2</v>
      </c>
    </row>
    <row r="638" spans="1:3" x14ac:dyDescent="0.3">
      <c r="A638" vm="1271">
        <f ca="1"/>
        <v>46105</v>
      </c>
      <c r="B638" s="4" vm="1272">
        <f ca="1"/>
        <v>22912.400000000001</v>
      </c>
      <c r="C638" s="7">
        <f t="shared" ca="1" si="9"/>
        <v>1.7756683464629885E-2</v>
      </c>
    </row>
    <row r="639" spans="1:3" x14ac:dyDescent="0.3">
      <c r="A639" vm="1273">
        <f ca="1"/>
        <v>46106</v>
      </c>
      <c r="B639" s="4" vm="1274">
        <f ca="1"/>
        <v>23306.45</v>
      </c>
      <c r="C639" s="7">
        <f t="shared" ca="1" si="9"/>
        <v>1.7198111066496713E-2</v>
      </c>
    </row>
    <row r="640" spans="1:3" x14ac:dyDescent="0.3">
      <c r="A640" vm="1275">
        <f ca="1"/>
        <v>46108</v>
      </c>
      <c r="B640" s="4" vm="1276">
        <f ca="1"/>
        <v>22819.599999999999</v>
      </c>
      <c r="C640" s="7">
        <f t="shared" ca="1" si="9"/>
        <v>-2.0889067189554966E-2</v>
      </c>
    </row>
    <row r="641" spans="1:3" x14ac:dyDescent="0.3">
      <c r="A641" vm="1277">
        <f ca="1"/>
        <v>46111</v>
      </c>
      <c r="B641" s="4" vm="1278">
        <f ca="1"/>
        <v>22331.4</v>
      </c>
      <c r="C641" s="7">
        <f t="shared" ca="1" si="9"/>
        <v>-2.1393889463443561E-2</v>
      </c>
    </row>
    <row r="642" spans="1:3" x14ac:dyDescent="0.3">
      <c r="A642" vm="1279">
        <f ca="1"/>
        <v>46113</v>
      </c>
      <c r="B642" s="4" vm="1280">
        <f ca="1"/>
        <v>22679.4</v>
      </c>
      <c r="C642" s="7">
        <f t="shared" ca="1" si="9"/>
        <v>1.5583438566323604E-2</v>
      </c>
    </row>
    <row r="643" spans="1:3" x14ac:dyDescent="0.3">
      <c r="A643" vm="1281">
        <f ca="1"/>
        <v>46114</v>
      </c>
      <c r="B643" s="4" vm="1282">
        <f ca="1"/>
        <v>22713.1</v>
      </c>
      <c r="C643" s="7">
        <f t="shared" ca="1" si="9"/>
        <v>1.4859299628737777E-3</v>
      </c>
    </row>
    <row r="644" spans="1:3" x14ac:dyDescent="0.3">
      <c r="A644" vm="1283">
        <f ca="1"/>
        <v>46118</v>
      </c>
      <c r="B644" s="4" vm="1284">
        <f ca="1"/>
        <v>22968.25</v>
      </c>
      <c r="C644" s="7">
        <f t="shared" ref="C644:C707" ca="1" si="10">B644/B643-1</f>
        <v>1.123360527625028E-2</v>
      </c>
    </row>
    <row r="645" spans="1:3" x14ac:dyDescent="0.3">
      <c r="A645" vm="1285">
        <f ca="1"/>
        <v>46119</v>
      </c>
      <c r="B645" s="4" vm="1286">
        <f ca="1"/>
        <v>23123.65</v>
      </c>
      <c r="C645" s="7">
        <f t="shared" ca="1" si="10"/>
        <v>6.7658615697756552E-3</v>
      </c>
    </row>
    <row r="646" spans="1:3" x14ac:dyDescent="0.3">
      <c r="A646" vm="1287">
        <f ca="1"/>
        <v>46120</v>
      </c>
      <c r="B646" s="4" vm="1288">
        <f ca="1"/>
        <v>23997.35</v>
      </c>
      <c r="C646" s="7">
        <f t="shared" ca="1" si="10"/>
        <v>3.7783827380192925E-2</v>
      </c>
    </row>
    <row r="647" spans="1:3" x14ac:dyDescent="0.3">
      <c r="A647" vm="1289">
        <f ca="1"/>
        <v>46121</v>
      </c>
      <c r="B647" s="4" vm="1290">
        <f ca="1"/>
        <v>23775.1</v>
      </c>
      <c r="C647" s="7">
        <f t="shared" ca="1" si="10"/>
        <v>-9.2614392839209803E-3</v>
      </c>
    </row>
    <row r="648" spans="1:3" x14ac:dyDescent="0.3">
      <c r="A648" vm="1291">
        <f ca="1"/>
        <v>46122</v>
      </c>
      <c r="B648" s="4" vm="1292">
        <f ca="1"/>
        <v>24050.6</v>
      </c>
      <c r="C648" s="7">
        <f t="shared" ca="1" si="10"/>
        <v>1.1587753574117565E-2</v>
      </c>
    </row>
    <row r="649" spans="1:3" x14ac:dyDescent="0.3">
      <c r="A649" vm="1293">
        <f ca="1"/>
        <v>46125</v>
      </c>
      <c r="B649" s="4" vm="1294">
        <f ca="1"/>
        <v>23842.65</v>
      </c>
      <c r="C649" s="7">
        <f t="shared" ca="1" si="10"/>
        <v>-8.6463539371157694E-3</v>
      </c>
    </row>
    <row r="650" spans="1:3" x14ac:dyDescent="0.3">
      <c r="A650" vm="1295">
        <f ca="1"/>
        <v>46127</v>
      </c>
      <c r="B650" s="4" vm="1296">
        <f ca="1"/>
        <v>24231.3</v>
      </c>
      <c r="C650" s="7">
        <f t="shared" ca="1" si="10"/>
        <v>1.6300620946077649E-2</v>
      </c>
    </row>
    <row r="651" spans="1:3" x14ac:dyDescent="0.3">
      <c r="A651" vm="1297">
        <f ca="1"/>
        <v>46128</v>
      </c>
      <c r="B651" s="4" vm="1298">
        <f ca="1"/>
        <v>24196.75</v>
      </c>
      <c r="C651" s="7">
        <f t="shared" ca="1" si="10"/>
        <v>-1.4258417831481962E-3</v>
      </c>
    </row>
    <row r="652" spans="1:3" x14ac:dyDescent="0.3">
      <c r="A652" vm="1299">
        <f ca="1"/>
        <v>46129</v>
      </c>
      <c r="B652" s="4" vm="1300">
        <f ca="1"/>
        <v>24353.55</v>
      </c>
      <c r="C652" s="7">
        <f t="shared" ca="1" si="10"/>
        <v>6.4802091189932742E-3</v>
      </c>
    </row>
    <row r="653" spans="1:3" x14ac:dyDescent="0.3">
      <c r="A653" vm="1301">
        <f ca="1"/>
        <v>46132</v>
      </c>
      <c r="B653" s="4" vm="1302">
        <f ca="1"/>
        <v>24364.85</v>
      </c>
      <c r="C653" s="7">
        <f t="shared" ca="1" si="10"/>
        <v>4.6399806188412995E-4</v>
      </c>
    </row>
    <row r="654" spans="1:3" x14ac:dyDescent="0.3">
      <c r="A654" vm="1303">
        <f ca="1"/>
        <v>46133</v>
      </c>
      <c r="B654" s="4" vm="1304">
        <f ca="1"/>
        <v>24576.6</v>
      </c>
      <c r="C654" s="7">
        <f t="shared" ca="1" si="10"/>
        <v>8.690798424779933E-3</v>
      </c>
    </row>
    <row r="655" spans="1:3" x14ac:dyDescent="0.3">
      <c r="A655" vm="1305">
        <f ca="1"/>
        <v>46134</v>
      </c>
      <c r="B655" s="4" vm="1306">
        <f ca="1"/>
        <v>24378.1</v>
      </c>
      <c r="C655" s="7">
        <f t="shared" ca="1" si="10"/>
        <v>-8.0767884898643727E-3</v>
      </c>
    </row>
    <row r="656" spans="1:3" x14ac:dyDescent="0.3">
      <c r="A656" vm="1307">
        <f ca="1"/>
        <v>46135</v>
      </c>
      <c r="B656" s="4" vm="1308">
        <f ca="1"/>
        <v>24173.05</v>
      </c>
      <c r="C656" s="7">
        <f t="shared" ca="1" si="10"/>
        <v>-8.4112379553779038E-3</v>
      </c>
    </row>
    <row r="657" spans="1:3" x14ac:dyDescent="0.3">
      <c r="A657" vm="1309">
        <f ca="1"/>
        <v>46136</v>
      </c>
      <c r="B657" s="4" vm="1310">
        <f ca="1"/>
        <v>23897.95</v>
      </c>
      <c r="C657" s="7">
        <f t="shared" ca="1" si="10"/>
        <v>-1.1380442269386726E-2</v>
      </c>
    </row>
    <row r="658" spans="1:3" x14ac:dyDescent="0.3">
      <c r="A658" vm="1311">
        <f ca="1"/>
        <v>46139</v>
      </c>
      <c r="B658" s="4" vm="1312">
        <f ca="1"/>
        <v>24092.7</v>
      </c>
      <c r="C658" s="7">
        <f t="shared" ca="1" si="10"/>
        <v>8.1492345577758307E-3</v>
      </c>
    </row>
    <row r="659" spans="1:3" x14ac:dyDescent="0.3">
      <c r="A659" vm="1313">
        <f ca="1"/>
        <v>46140</v>
      </c>
      <c r="B659" s="4" vm="1314">
        <f ca="1"/>
        <v>23995.7</v>
      </c>
      <c r="C659" s="7">
        <f t="shared" ca="1" si="10"/>
        <v>-4.0261157944107007E-3</v>
      </c>
    </row>
    <row r="660" spans="1:3" x14ac:dyDescent="0.3">
      <c r="A660" vm="1315">
        <f ca="1"/>
        <v>46141</v>
      </c>
      <c r="B660" s="4" vm="1316">
        <f ca="1"/>
        <v>24177.65</v>
      </c>
      <c r="C660" s="7">
        <f t="shared" ca="1" si="10"/>
        <v>7.5826085506986995E-3</v>
      </c>
    </row>
    <row r="661" spans="1:3" x14ac:dyDescent="0.3">
      <c r="A661" vm="1317">
        <f ca="1"/>
        <v>46142</v>
      </c>
      <c r="B661" s="4" vm="1318">
        <f ca="1"/>
        <v>23997.55</v>
      </c>
      <c r="C661" s="7">
        <f t="shared" ca="1" si="10"/>
        <v>-7.4490283381554168E-3</v>
      </c>
    </row>
    <row r="662" spans="1:3" x14ac:dyDescent="0.3">
      <c r="A662" vm="1319">
        <f ca="1"/>
        <v>46146</v>
      </c>
      <c r="B662" s="4" vm="1320">
        <f ca="1"/>
        <v>24119.3</v>
      </c>
      <c r="C662" s="7">
        <f t="shared" ca="1" si="10"/>
        <v>5.0734345797800451E-3</v>
      </c>
    </row>
    <row r="663" spans="1:3" x14ac:dyDescent="0.3">
      <c r="A663" vm="1321">
        <f ca="1"/>
        <v>46147</v>
      </c>
      <c r="B663" s="4" vm="1322">
        <f ca="1"/>
        <v>24032.799999999999</v>
      </c>
      <c r="C663" s="7">
        <f t="shared" ca="1" si="10"/>
        <v>-3.5863395703855661E-3</v>
      </c>
    </row>
    <row r="664" spans="1:3" x14ac:dyDescent="0.3">
      <c r="A664" vm="1323">
        <f ca="1"/>
        <v>46148</v>
      </c>
      <c r="B664" s="4" vm="1324">
        <f ca="1"/>
        <v>24330.95</v>
      </c>
      <c r="C664" s="7">
        <f t="shared" ca="1" si="10"/>
        <v>1.2405961852135494E-2</v>
      </c>
    </row>
    <row r="665" spans="1:3" x14ac:dyDescent="0.3">
      <c r="A665" vm="1325">
        <f ca="1"/>
        <v>46149</v>
      </c>
      <c r="B665" s="4" vm="1326">
        <f ca="1"/>
        <v>24326.65</v>
      </c>
      <c r="C665" s="7">
        <f t="shared" ca="1" si="10"/>
        <v>-1.7672963858783586E-4</v>
      </c>
    </row>
    <row r="666" spans="1:3" x14ac:dyDescent="0.3">
      <c r="A666" vm="1327">
        <f ca="1"/>
        <v>46150</v>
      </c>
      <c r="B666" s="4" vm="1328">
        <f ca="1"/>
        <v>24176.15</v>
      </c>
      <c r="C666" s="7">
        <f t="shared" ca="1" si="10"/>
        <v>-6.1866307115858721E-3</v>
      </c>
    </row>
    <row r="667" spans="1:3" x14ac:dyDescent="0.3">
      <c r="A667" vm="1329">
        <f ca="1"/>
        <v>46153</v>
      </c>
      <c r="B667" s="4" vm="1330">
        <f ca="1"/>
        <v>23815.85</v>
      </c>
      <c r="C667" s="7">
        <f t="shared" ca="1" si="10"/>
        <v>-1.4903117328441629E-2</v>
      </c>
    </row>
    <row r="668" spans="1:3" x14ac:dyDescent="0.3">
      <c r="A668" vm="1331">
        <f ca="1"/>
        <v>46154</v>
      </c>
      <c r="B668" s="4" vm="1332">
        <f ca="1"/>
        <v>23379.55</v>
      </c>
      <c r="C668" s="7">
        <f t="shared" ca="1" si="10"/>
        <v>-1.8319732447088732E-2</v>
      </c>
    </row>
    <row r="669" spans="1:3" x14ac:dyDescent="0.3">
      <c r="A669" vm="1333">
        <f ca="1"/>
        <v>46155</v>
      </c>
      <c r="B669" s="4" vm="1334">
        <f ca="1"/>
        <v>23412.6</v>
      </c>
      <c r="C669" s="7">
        <f t="shared" ca="1" si="10"/>
        <v>1.4136285771111368E-3</v>
      </c>
    </row>
    <row r="670" spans="1:3" x14ac:dyDescent="0.3">
      <c r="A670" vm="1335">
        <f ca="1"/>
        <v>46156</v>
      </c>
      <c r="B670" s="4" vm="1336">
        <f ca="1"/>
        <v>23689.599999999999</v>
      </c>
      <c r="C670" s="7">
        <f t="shared" ca="1" si="10"/>
        <v>1.1831236171975679E-2</v>
      </c>
    </row>
    <row r="671" spans="1:3" x14ac:dyDescent="0.3">
      <c r="A671" vm="1337">
        <f ca="1"/>
        <v>46157</v>
      </c>
      <c r="B671" s="4" vm="1338">
        <f ca="1"/>
        <v>23643.5</v>
      </c>
      <c r="C671" s="7">
        <f t="shared" ca="1" si="10"/>
        <v>-1.946001620964366E-3</v>
      </c>
    </row>
    <row r="672" spans="1:3" x14ac:dyDescent="0.3">
      <c r="A672" vm="1339">
        <f ca="1"/>
        <v>46160</v>
      </c>
      <c r="B672" s="4" vm="1340">
        <f ca="1"/>
        <v>23649.95</v>
      </c>
      <c r="C672" s="7">
        <f t="shared" ca="1" si="10"/>
        <v>2.7280225008996517E-4</v>
      </c>
    </row>
    <row r="673" spans="1:3" x14ac:dyDescent="0.3">
      <c r="A673" vm="1341">
        <f ca="1"/>
        <v>46161</v>
      </c>
      <c r="B673" s="4" vm="1342">
        <f ca="1"/>
        <v>23618</v>
      </c>
      <c r="C673" s="7">
        <f t="shared" ca="1" si="10"/>
        <v>-1.3509542303472566E-3</v>
      </c>
    </row>
    <row r="674" spans="1:3" x14ac:dyDescent="0.3">
      <c r="A674" vm="1343">
        <f ca="1"/>
        <v>46162</v>
      </c>
      <c r="B674" s="4" vm="1344">
        <f ca="1"/>
        <v>23659</v>
      </c>
      <c r="C674" s="7">
        <f t="shared" ca="1" si="10"/>
        <v>1.7359640951817301E-3</v>
      </c>
    </row>
    <row r="675" spans="1:3" x14ac:dyDescent="0.3">
      <c r="A675" vm="1345">
        <f ca="1"/>
        <v>46163</v>
      </c>
      <c r="B675" s="4" vm="1346">
        <f ca="1"/>
        <v>23654.7</v>
      </c>
      <c r="C675" s="7">
        <f t="shared" ca="1" si="10"/>
        <v>-1.8174901728729154E-4</v>
      </c>
    </row>
    <row r="676" spans="1:3" x14ac:dyDescent="0.3">
      <c r="A676" vm="1347">
        <f ca="1"/>
        <v>46164</v>
      </c>
      <c r="B676" s="4" vm="1348">
        <f ca="1"/>
        <v>23719.3</v>
      </c>
      <c r="C676" s="7">
        <f t="shared" ca="1" si="10"/>
        <v>2.7309583296342144E-3</v>
      </c>
    </row>
    <row r="677" spans="1:3" x14ac:dyDescent="0.3">
      <c r="A677" vm="1349">
        <f ca="1"/>
        <v>46167</v>
      </c>
      <c r="B677" s="4" vm="1350">
        <f ca="1"/>
        <v>24031.7</v>
      </c>
      <c r="C677" s="7">
        <f t="shared" ca="1" si="10"/>
        <v>1.3170709085006838E-2</v>
      </c>
    </row>
    <row r="678" spans="1:3" x14ac:dyDescent="0.3">
      <c r="A678" vm="1351">
        <f ca="1"/>
        <v>46168</v>
      </c>
      <c r="B678" s="4" vm="1352">
        <f ca="1"/>
        <v>23913.7</v>
      </c>
      <c r="C678" s="7">
        <f t="shared" ca="1" si="10"/>
        <v>-4.9101811357498137E-3</v>
      </c>
    </row>
    <row r="679" spans="1:3" x14ac:dyDescent="0.3">
      <c r="A679" vm="1353">
        <f ca="1"/>
        <v>46169</v>
      </c>
      <c r="B679" s="4" vm="1354">
        <f ca="1"/>
        <v>23907.15</v>
      </c>
      <c r="C679" s="7">
        <f t="shared" ca="1" si="10"/>
        <v>-2.7390157106588209E-4</v>
      </c>
    </row>
    <row r="680" spans="1:3" x14ac:dyDescent="0.3">
      <c r="A680" vm="1355">
        <f ca="1"/>
        <v>46171</v>
      </c>
      <c r="B680" s="4" vm="1356">
        <f ca="1"/>
        <v>23547.75</v>
      </c>
      <c r="C680" s="7">
        <f t="shared" ca="1" si="10"/>
        <v>-1.5033159535954743E-2</v>
      </c>
    </row>
    <row r="681" spans="1:3" x14ac:dyDescent="0.3">
      <c r="A681" vm="1357">
        <f ca="1"/>
        <v>46174</v>
      </c>
      <c r="B681" s="4" vm="1358">
        <f ca="1"/>
        <v>23382.6</v>
      </c>
      <c r="C681" s="7">
        <f t="shared" ca="1" si="10"/>
        <v>-7.0134089244195952E-3</v>
      </c>
    </row>
    <row r="682" spans="1:3" x14ac:dyDescent="0.3">
      <c r="A682" vm="1359">
        <f ca="1"/>
        <v>46175</v>
      </c>
      <c r="B682" s="4" vm="1360">
        <f ca="1"/>
        <v>23483.55</v>
      </c>
      <c r="C682" s="7">
        <f t="shared" ca="1" si="10"/>
        <v>4.3173128736753164E-3</v>
      </c>
    </row>
    <row r="683" spans="1:3" x14ac:dyDescent="0.3">
      <c r="A683" vm="1361">
        <f ca="1"/>
        <v>46176</v>
      </c>
      <c r="B683" s="4" vm="1362">
        <f ca="1"/>
        <v>23405.599999999999</v>
      </c>
      <c r="C683" s="7">
        <f t="shared" ca="1" si="10"/>
        <v>-3.3193448179683616E-3</v>
      </c>
    </row>
    <row r="684" spans="1:3" x14ac:dyDescent="0.3">
      <c r="A684" vm="1363">
        <f ca="1"/>
        <v>46177</v>
      </c>
      <c r="B684" s="4" vm="1364">
        <f ca="1"/>
        <v>23416.55</v>
      </c>
      <c r="C684" s="7">
        <f t="shared" ca="1" si="10"/>
        <v>4.6783675701544958E-4</v>
      </c>
    </row>
    <row r="685" spans="1:3" x14ac:dyDescent="0.3">
      <c r="A685" vm="1365">
        <f ca="1"/>
        <v>46178</v>
      </c>
      <c r="B685" s="4" vm="1366">
        <f ca="1"/>
        <v>23366.7</v>
      </c>
      <c r="C685" s="7">
        <f t="shared" ca="1" si="10"/>
        <v>-2.1288362290772245E-3</v>
      </c>
    </row>
    <row r="686" spans="1:3" x14ac:dyDescent="0.3">
      <c r="A686" vm="1367">
        <f ca="1"/>
        <v>46181</v>
      </c>
      <c r="B686" s="4" vm="1368">
        <f ca="1"/>
        <v>23123</v>
      </c>
      <c r="C686" s="7">
        <f t="shared" ca="1" si="10"/>
        <v>-1.0429371712736502E-2</v>
      </c>
    </row>
    <row r="687" spans="1:3" x14ac:dyDescent="0.3">
      <c r="A687" vm="1369">
        <f ca="1"/>
        <v>46182</v>
      </c>
      <c r="B687" s="4" vm="1370">
        <f ca="1"/>
        <v>23242.1</v>
      </c>
      <c r="C687" s="7">
        <f t="shared" ca="1" si="10"/>
        <v>5.1507157375771939E-3</v>
      </c>
    </row>
    <row r="688" spans="1:3" x14ac:dyDescent="0.3">
      <c r="A688" vm="1371">
        <f ca="1"/>
        <v>46183</v>
      </c>
      <c r="B688" s="4" vm="1372">
        <f ca="1"/>
        <v>23214.95</v>
      </c>
      <c r="C688" s="7">
        <f t="shared" ca="1" si="10"/>
        <v>-1.1681388514805935E-3</v>
      </c>
    </row>
    <row r="689" spans="1:3" x14ac:dyDescent="0.3">
      <c r="A689" vm="1373">
        <f ca="1"/>
        <v>46184</v>
      </c>
      <c r="B689" s="4" vm="1374">
        <f ca="1"/>
        <v>23161.599999999999</v>
      </c>
      <c r="C689" s="7">
        <f t="shared" ca="1" si="10"/>
        <v>-2.2980880854794883E-3</v>
      </c>
    </row>
    <row r="690" spans="1:3" x14ac:dyDescent="0.3">
      <c r="A690" vm="1375">
        <f ca="1"/>
        <v>46185</v>
      </c>
      <c r="B690" s="4" vm="1376">
        <f ca="1"/>
        <v>23622.9</v>
      </c>
      <c r="C690" s="7">
        <f t="shared" ca="1" si="10"/>
        <v>1.9916586073501108E-2</v>
      </c>
    </row>
    <row r="691" spans="1:3" x14ac:dyDescent="0.3">
      <c r="A691" vm="1377">
        <f ca="1"/>
        <v>46188</v>
      </c>
      <c r="B691" s="4" vm="1378">
        <f ca="1"/>
        <v>23853.9</v>
      </c>
      <c r="C691" s="7">
        <f t="shared" ca="1" si="10"/>
        <v>9.7786469908436313E-3</v>
      </c>
    </row>
    <row r="692" spans="1:3" x14ac:dyDescent="0.3">
      <c r="A692" vm="1379">
        <f ca="1"/>
        <v>46189</v>
      </c>
      <c r="B692" s="4" vm="1380">
        <f ca="1"/>
        <v>23989.15</v>
      </c>
      <c r="C692" s="7">
        <f t="shared" ca="1" si="10"/>
        <v>5.6699323800299961E-3</v>
      </c>
    </row>
    <row r="693" spans="1:3" x14ac:dyDescent="0.3">
      <c r="A693" vm="1381">
        <f ca="1"/>
        <v>46190</v>
      </c>
      <c r="B693" s="4" vm="1382">
        <f ca="1"/>
        <v>24085.7</v>
      </c>
      <c r="C693" s="7">
        <f t="shared" ca="1" si="10"/>
        <v>4.0247361828158468E-3</v>
      </c>
    </row>
    <row r="694" spans="1:3" x14ac:dyDescent="0.3">
      <c r="A694" vm="1383">
        <f ca="1"/>
        <v>46191</v>
      </c>
      <c r="B694" s="4" vm="1384">
        <f ca="1"/>
        <v>24168</v>
      </c>
      <c r="C694" s="7">
        <f t="shared" ca="1" si="10"/>
        <v>3.4169652532414219E-3</v>
      </c>
    </row>
    <row r="695" spans="1:3" x14ac:dyDescent="0.3">
      <c r="A695" vm="1385">
        <f ca="1"/>
        <v>46192</v>
      </c>
      <c r="B695" s="4" vm="1386">
        <f ca="1"/>
        <v>24013.1</v>
      </c>
      <c r="C695" s="7">
        <f t="shared" ca="1" si="10"/>
        <v>-6.4093015557763477E-3</v>
      </c>
    </row>
    <row r="696" spans="1:3" x14ac:dyDescent="0.3">
      <c r="A696" vm="1387">
        <f ca="1"/>
        <v>46195</v>
      </c>
      <c r="B696" s="4" vm="1388">
        <f ca="1"/>
        <v>24102.9</v>
      </c>
      <c r="C696" s="7">
        <f t="shared" ca="1" si="10"/>
        <v>3.7396254544395102E-3</v>
      </c>
    </row>
    <row r="697" spans="1:3" x14ac:dyDescent="0.3">
      <c r="A697" vm="1389">
        <f ca="1"/>
        <v>46196</v>
      </c>
      <c r="B697" s="4" vm="1390">
        <f ca="1"/>
        <v>23824.1</v>
      </c>
      <c r="C697" s="7">
        <f t="shared" ca="1" si="10"/>
        <v>-1.1567072841857318E-2</v>
      </c>
    </row>
    <row r="698" spans="1:3" x14ac:dyDescent="0.3">
      <c r="A698" vm="1391">
        <f ca="1"/>
        <v>46197</v>
      </c>
      <c r="B698" s="4" vm="1392">
        <f ca="1"/>
        <v>24021.65</v>
      </c>
      <c r="C698" s="7">
        <f t="shared" ca="1" si="10"/>
        <v>8.2920236231380784E-3</v>
      </c>
    </row>
    <row r="699" spans="1:3" x14ac:dyDescent="0.3">
      <c r="A699" vm="1393">
        <f ca="1"/>
        <v>46198</v>
      </c>
      <c r="B699" s="4" vm="1394">
        <f ca="1"/>
        <v>24056</v>
      </c>
      <c r="C699" s="7">
        <f t="shared" ca="1" si="10"/>
        <v>1.4299600568652426E-3</v>
      </c>
    </row>
    <row r="700" spans="1:3" x14ac:dyDescent="0.3">
      <c r="A700" vm="1395">
        <f ca="1"/>
        <v>46202</v>
      </c>
      <c r="B700" s="4" vm="1396">
        <f ca="1"/>
        <v>23946.25</v>
      </c>
      <c r="C700" s="7">
        <f t="shared" ca="1" si="10"/>
        <v>-4.5622713668107551E-3</v>
      </c>
    </row>
    <row r="701" spans="1:3" x14ac:dyDescent="0.3">
      <c r="A701" vm="1397">
        <f ca="1"/>
        <v>46203</v>
      </c>
      <c r="B701" s="4" vm="1398">
        <f ca="1"/>
        <v>23865.75</v>
      </c>
      <c r="C701" s="7">
        <f t="shared" ca="1" si="10"/>
        <v>-3.3616954637991636E-3</v>
      </c>
    </row>
    <row r="702" spans="1:3" x14ac:dyDescent="0.3">
      <c r="A702" vm="1399">
        <f ca="1"/>
        <v>46204</v>
      </c>
      <c r="B702" s="4" vm="1400">
        <f ca="1"/>
        <v>24005.85</v>
      </c>
      <c r="C702" s="7">
        <f t="shared" ca="1" si="10"/>
        <v>5.8703371987052222E-3</v>
      </c>
    </row>
    <row r="703" spans="1:3" x14ac:dyDescent="0.3">
      <c r="A703" vm="1401">
        <f ca="1"/>
        <v>46205</v>
      </c>
      <c r="B703" s="4" vm="1402">
        <f ca="1"/>
        <v>24175.7</v>
      </c>
      <c r="C703" s="7">
        <f t="shared" ca="1" si="10"/>
        <v>7.0753587146468178E-3</v>
      </c>
    </row>
    <row r="704" spans="1:3" x14ac:dyDescent="0.3">
      <c r="A704" vm="1403">
        <f ca="1"/>
        <v>46206</v>
      </c>
      <c r="B704" s="4" vm="1404">
        <f ca="1"/>
        <v>24270.85</v>
      </c>
      <c r="C704" s="7">
        <f t="shared" ca="1" si="10"/>
        <v>3.9357702155469187E-3</v>
      </c>
    </row>
    <row r="705" spans="1:3" x14ac:dyDescent="0.3">
      <c r="A705" vm="1405">
        <f ca="1"/>
        <v>46209</v>
      </c>
      <c r="B705" s="4" vm="1406">
        <f ca="1"/>
        <v>24430.35</v>
      </c>
      <c r="C705" s="7">
        <f t="shared" ca="1" si="10"/>
        <v>6.5716693070081433E-3</v>
      </c>
    </row>
    <row r="706" spans="1:3" x14ac:dyDescent="0.3">
      <c r="A706" vm="1407">
        <f ca="1"/>
        <v>46210</v>
      </c>
      <c r="B706" s="4" vm="1408">
        <f ca="1"/>
        <v>24398.7</v>
      </c>
      <c r="C706" s="7">
        <f t="shared" ca="1" si="10"/>
        <v>-1.2955197121612416E-3</v>
      </c>
    </row>
    <row r="707" spans="1:3" x14ac:dyDescent="0.3">
      <c r="A707" vm="1409">
        <f ca="1"/>
        <v>46211</v>
      </c>
      <c r="B707" s="4" vm="1410">
        <f ca="1"/>
        <v>23882.05</v>
      </c>
      <c r="C707" s="7">
        <f t="shared" ca="1" si="10"/>
        <v>-2.1175308520535951E-2</v>
      </c>
    </row>
    <row r="708" spans="1:3" x14ac:dyDescent="0.3">
      <c r="A708" vm="1411">
        <f ca="1"/>
        <v>46212</v>
      </c>
      <c r="B708" s="4" vm="1412">
        <f ca="1"/>
        <v>23962.799999999999</v>
      </c>
      <c r="C708" s="7">
        <f t="shared" ref="C708:C730" ca="1" si="11">B708/B707-1</f>
        <v>3.3812005250806187E-3</v>
      </c>
    </row>
    <row r="709" spans="1:3" x14ac:dyDescent="0.3">
      <c r="A709" vm="1413">
        <f ca="1"/>
        <v>46213</v>
      </c>
      <c r="B709" s="4" vm="1414">
        <f ca="1"/>
        <v>24206.9</v>
      </c>
      <c r="C709" s="7">
        <f t="shared" ca="1" si="11"/>
        <v>1.0186622598360895E-2</v>
      </c>
    </row>
    <row r="710" spans="1:3" x14ac:dyDescent="0.3">
      <c r="A710" vm="1415">
        <f ca="1"/>
        <v>46216</v>
      </c>
      <c r="B710" s="4" vm="1416">
        <f ca="1"/>
        <v>24211</v>
      </c>
      <c r="C710" s="7">
        <f t="shared" ca="1" si="11"/>
        <v>1.6937319524590322E-4</v>
      </c>
    </row>
    <row r="711" spans="1:3" x14ac:dyDescent="0.3">
      <c r="A711" vm="1417">
        <f ca="1"/>
        <v>46217</v>
      </c>
      <c r="B711" s="4" vm="1418">
        <f ca="1"/>
        <v>24052.05</v>
      </c>
      <c r="C711" s="7">
        <f t="shared" ca="1" si="11"/>
        <v>-6.5651976374375698E-3</v>
      </c>
    </row>
    <row r="712" spans="1:3" x14ac:dyDescent="0.3">
      <c r="A712" vm="1419">
        <f ca="1"/>
        <v>46218</v>
      </c>
      <c r="B712" s="4" vm="1420">
        <f ca="1"/>
        <v>24078.5</v>
      </c>
      <c r="C712" s="7">
        <f t="shared" ca="1" si="11"/>
        <v>1.0996983625095602E-3</v>
      </c>
    </row>
    <row r="713" spans="1:3" x14ac:dyDescent="0.3">
      <c r="A713" vm="1421">
        <f ca="1"/>
        <v>46219</v>
      </c>
      <c r="B713" s="4" vm="1422">
        <f ca="1"/>
        <v>24072.75</v>
      </c>
      <c r="C713" s="7">
        <f t="shared" ca="1" si="11"/>
        <v>-2.3880225097083763E-4</v>
      </c>
    </row>
    <row r="714" spans="1:3" x14ac:dyDescent="0.3">
      <c r="A714" vm="1423">
        <f ca="1"/>
        <v>46220</v>
      </c>
      <c r="B714" s="4" vm="1424">
        <f ca="1"/>
        <v>24334.3</v>
      </c>
      <c r="C714" s="7">
        <f t="shared" ca="1" si="11"/>
        <v>1.0864982189404904E-2</v>
      </c>
    </row>
    <row r="715" spans="1:3" x14ac:dyDescent="0.3">
      <c r="A715" vm="1425">
        <f ca="1"/>
        <v>46223</v>
      </c>
      <c r="B715" s="4" vm="1426">
        <f ca="1"/>
        <v>24238.5</v>
      </c>
      <c r="C715" s="7">
        <f t="shared" ca="1" si="11"/>
        <v>-3.9368299067571444E-3</v>
      </c>
    </row>
    <row r="716" spans="1:3" x14ac:dyDescent="0.3">
      <c r="A716" vm="1427">
        <f ca="1"/>
        <v>46224</v>
      </c>
      <c r="B716" s="4" vm="1428">
        <f ca="1"/>
        <v>24187.7</v>
      </c>
      <c r="C716" s="7">
        <f t="shared" ca="1" si="11"/>
        <v>-2.0958392639808254E-3</v>
      </c>
    </row>
    <row r="717" spans="1:3" x14ac:dyDescent="0.3">
      <c r="A717" vm="1429">
        <f ca="1"/>
        <v>46225</v>
      </c>
      <c r="B717" s="4" vm="1430">
        <f ca="1"/>
        <v>23996.25</v>
      </c>
      <c r="C717" s="7">
        <f t="shared" ca="1" si="11"/>
        <v>-7.9151800295191865E-3</v>
      </c>
    </row>
    <row r="718" spans="1:3" x14ac:dyDescent="0.3">
      <c r="A718" vm="1431">
        <f ca="1"/>
        <v>46226</v>
      </c>
      <c r="B718" s="4" vm="1432">
        <f ca="1"/>
        <v>23869.599999999999</v>
      </c>
      <c r="C718" s="7">
        <f t="shared" ca="1" si="11"/>
        <v>-5.2779080064594419E-3</v>
      </c>
    </row>
    <row r="719" spans="1:3" x14ac:dyDescent="0.3">
      <c r="A719" vm="1433">
        <f ca="1"/>
        <v>46227</v>
      </c>
      <c r="B719" s="4" vm="1434">
        <f ca="1"/>
        <v>23767.45</v>
      </c>
      <c r="C719" s="7">
        <f t="shared" ca="1" si="11"/>
        <v>-4.2795019606527429E-3</v>
      </c>
    </row>
    <row r="720" spans="1:3" x14ac:dyDescent="0.3">
      <c r="A720" vm="1435">
        <f ca="1"/>
        <v>46230</v>
      </c>
      <c r="B720" s="4" vm="1436">
        <f ca="1"/>
        <v>23995.95</v>
      </c>
      <c r="C720" s="7">
        <f t="shared" ca="1" si="11"/>
        <v>9.6139888797495132E-3</v>
      </c>
    </row>
    <row r="721" spans="1:3" x14ac:dyDescent="0.3">
      <c r="A721" vm="1437">
        <f ca="1"/>
        <v>46231</v>
      </c>
      <c r="B721" s="4" vm="1438">
        <f ca="1"/>
        <v>23985.35</v>
      </c>
      <c r="C721" s="7">
        <f t="shared" ca="1" si="11"/>
        <v>-4.4174121049600501E-4</v>
      </c>
    </row>
    <row r="722" spans="1:3" x14ac:dyDescent="0.3">
      <c r="A722" vm="1439">
        <f ca="1"/>
        <v>46232</v>
      </c>
      <c r="B722" s="4" vm="1440">
        <f ca="1"/>
        <v>24250.2</v>
      </c>
      <c r="C722" s="7">
        <f t="shared" ca="1" si="11"/>
        <v>1.1042156983325224E-2</v>
      </c>
    </row>
    <row r="723" spans="1:3" x14ac:dyDescent="0.3">
      <c r="A723" vm="1441">
        <f ca="1"/>
        <v>46233</v>
      </c>
      <c r="B723" s="4" vm="1442">
        <f ca="1"/>
        <v>24317.15</v>
      </c>
      <c r="C723" s="7">
        <f t="shared" ca="1" si="11"/>
        <v>2.7608019727671795E-3</v>
      </c>
    </row>
    <row r="724" spans="1:3" x14ac:dyDescent="0.3">
      <c r="A724" vm="1443">
        <f ca="1"/>
        <v>46234</v>
      </c>
      <c r="B724" s="4" vm="1444">
        <f ca="1"/>
        <v>24383.599999999999</v>
      </c>
      <c r="C724" s="7">
        <f t="shared" ca="1" si="11"/>
        <v>2.7326393101163582E-3</v>
      </c>
    </row>
    <row r="725" spans="1:3" x14ac:dyDescent="0.3">
      <c r="A725" vm="1445">
        <f ca="1"/>
        <v>46237</v>
      </c>
      <c r="B725" s="4" vm="1446">
        <f ca="1"/>
        <v>24774.3</v>
      </c>
      <c r="C725" s="7">
        <f t="shared" ca="1" si="11"/>
        <v>1.6023064682819665E-2</v>
      </c>
    </row>
    <row r="726" spans="1:3" x14ac:dyDescent="0.3">
      <c r="A726" vm="1447">
        <f ca="1"/>
        <v>46238</v>
      </c>
      <c r="B726" s="4" vm="1448">
        <f ca="1"/>
        <v>24614.9</v>
      </c>
      <c r="C726" s="7">
        <f t="shared" ca="1" si="11"/>
        <v>-6.4340869368659792E-3</v>
      </c>
    </row>
    <row r="727" spans="1:3" x14ac:dyDescent="0.3">
      <c r="A727" vm="1449">
        <f ca="1"/>
        <v>46239</v>
      </c>
      <c r="B727" s="4" vm="1450">
        <f ca="1"/>
        <v>24624.65</v>
      </c>
      <c r="C727" s="7">
        <f t="shared" ca="1" si="11"/>
        <v>3.9610154824920585E-4</v>
      </c>
    </row>
    <row r="728" spans="1:3" x14ac:dyDescent="0.3">
      <c r="A728" vm="1451">
        <f ca="1"/>
        <v>46240</v>
      </c>
      <c r="B728" s="4" vm="1452">
        <f ca="1"/>
        <v>24636</v>
      </c>
      <c r="C728" s="7">
        <f t="shared" ca="1" si="11"/>
        <v>4.6092025673449832E-4</v>
      </c>
    </row>
    <row r="729" spans="1:3" x14ac:dyDescent="0.3">
      <c r="A729" vm="1453">
        <f ca="1"/>
        <v>46241</v>
      </c>
      <c r="B729" s="4" vm="1454">
        <f ca="1"/>
        <v>24570.65</v>
      </c>
      <c r="C729" s="7">
        <f t="shared" ca="1" si="11"/>
        <v>-2.6526221789251458E-3</v>
      </c>
    </row>
    <row r="730" spans="1:3" x14ac:dyDescent="0.3">
      <c r="A730" vm="1455">
        <f ca="1"/>
        <v>46244</v>
      </c>
      <c r="B730" s="4" vm="1456">
        <f ca="1"/>
        <v>24583.8</v>
      </c>
      <c r="C730" s="7">
        <f t="shared" ca="1" si="11"/>
        <v>5.3519137670332562E-4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8942-F338-4205-8B5B-58C8CCD4E8B4}">
  <dimension ref="A1:XEU730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  <col min="13" max="16375" width="15.77734375" style="21"/>
  </cols>
  <sheetData>
    <row r="1" spans="1:16375" x14ac:dyDescent="0.3">
      <c r="A1" s="1" t="s">
        <v>1</v>
      </c>
      <c r="B1" s="5" t="e" vm="1">
        <v>#VALUE!</v>
      </c>
      <c r="C1" s="5" t="s">
        <v>4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</row>
    <row r="2" spans="1:16375" x14ac:dyDescent="0.3">
      <c r="A2" cm="1" vm="1457">
        <f t="array" aca="1" ref="A2:B156" ca="1">_xlfn.STOCKHISTORY(B1,$F$2,$F$3,1,0,0,1)</f>
        <v>45166</v>
      </c>
      <c r="B2" s="4" vm="5">
        <f ca="1"/>
        <v>19435.3</v>
      </c>
      <c r="E2" s="2" t="s">
        <v>2</v>
      </c>
      <c r="F2" s="3">
        <f ca="1">EOMONTH(F3,-36)</f>
        <v>45169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</row>
    <row r="3" spans="1:16375" x14ac:dyDescent="0.3">
      <c r="A3" vm="6">
        <f ca="1"/>
        <v>45173</v>
      </c>
      <c r="B3" s="4" vm="15">
        <f ca="1"/>
        <v>19819.95</v>
      </c>
      <c r="C3" s="7">
        <f ca="1">B3/B2-1</f>
        <v>1.9791307569216876E-2</v>
      </c>
      <c r="E3" s="2" t="s">
        <v>3</v>
      </c>
      <c r="F3" s="3">
        <f ca="1">TODAY()</f>
        <v>46245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</row>
    <row r="4" spans="1:16375" ht="15" thickBot="1" x14ac:dyDescent="0.35">
      <c r="A4" vm="16">
        <f ca="1"/>
        <v>45180</v>
      </c>
      <c r="B4" s="4" vm="25">
        <f ca="1"/>
        <v>20192.349999999999</v>
      </c>
      <c r="C4" s="7">
        <f t="shared" ref="C4:C67" ca="1" si="0">B4/B3-1</f>
        <v>1.8789149316723597E-2</v>
      </c>
      <c r="I4" s="5" t="s">
        <v>19</v>
      </c>
      <c r="J4" s="5" t="s">
        <v>18</v>
      </c>
      <c r="K4" s="5"/>
      <c r="M4" s="20"/>
      <c r="N4" s="20"/>
      <c r="O4" s="20"/>
      <c r="P4" s="20"/>
      <c r="Q4" s="20"/>
      <c r="R4" s="20"/>
    </row>
    <row r="5" spans="1:16375" x14ac:dyDescent="0.3">
      <c r="A5" vm="26">
        <f ca="1"/>
        <v>45187</v>
      </c>
      <c r="B5" s="4" vm="33">
        <f ca="1"/>
        <v>19674.25</v>
      </c>
      <c r="C5" s="7">
        <f t="shared" ca="1" si="0"/>
        <v>-2.5658231954180599E-2</v>
      </c>
      <c r="E5" s="10" t="s">
        <v>4</v>
      </c>
      <c r="F5" s="10"/>
      <c r="H5" s="1" t="s">
        <v>20</v>
      </c>
      <c r="I5" s="14">
        <f ca="1">AVERAGE(C3:C156)</f>
        <v>1.6754562549445664E-3</v>
      </c>
      <c r="J5" s="7">
        <f ca="1">I5*52</f>
        <v>8.7123725257117451E-2</v>
      </c>
      <c r="M5" s="20"/>
      <c r="N5" s="20"/>
      <c r="O5" s="20"/>
      <c r="P5" s="20"/>
      <c r="Q5" s="20"/>
      <c r="R5" s="20"/>
    </row>
    <row r="6" spans="1:16375" x14ac:dyDescent="0.3">
      <c r="A6" vm="34">
        <f ca="1"/>
        <v>45194</v>
      </c>
      <c r="B6" s="4" vm="43">
        <f ca="1"/>
        <v>19638.3</v>
      </c>
      <c r="C6" s="7">
        <f t="shared" ca="1" si="0"/>
        <v>-1.8272615220402688E-3</v>
      </c>
      <c r="E6" s="8"/>
      <c r="F6" s="8"/>
      <c r="H6" s="1" t="s">
        <v>9</v>
      </c>
      <c r="I6" s="7">
        <f ca="1">_xlfn.STDEV.S(C3:C156)</f>
        <v>1.7273758988582636E-2</v>
      </c>
      <c r="J6" s="7">
        <f ca="1">I6*SQRT(52)</f>
        <v>0.12456284750668334</v>
      </c>
      <c r="M6" s="20"/>
      <c r="N6" s="20"/>
      <c r="O6" s="20"/>
      <c r="P6" s="20"/>
      <c r="Q6" s="20"/>
      <c r="R6" s="20"/>
    </row>
    <row r="7" spans="1:16375" x14ac:dyDescent="0.3">
      <c r="A7" vm="44">
        <f ca="1"/>
        <v>45202</v>
      </c>
      <c r="B7" s="4" vm="51">
        <f ca="1"/>
        <v>19653.5</v>
      </c>
      <c r="C7" s="7">
        <f t="shared" ca="1" si="0"/>
        <v>7.7399774929598486E-4</v>
      </c>
      <c r="E7" s="8" t="s">
        <v>5</v>
      </c>
      <c r="F7" s="8">
        <v>1.6754562549445664E-3</v>
      </c>
      <c r="H7" s="1" t="s">
        <v>21</v>
      </c>
      <c r="I7" s="4"/>
      <c r="J7" s="4">
        <f ca="1">J5/J6</f>
        <v>0.69943588317891403</v>
      </c>
      <c r="M7" s="20"/>
      <c r="N7" s="20"/>
      <c r="O7" s="20"/>
      <c r="P7" s="20"/>
      <c r="Q7" s="20"/>
      <c r="R7" s="20"/>
    </row>
    <row r="8" spans="1:16375" x14ac:dyDescent="0.3">
      <c r="A8" vm="52">
        <f ca="1"/>
        <v>45208</v>
      </c>
      <c r="B8" s="4" vm="61">
        <f ca="1"/>
        <v>19751.05</v>
      </c>
      <c r="C8" s="7">
        <f t="shared" ca="1" si="0"/>
        <v>4.9634925076957881E-3</v>
      </c>
      <c r="E8" s="8" t="s">
        <v>6</v>
      </c>
      <c r="F8" s="8">
        <v>1.3919591668039714E-3</v>
      </c>
      <c r="M8" s="20"/>
      <c r="N8" s="20"/>
      <c r="O8" s="20"/>
      <c r="P8" s="20"/>
      <c r="Q8" s="20"/>
      <c r="R8" s="20"/>
    </row>
    <row r="9" spans="1:16375" x14ac:dyDescent="0.3">
      <c r="A9" vm="62">
        <f ca="1"/>
        <v>45215</v>
      </c>
      <c r="B9" s="4" vm="71">
        <f ca="1"/>
        <v>19542.650000000001</v>
      </c>
      <c r="C9" s="7">
        <f t="shared" ca="1" si="0"/>
        <v>-1.0551337776978809E-2</v>
      </c>
      <c r="E9" s="8" t="s">
        <v>7</v>
      </c>
      <c r="F9" s="8">
        <v>3.3253104187539462E-3</v>
      </c>
      <c r="M9" s="20"/>
      <c r="N9" s="20"/>
      <c r="O9" s="20"/>
      <c r="P9" s="20"/>
      <c r="Q9" s="20"/>
      <c r="R9" s="20"/>
    </row>
    <row r="10" spans="1:16375" x14ac:dyDescent="0.3">
      <c r="A10" vm="72">
        <f ca="1"/>
        <v>45222</v>
      </c>
      <c r="B10" s="4" vm="79">
        <f ca="1"/>
        <v>19047.25</v>
      </c>
      <c r="C10" s="7">
        <f t="shared" ca="1" si="0"/>
        <v>-2.5349683896503383E-2</v>
      </c>
      <c r="E10" s="8" t="s">
        <v>8</v>
      </c>
      <c r="F10" s="8" t="e">
        <v>#N/A</v>
      </c>
      <c r="I10" s="5" t="s">
        <v>23</v>
      </c>
      <c r="J10" s="5" t="s">
        <v>24</v>
      </c>
      <c r="K10" s="5" t="s">
        <v>25</v>
      </c>
      <c r="M10" s="20"/>
      <c r="N10" s="20"/>
      <c r="O10" s="20"/>
      <c r="P10" s="20"/>
      <c r="Q10" s="20"/>
      <c r="R10" s="20"/>
    </row>
    <row r="11" spans="1:16375" x14ac:dyDescent="0.3">
      <c r="A11" vm="80">
        <f ca="1"/>
        <v>45229</v>
      </c>
      <c r="B11" s="4" vm="89">
        <f ca="1"/>
        <v>19230.599999999999</v>
      </c>
      <c r="C11" s="7">
        <f t="shared" ca="1" si="0"/>
        <v>9.6260615049414966E-3</v>
      </c>
      <c r="E11" s="8" t="s">
        <v>9</v>
      </c>
      <c r="F11" s="8">
        <v>1.7273758988582636E-2</v>
      </c>
      <c r="H11" s="15">
        <v>1</v>
      </c>
      <c r="I11" s="7">
        <f ca="1">$I$5-$I$6*$H11</f>
        <v>-1.559830273363807E-2</v>
      </c>
      <c r="J11" s="7">
        <f ca="1">$I$5+$I$6*$H11</f>
        <v>1.8949215243527204E-2</v>
      </c>
      <c r="K11" s="22">
        <v>0.68</v>
      </c>
      <c r="M11" s="20"/>
      <c r="N11" s="20"/>
      <c r="O11" s="20"/>
      <c r="P11" s="20"/>
      <c r="Q11" s="20"/>
      <c r="R11" s="20"/>
    </row>
    <row r="12" spans="1:16375" x14ac:dyDescent="0.3">
      <c r="A12" vm="90">
        <f ca="1"/>
        <v>45236</v>
      </c>
      <c r="B12" s="4" vm="99">
        <f ca="1"/>
        <v>19425.349999999999</v>
      </c>
      <c r="C12" s="7">
        <f t="shared" ca="1" si="0"/>
        <v>1.0127089118384225E-2</v>
      </c>
      <c r="E12" s="8" t="s">
        <v>10</v>
      </c>
      <c r="F12" s="8">
        <v>2.9838274959563944E-4</v>
      </c>
      <c r="H12" s="15">
        <v>2</v>
      </c>
      <c r="I12" s="7">
        <f ca="1">$I$5-$I$6*$H12</f>
        <v>-3.2872061722220708E-2</v>
      </c>
      <c r="J12" s="7">
        <f ca="1">$I$5+$I$6*$H12</f>
        <v>3.6222974232109836E-2</v>
      </c>
      <c r="K12" s="22">
        <v>0.95</v>
      </c>
      <c r="M12" s="20"/>
      <c r="N12" s="20"/>
      <c r="O12" s="20"/>
      <c r="P12" s="20"/>
      <c r="Q12" s="20"/>
      <c r="R12" s="20"/>
    </row>
    <row r="13" spans="1:16375" x14ac:dyDescent="0.3">
      <c r="A13" vm="100">
        <f ca="1"/>
        <v>45242</v>
      </c>
      <c r="B13" s="4" vm="109">
        <f ca="1"/>
        <v>19731.8</v>
      </c>
      <c r="C13" s="7">
        <f t="shared" ca="1" si="0"/>
        <v>1.5775777527818002E-2</v>
      </c>
      <c r="E13" s="8" t="s">
        <v>11</v>
      </c>
      <c r="F13" s="8">
        <v>1.077960136851015</v>
      </c>
      <c r="H13" s="15">
        <v>3</v>
      </c>
      <c r="I13" s="7">
        <f ca="1">$I$5-$I$6*$H13</f>
        <v>-5.0145820710803347E-2</v>
      </c>
      <c r="J13" s="7">
        <f ca="1">$I$5+$I$6*$H13</f>
        <v>5.3496733220692476E-2</v>
      </c>
      <c r="K13" s="22">
        <v>0.99</v>
      </c>
      <c r="M13" s="20"/>
      <c r="N13" s="20"/>
      <c r="O13" s="20"/>
      <c r="P13" s="20"/>
      <c r="Q13" s="20"/>
      <c r="R13" s="20"/>
    </row>
    <row r="14" spans="1:16375" x14ac:dyDescent="0.3">
      <c r="A14" vm="110">
        <f ca="1"/>
        <v>45250</v>
      </c>
      <c r="B14" s="4" vm="119">
        <f ca="1"/>
        <v>19794.7</v>
      </c>
      <c r="C14" s="7">
        <f t="shared" ca="1" si="0"/>
        <v>3.1877476966115648E-3</v>
      </c>
      <c r="E14" s="8" t="s">
        <v>12</v>
      </c>
      <c r="F14" s="8">
        <v>-0.17112523898860602</v>
      </c>
      <c r="M14" s="20"/>
      <c r="N14" s="20"/>
      <c r="O14" s="20"/>
      <c r="P14" s="20"/>
      <c r="Q14" s="20"/>
      <c r="R14" s="20"/>
    </row>
    <row r="15" spans="1:16375" x14ac:dyDescent="0.3">
      <c r="A15" vm="120">
        <f ca="1"/>
        <v>45258</v>
      </c>
      <c r="B15" s="4" vm="127">
        <f ca="1"/>
        <v>20267.900000000001</v>
      </c>
      <c r="C15" s="7">
        <f t="shared" ca="1" si="0"/>
        <v>2.3905388816198414E-2</v>
      </c>
      <c r="E15" s="8" t="s">
        <v>13</v>
      </c>
      <c r="F15" s="8">
        <v>0.11202889296717233</v>
      </c>
      <c r="M15" s="20"/>
      <c r="N15" s="20"/>
      <c r="O15" s="20"/>
      <c r="P15" s="20"/>
      <c r="Q15" s="20"/>
      <c r="R15" s="20"/>
    </row>
    <row r="16" spans="1:16375" x14ac:dyDescent="0.3">
      <c r="A16" vm="128">
        <f ca="1"/>
        <v>45264</v>
      </c>
      <c r="B16" s="4" vm="137">
        <f ca="1"/>
        <v>20969.400000000001</v>
      </c>
      <c r="C16" s="7">
        <f t="shared" ca="1" si="0"/>
        <v>3.4611380557433069E-2</v>
      </c>
      <c r="E16" s="8" t="s">
        <v>14</v>
      </c>
      <c r="F16" s="8">
        <v>-5.3142171207482991E-2</v>
      </c>
      <c r="M16" s="20"/>
      <c r="N16" s="20"/>
      <c r="O16" s="20"/>
      <c r="P16" s="20"/>
      <c r="Q16" s="20"/>
      <c r="R16" s="20"/>
    </row>
    <row r="17" spans="1:18" x14ac:dyDescent="0.3">
      <c r="A17" vm="138">
        <f ca="1"/>
        <v>45271</v>
      </c>
      <c r="B17" s="4" vm="147">
        <f ca="1"/>
        <v>21456.65</v>
      </c>
      <c r="C17" s="7">
        <f t="shared" ca="1" si="0"/>
        <v>2.3236239472755438E-2</v>
      </c>
      <c r="E17" s="8" t="s">
        <v>15</v>
      </c>
      <c r="F17" s="8">
        <v>5.8886721759689342E-2</v>
      </c>
      <c r="M17" s="20"/>
      <c r="N17" s="20"/>
      <c r="O17" s="20"/>
      <c r="P17" s="20"/>
      <c r="Q17" s="20"/>
      <c r="R17" s="20"/>
    </row>
    <row r="18" spans="1:18" x14ac:dyDescent="0.3">
      <c r="A18" vm="148">
        <f ca="1"/>
        <v>45278</v>
      </c>
      <c r="B18" s="4" vm="157">
        <f ca="1"/>
        <v>21349.4</v>
      </c>
      <c r="C18" s="7">
        <f t="shared" ca="1" si="0"/>
        <v>-4.9984503638732525E-3</v>
      </c>
      <c r="E18" s="8" t="s">
        <v>16</v>
      </c>
      <c r="F18" s="8">
        <v>0.25802026326146321</v>
      </c>
      <c r="M18" s="20"/>
      <c r="N18" s="20"/>
      <c r="O18" s="20"/>
      <c r="P18" s="20"/>
      <c r="Q18" s="20"/>
      <c r="R18" s="20"/>
    </row>
    <row r="19" spans="1:18" ht="15" thickBot="1" x14ac:dyDescent="0.35">
      <c r="A19" vm="158">
        <f ca="1"/>
        <v>45286</v>
      </c>
      <c r="B19" s="4" vm="165">
        <f ca="1"/>
        <v>21731.4</v>
      </c>
      <c r="C19" s="7">
        <f t="shared" ca="1" si="0"/>
        <v>1.7892774504201459E-2</v>
      </c>
      <c r="E19" s="9" t="s">
        <v>17</v>
      </c>
      <c r="F19" s="9">
        <v>154</v>
      </c>
      <c r="M19" s="20"/>
      <c r="N19" s="20"/>
      <c r="O19" s="20"/>
      <c r="P19" s="20"/>
      <c r="Q19" s="20"/>
      <c r="R19" s="20"/>
    </row>
    <row r="20" spans="1:18" x14ac:dyDescent="0.3">
      <c r="A20" vm="166">
        <f ca="1"/>
        <v>45292</v>
      </c>
      <c r="B20" s="4" vm="175">
        <f ca="1"/>
        <v>21710.799999999999</v>
      </c>
      <c r="C20" s="7">
        <f t="shared" ca="1" si="0"/>
        <v>-9.479370864280412E-4</v>
      </c>
      <c r="M20" s="20"/>
      <c r="N20" s="20"/>
      <c r="O20" s="20"/>
      <c r="P20" s="20"/>
      <c r="Q20" s="20"/>
      <c r="R20" s="20"/>
    </row>
    <row r="21" spans="1:18" x14ac:dyDescent="0.3">
      <c r="A21" vm="176">
        <f ca="1"/>
        <v>45299</v>
      </c>
      <c r="B21" s="4" vm="185">
        <f ca="1"/>
        <v>21894.55</v>
      </c>
      <c r="C21" s="7">
        <f t="shared" ca="1" si="0"/>
        <v>8.4635296718684749E-3</v>
      </c>
      <c r="M21" s="20"/>
      <c r="N21" s="20"/>
      <c r="O21" s="20"/>
      <c r="P21" s="20"/>
      <c r="Q21" s="20"/>
      <c r="R21" s="20"/>
    </row>
    <row r="22" spans="1:18" x14ac:dyDescent="0.3">
      <c r="A22" vm="186">
        <f ca="1"/>
        <v>45306</v>
      </c>
      <c r="B22" s="4" vm="197">
        <f ca="1"/>
        <v>21571.8</v>
      </c>
      <c r="C22" s="7">
        <f t="shared" ca="1" si="0"/>
        <v>-1.474111137246481E-2</v>
      </c>
      <c r="M22" s="20"/>
      <c r="N22" s="20"/>
      <c r="O22" s="20"/>
      <c r="P22" s="20"/>
      <c r="Q22" s="20"/>
      <c r="R22" s="20"/>
    </row>
    <row r="23" spans="1:18" x14ac:dyDescent="0.3">
      <c r="A23" vm="198">
        <f ca="1"/>
        <v>45314</v>
      </c>
      <c r="B23" s="4" vm="203">
        <f ca="1"/>
        <v>21352.6</v>
      </c>
      <c r="C23" s="7">
        <f t="shared" ca="1" si="0"/>
        <v>-1.0161414439221583E-2</v>
      </c>
      <c r="M23" s="20"/>
      <c r="N23" s="20"/>
      <c r="O23" s="20"/>
      <c r="P23" s="20"/>
      <c r="Q23" s="20"/>
      <c r="R23" s="20"/>
    </row>
    <row r="24" spans="1:18" x14ac:dyDescent="0.3">
      <c r="A24" vm="204">
        <f ca="1"/>
        <v>45320</v>
      </c>
      <c r="B24" s="4" vm="213">
        <f ca="1"/>
        <v>21853.8</v>
      </c>
      <c r="C24" s="7">
        <f t="shared" ca="1" si="0"/>
        <v>2.3472551352060167E-2</v>
      </c>
      <c r="M24" s="20"/>
      <c r="N24" s="20"/>
      <c r="O24" s="20"/>
      <c r="P24" s="20"/>
      <c r="Q24" s="20"/>
      <c r="R24" s="20"/>
    </row>
    <row r="25" spans="1:18" x14ac:dyDescent="0.3">
      <c r="A25" vm="214">
        <f ca="1"/>
        <v>45327</v>
      </c>
      <c r="B25" s="4" vm="223">
        <f ca="1"/>
        <v>21782.5</v>
      </c>
      <c r="C25" s="7">
        <f t="shared" ca="1" si="0"/>
        <v>-3.2625904876955047E-3</v>
      </c>
    </row>
    <row r="26" spans="1:18" x14ac:dyDescent="0.3">
      <c r="A26" vm="224">
        <f ca="1"/>
        <v>45334</v>
      </c>
      <c r="B26" s="4" vm="233">
        <f ca="1"/>
        <v>22040.7</v>
      </c>
      <c r="C26" s="7">
        <f t="shared" ca="1" si="0"/>
        <v>1.1853552163433978E-2</v>
      </c>
    </row>
    <row r="27" spans="1:18" x14ac:dyDescent="0.3">
      <c r="A27" vm="234">
        <f ca="1"/>
        <v>45341</v>
      </c>
      <c r="B27" s="4" vm="243">
        <f ca="1"/>
        <v>22212.7</v>
      </c>
      <c r="C27" s="7">
        <f t="shared" ca="1" si="0"/>
        <v>7.8037448901351336E-3</v>
      </c>
    </row>
    <row r="28" spans="1:18" x14ac:dyDescent="0.3">
      <c r="A28" vm="244">
        <f ca="1"/>
        <v>45348</v>
      </c>
      <c r="B28" s="4" vm="255">
        <f ca="1"/>
        <v>22378.400000000001</v>
      </c>
      <c r="C28" s="7">
        <f t="shared" ca="1" si="0"/>
        <v>7.4596964799416021E-3</v>
      </c>
    </row>
    <row r="29" spans="1:18" x14ac:dyDescent="0.3">
      <c r="A29" vm="256">
        <f ca="1"/>
        <v>45355</v>
      </c>
      <c r="B29" s="4" vm="263">
        <f ca="1"/>
        <v>22493.55</v>
      </c>
      <c r="C29" s="7">
        <f t="shared" ca="1" si="0"/>
        <v>5.1455868158580831E-3</v>
      </c>
    </row>
    <row r="30" spans="1:18" x14ac:dyDescent="0.3">
      <c r="A30" vm="264">
        <f ca="1"/>
        <v>45362</v>
      </c>
      <c r="B30" s="4" vm="273">
        <f ca="1"/>
        <v>22023.35</v>
      </c>
      <c r="C30" s="7">
        <f t="shared" ca="1" si="0"/>
        <v>-2.0903770191899484E-2</v>
      </c>
    </row>
    <row r="31" spans="1:18" x14ac:dyDescent="0.3">
      <c r="A31" vm="274">
        <f ca="1"/>
        <v>45369</v>
      </c>
      <c r="B31" s="4" vm="283">
        <f ca="1"/>
        <v>22096.75</v>
      </c>
      <c r="C31" s="7">
        <f t="shared" ca="1" si="0"/>
        <v>3.3328262957270649E-3</v>
      </c>
    </row>
    <row r="32" spans="1:18" x14ac:dyDescent="0.3">
      <c r="A32" vm="284">
        <f ca="1"/>
        <v>45377</v>
      </c>
      <c r="B32" s="4" vm="289">
        <f ca="1"/>
        <v>22326.9</v>
      </c>
      <c r="C32" s="7">
        <f t="shared" ca="1" si="0"/>
        <v>1.0415558849152129E-2</v>
      </c>
    </row>
    <row r="33" spans="1:3" x14ac:dyDescent="0.3">
      <c r="A33" vm="290">
        <f ca="1"/>
        <v>45383</v>
      </c>
      <c r="B33" s="4" vm="299">
        <f ca="1"/>
        <v>22513.7</v>
      </c>
      <c r="C33" s="7">
        <f t="shared" ca="1" si="0"/>
        <v>8.3665891816597782E-3</v>
      </c>
    </row>
    <row r="34" spans="1:3" x14ac:dyDescent="0.3">
      <c r="A34" vm="300">
        <f ca="1"/>
        <v>45390</v>
      </c>
      <c r="B34" s="4" vm="307">
        <f ca="1"/>
        <v>22519.4</v>
      </c>
      <c r="C34" s="7">
        <f t="shared" ca="1" si="0"/>
        <v>2.5317917534661838E-4</v>
      </c>
    </row>
    <row r="35" spans="1:3" x14ac:dyDescent="0.3">
      <c r="A35" vm="308">
        <f ca="1"/>
        <v>45397</v>
      </c>
      <c r="B35" s="4" vm="315">
        <f ca="1"/>
        <v>22147</v>
      </c>
      <c r="C35" s="7">
        <f t="shared" ca="1" si="0"/>
        <v>-1.6536852669254087E-2</v>
      </c>
    </row>
    <row r="36" spans="1:3" x14ac:dyDescent="0.3">
      <c r="A36" vm="316">
        <f ca="1"/>
        <v>45404</v>
      </c>
      <c r="B36" s="4" vm="325">
        <f ca="1"/>
        <v>22419.95</v>
      </c>
      <c r="C36" s="7">
        <f t="shared" ca="1" si="0"/>
        <v>1.2324468325281002E-2</v>
      </c>
    </row>
    <row r="37" spans="1:3" x14ac:dyDescent="0.3">
      <c r="A37" vm="326">
        <f ca="1"/>
        <v>45411</v>
      </c>
      <c r="B37" s="4" vm="333">
        <f ca="1"/>
        <v>22475.85</v>
      </c>
      <c r="C37" s="7">
        <f t="shared" ca="1" si="0"/>
        <v>2.4933151055197555E-3</v>
      </c>
    </row>
    <row r="38" spans="1:3" x14ac:dyDescent="0.3">
      <c r="A38" vm="334">
        <f ca="1"/>
        <v>45418</v>
      </c>
      <c r="B38" s="4" vm="342">
        <f ca="1"/>
        <v>22055.200000000001</v>
      </c>
      <c r="C38" s="7">
        <f t="shared" ca="1" si="0"/>
        <v>-1.8715643679771743E-2</v>
      </c>
    </row>
    <row r="39" spans="1:3" x14ac:dyDescent="0.3">
      <c r="A39" vm="343">
        <f ca="1"/>
        <v>45425</v>
      </c>
      <c r="B39" s="4" vm="354">
        <f ca="1"/>
        <v>22502</v>
      </c>
      <c r="C39" s="7">
        <f t="shared" ca="1" si="0"/>
        <v>2.0258261090355001E-2</v>
      </c>
    </row>
    <row r="40" spans="1:3" x14ac:dyDescent="0.3">
      <c r="A40" vm="355">
        <f ca="1"/>
        <v>45433</v>
      </c>
      <c r="B40" s="4" vm="362">
        <f ca="1"/>
        <v>22957.1</v>
      </c>
      <c r="C40" s="7">
        <f t="shared" ca="1" si="0"/>
        <v>2.0224868900542203E-2</v>
      </c>
    </row>
    <row r="41" spans="1:3" x14ac:dyDescent="0.3">
      <c r="A41" vm="363">
        <f ca="1"/>
        <v>45439</v>
      </c>
      <c r="B41" s="4" vm="372">
        <f ca="1"/>
        <v>22530.7</v>
      </c>
      <c r="C41" s="7">
        <f t="shared" ca="1" si="0"/>
        <v>-1.8573774562117951E-2</v>
      </c>
    </row>
    <row r="42" spans="1:3" x14ac:dyDescent="0.3">
      <c r="A42" vm="373">
        <f ca="1"/>
        <v>45446</v>
      </c>
      <c r="B42" s="4" vm="382">
        <f ca="1"/>
        <v>23290.15</v>
      </c>
      <c r="C42" s="7">
        <f t="shared" ca="1" si="0"/>
        <v>3.3707341538434354E-2</v>
      </c>
    </row>
    <row r="43" spans="1:3" x14ac:dyDescent="0.3">
      <c r="A43" vm="383">
        <f ca="1"/>
        <v>45453</v>
      </c>
      <c r="B43" s="4" vm="392">
        <f ca="1"/>
        <v>23465.599999999999</v>
      </c>
      <c r="C43" s="7">
        <f t="shared" ca="1" si="0"/>
        <v>7.5332275661599279E-3</v>
      </c>
    </row>
    <row r="44" spans="1:3" x14ac:dyDescent="0.3">
      <c r="A44" vm="393">
        <f ca="1"/>
        <v>45461</v>
      </c>
      <c r="B44" s="4" vm="400">
        <f ca="1"/>
        <v>23501.1</v>
      </c>
      <c r="C44" s="7">
        <f t="shared" ca="1" si="0"/>
        <v>1.5128528569481325E-3</v>
      </c>
    </row>
    <row r="45" spans="1:3" x14ac:dyDescent="0.3">
      <c r="A45" vm="401">
        <f ca="1"/>
        <v>45467</v>
      </c>
      <c r="B45" s="4" vm="410">
        <f ca="1"/>
        <v>24010.6</v>
      </c>
      <c r="C45" s="7">
        <f t="shared" ca="1" si="0"/>
        <v>2.1679836262983532E-2</v>
      </c>
    </row>
    <row r="46" spans="1:3" x14ac:dyDescent="0.3">
      <c r="A46" vm="411">
        <f ca="1"/>
        <v>45474</v>
      </c>
      <c r="B46" s="4" vm="420">
        <f ca="1"/>
        <v>24323.85</v>
      </c>
      <c r="C46" s="7">
        <f t="shared" ca="1" si="0"/>
        <v>1.3046321208133094E-2</v>
      </c>
    </row>
    <row r="47" spans="1:3" x14ac:dyDescent="0.3">
      <c r="A47" vm="421">
        <f ca="1"/>
        <v>45481</v>
      </c>
      <c r="B47" s="4" vm="430">
        <f ca="1"/>
        <v>24502.15</v>
      </c>
      <c r="C47" s="7">
        <f t="shared" ca="1" si="0"/>
        <v>7.3302540510651326E-3</v>
      </c>
    </row>
    <row r="48" spans="1:3" x14ac:dyDescent="0.3">
      <c r="A48" vm="431">
        <f ca="1"/>
        <v>45488</v>
      </c>
      <c r="B48" s="4" vm="438">
        <f ca="1"/>
        <v>24530.9</v>
      </c>
      <c r="C48" s="7">
        <f t="shared" ca="1" si="0"/>
        <v>1.1733664188653403E-3</v>
      </c>
    </row>
    <row r="49" spans="1:3" x14ac:dyDescent="0.3">
      <c r="A49" vm="439">
        <f ca="1"/>
        <v>45495</v>
      </c>
      <c r="B49" s="4" vm="448">
        <f ca="1"/>
        <v>24834.85</v>
      </c>
      <c r="C49" s="7">
        <f t="shared" ca="1" si="0"/>
        <v>1.2390495252925682E-2</v>
      </c>
    </row>
    <row r="50" spans="1:3" x14ac:dyDescent="0.3">
      <c r="A50" vm="449">
        <f ca="1"/>
        <v>45502</v>
      </c>
      <c r="B50" s="4" vm="458">
        <f ca="1"/>
        <v>24717.7</v>
      </c>
      <c r="C50" s="7">
        <f t="shared" ca="1" si="0"/>
        <v>-4.7171615693268887E-3</v>
      </c>
    </row>
    <row r="51" spans="1:3" x14ac:dyDescent="0.3">
      <c r="A51" vm="459">
        <f ca="1"/>
        <v>45509</v>
      </c>
      <c r="B51" s="4" vm="468">
        <f ca="1"/>
        <v>24367.5</v>
      </c>
      <c r="C51" s="7">
        <f t="shared" ca="1" si="0"/>
        <v>-1.4167984885325113E-2</v>
      </c>
    </row>
    <row r="52" spans="1:3" x14ac:dyDescent="0.3">
      <c r="A52" vm="469">
        <f ca="1"/>
        <v>45516</v>
      </c>
      <c r="B52" s="4" vm="476">
        <f ca="1"/>
        <v>24541.15</v>
      </c>
      <c r="C52" s="7">
        <f t="shared" ca="1" si="0"/>
        <v>7.1262952703396998E-3</v>
      </c>
    </row>
    <row r="53" spans="1:3" x14ac:dyDescent="0.3">
      <c r="A53" vm="477">
        <f ca="1"/>
        <v>45523</v>
      </c>
      <c r="B53" s="4" vm="486">
        <f ca="1"/>
        <v>24823.15</v>
      </c>
      <c r="C53" s="7">
        <f t="shared" ca="1" si="0"/>
        <v>1.1490904052988471E-2</v>
      </c>
    </row>
    <row r="54" spans="1:3" x14ac:dyDescent="0.3">
      <c r="A54" vm="487">
        <f ca="1"/>
        <v>45530</v>
      </c>
      <c r="B54" s="4" vm="496">
        <f ca="1"/>
        <v>25235.9</v>
      </c>
      <c r="C54" s="7">
        <f t="shared" ca="1" si="0"/>
        <v>1.6627623810837822E-2</v>
      </c>
    </row>
    <row r="55" spans="1:3" x14ac:dyDescent="0.3">
      <c r="A55" vm="497">
        <f ca="1"/>
        <v>45537</v>
      </c>
      <c r="B55" s="4" vm="506">
        <f ca="1"/>
        <v>24852.15</v>
      </c>
      <c r="C55" s="7">
        <f t="shared" ca="1" si="0"/>
        <v>-1.5206511358818231E-2</v>
      </c>
    </row>
    <row r="56" spans="1:3" x14ac:dyDescent="0.3">
      <c r="A56" vm="507">
        <f ca="1"/>
        <v>45544</v>
      </c>
      <c r="B56" s="4" vm="516">
        <f ca="1"/>
        <v>25356.5</v>
      </c>
      <c r="C56" s="7">
        <f t="shared" ca="1" si="0"/>
        <v>2.0294018827344829E-2</v>
      </c>
    </row>
    <row r="57" spans="1:3" x14ac:dyDescent="0.3">
      <c r="A57" vm="517">
        <f ca="1"/>
        <v>45551</v>
      </c>
      <c r="B57" s="4" vm="526">
        <f ca="1"/>
        <v>25790.95</v>
      </c>
      <c r="C57" s="7">
        <f t="shared" ca="1" si="0"/>
        <v>1.7133673811448702E-2</v>
      </c>
    </row>
    <row r="58" spans="1:3" x14ac:dyDescent="0.3">
      <c r="A58" vm="527">
        <f ca="1"/>
        <v>45558</v>
      </c>
      <c r="B58" s="4" vm="536">
        <f ca="1"/>
        <v>26178.95</v>
      </c>
      <c r="C58" s="7">
        <f t="shared" ca="1" si="0"/>
        <v>1.5044036764834123E-2</v>
      </c>
    </row>
    <row r="59" spans="1:3" x14ac:dyDescent="0.3">
      <c r="A59" vm="537">
        <f ca="1"/>
        <v>45565</v>
      </c>
      <c r="B59" s="4" vm="544">
        <f ca="1"/>
        <v>25014.6</v>
      </c>
      <c r="C59" s="7">
        <f t="shared" ca="1" si="0"/>
        <v>-4.4476573735768743E-2</v>
      </c>
    </row>
    <row r="60" spans="1:3" x14ac:dyDescent="0.3">
      <c r="A60" vm="545">
        <f ca="1"/>
        <v>45572</v>
      </c>
      <c r="B60" s="4" vm="554">
        <f ca="1"/>
        <v>24964.25</v>
      </c>
      <c r="C60" s="7">
        <f t="shared" ca="1" si="0"/>
        <v>-2.0128245104857889E-3</v>
      </c>
    </row>
    <row r="61" spans="1:3" x14ac:dyDescent="0.3">
      <c r="A61" vm="555">
        <f ca="1"/>
        <v>45579</v>
      </c>
      <c r="B61" s="4" vm="564">
        <f ca="1"/>
        <v>24854.05</v>
      </c>
      <c r="C61" s="7">
        <f t="shared" ca="1" si="0"/>
        <v>-4.4143124668275524E-3</v>
      </c>
    </row>
    <row r="62" spans="1:3" x14ac:dyDescent="0.3">
      <c r="A62" vm="565">
        <f ca="1"/>
        <v>45586</v>
      </c>
      <c r="B62" s="4" vm="574">
        <f ca="1"/>
        <v>24180.799999999999</v>
      </c>
      <c r="C62" s="7">
        <f t="shared" ca="1" si="0"/>
        <v>-2.7088140564616281E-2</v>
      </c>
    </row>
    <row r="63" spans="1:3" x14ac:dyDescent="0.3">
      <c r="A63" vm="575">
        <f ca="1"/>
        <v>45593</v>
      </c>
      <c r="B63" s="4" vm="584">
        <f ca="1"/>
        <v>24304.35</v>
      </c>
      <c r="C63" s="7">
        <f t="shared" ca="1" si="0"/>
        <v>5.1094256600276999E-3</v>
      </c>
    </row>
    <row r="64" spans="1:3" x14ac:dyDescent="0.3">
      <c r="A64" vm="585">
        <f ca="1"/>
        <v>45600</v>
      </c>
      <c r="B64" s="4" vm="594">
        <f ca="1"/>
        <v>24148.2</v>
      </c>
      <c r="C64" s="7">
        <f t="shared" ca="1" si="0"/>
        <v>-6.4247758117372822E-3</v>
      </c>
    </row>
    <row r="65" spans="1:3" x14ac:dyDescent="0.3">
      <c r="A65" vm="595">
        <f ca="1"/>
        <v>45607</v>
      </c>
      <c r="B65" s="4" vm="602">
        <f ca="1"/>
        <v>23532.7</v>
      </c>
      <c r="C65" s="7">
        <f t="shared" ca="1" si="0"/>
        <v>-2.5488442202731498E-2</v>
      </c>
    </row>
    <row r="66" spans="1:3" x14ac:dyDescent="0.3">
      <c r="A66" vm="603">
        <f ca="1"/>
        <v>45614</v>
      </c>
      <c r="B66" s="4" vm="610">
        <f ca="1"/>
        <v>23907.25</v>
      </c>
      <c r="C66" s="7">
        <f t="shared" ca="1" si="0"/>
        <v>1.5916150717937061E-2</v>
      </c>
    </row>
    <row r="67" spans="1:3" x14ac:dyDescent="0.3">
      <c r="A67" vm="611">
        <f ca="1"/>
        <v>45621</v>
      </c>
      <c r="B67" s="4" vm="620">
        <f ca="1"/>
        <v>24131.1</v>
      </c>
      <c r="C67" s="7">
        <f t="shared" ca="1" si="0"/>
        <v>9.3632684645870157E-3</v>
      </c>
    </row>
    <row r="68" spans="1:3" x14ac:dyDescent="0.3">
      <c r="A68" vm="621">
        <f ca="1"/>
        <v>45628</v>
      </c>
      <c r="B68" s="4" vm="630">
        <f ca="1"/>
        <v>24677.8</v>
      </c>
      <c r="C68" s="7">
        <f t="shared" ref="C68:C131" ca="1" si="1">B68/B67-1</f>
        <v>2.2655411481449228E-2</v>
      </c>
    </row>
    <row r="69" spans="1:3" x14ac:dyDescent="0.3">
      <c r="A69" vm="631">
        <f ca="1"/>
        <v>45635</v>
      </c>
      <c r="B69" s="4" vm="640">
        <f ca="1"/>
        <v>24768.3</v>
      </c>
      <c r="C69" s="7">
        <f t="shared" ca="1" si="1"/>
        <v>3.6672636944945491E-3</v>
      </c>
    </row>
    <row r="70" spans="1:3" x14ac:dyDescent="0.3">
      <c r="A70" vm="641">
        <f ca="1"/>
        <v>45642</v>
      </c>
      <c r="B70" s="4" vm="650">
        <f ca="1"/>
        <v>23587.5</v>
      </c>
      <c r="C70" s="7">
        <f t="shared" ca="1" si="1"/>
        <v>-4.7673841159869612E-2</v>
      </c>
    </row>
    <row r="71" spans="1:3" x14ac:dyDescent="0.3">
      <c r="A71" vm="651">
        <f ca="1"/>
        <v>45649</v>
      </c>
      <c r="B71" s="4" vm="658">
        <f ca="1"/>
        <v>23813.4</v>
      </c>
      <c r="C71" s="7">
        <f t="shared" ca="1" si="1"/>
        <v>9.5771065182830295E-3</v>
      </c>
    </row>
    <row r="72" spans="1:3" x14ac:dyDescent="0.3">
      <c r="A72" vm="659">
        <f ca="1"/>
        <v>45656</v>
      </c>
      <c r="B72" s="4" vm="668">
        <f ca="1"/>
        <v>24004.75</v>
      </c>
      <c r="C72" s="7">
        <f t="shared" ca="1" si="1"/>
        <v>8.035391838208783E-3</v>
      </c>
    </row>
    <row r="73" spans="1:3" x14ac:dyDescent="0.3">
      <c r="A73" vm="669">
        <f ca="1"/>
        <v>45663</v>
      </c>
      <c r="B73" s="4" vm="678">
        <f ca="1"/>
        <v>23431.5</v>
      </c>
      <c r="C73" s="7">
        <f t="shared" ca="1" si="1"/>
        <v>-2.3880690280048689E-2</v>
      </c>
    </row>
    <row r="74" spans="1:3" x14ac:dyDescent="0.3">
      <c r="A74" vm="679">
        <f ca="1"/>
        <v>45670</v>
      </c>
      <c r="B74" s="4" vm="688">
        <f ca="1"/>
        <v>23203.200000000001</v>
      </c>
      <c r="C74" s="7">
        <f t="shared" ca="1" si="1"/>
        <v>-9.7432942833365344E-3</v>
      </c>
    </row>
    <row r="75" spans="1:3" x14ac:dyDescent="0.3">
      <c r="A75" vm="689">
        <f ca="1"/>
        <v>45677</v>
      </c>
      <c r="B75" s="4" vm="698">
        <f ca="1"/>
        <v>23092.2</v>
      </c>
      <c r="C75" s="7">
        <f t="shared" ca="1" si="1"/>
        <v>-4.7838229209764549E-3</v>
      </c>
    </row>
    <row r="76" spans="1:3" x14ac:dyDescent="0.3">
      <c r="A76" vm="699">
        <f ca="1"/>
        <v>45684</v>
      </c>
      <c r="B76" s="4" vm="710">
        <f ca="1"/>
        <v>23482.15</v>
      </c>
      <c r="C76" s="7">
        <f t="shared" ca="1" si="1"/>
        <v>1.6886654368141629E-2</v>
      </c>
    </row>
    <row r="77" spans="1:3" x14ac:dyDescent="0.3">
      <c r="A77" vm="711">
        <f ca="1"/>
        <v>45691</v>
      </c>
      <c r="B77" s="4" vm="720">
        <f ca="1"/>
        <v>23559.95</v>
      </c>
      <c r="C77" s="7">
        <f t="shared" ca="1" si="1"/>
        <v>3.3131548857323612E-3</v>
      </c>
    </row>
    <row r="78" spans="1:3" x14ac:dyDescent="0.3">
      <c r="A78" vm="721">
        <f ca="1"/>
        <v>45698</v>
      </c>
      <c r="B78" s="4" vm="730">
        <f ca="1"/>
        <v>22929.25</v>
      </c>
      <c r="C78" s="7">
        <f t="shared" ca="1" si="1"/>
        <v>-2.6770005878620329E-2</v>
      </c>
    </row>
    <row r="79" spans="1:3" x14ac:dyDescent="0.3">
      <c r="A79" vm="731">
        <f ca="1"/>
        <v>45705</v>
      </c>
      <c r="B79" s="4" vm="740">
        <f ca="1"/>
        <v>22795.9</v>
      </c>
      <c r="C79" s="7">
        <f t="shared" ca="1" si="1"/>
        <v>-5.8157157342695331E-3</v>
      </c>
    </row>
    <row r="80" spans="1:3" x14ac:dyDescent="0.3">
      <c r="A80" vm="741">
        <f ca="1"/>
        <v>45712</v>
      </c>
      <c r="B80" s="4" vm="748">
        <f ca="1"/>
        <v>22124.7</v>
      </c>
      <c r="C80" s="7">
        <f t="shared" ca="1" si="1"/>
        <v>-2.9443891226053842E-2</v>
      </c>
    </row>
    <row r="81" spans="1:3" x14ac:dyDescent="0.3">
      <c r="A81" vm="749">
        <f ca="1"/>
        <v>45719</v>
      </c>
      <c r="B81" s="4" vm="758">
        <f ca="1"/>
        <v>22552.5</v>
      </c>
      <c r="C81" s="7">
        <f t="shared" ca="1" si="1"/>
        <v>1.9335855401429125E-2</v>
      </c>
    </row>
    <row r="82" spans="1:3" x14ac:dyDescent="0.3">
      <c r="A82" vm="759">
        <f ca="1"/>
        <v>45726</v>
      </c>
      <c r="B82" s="4" vm="766">
        <f ca="1"/>
        <v>22397.200000000001</v>
      </c>
      <c r="C82" s="7">
        <f t="shared" ca="1" si="1"/>
        <v>-6.8861545283227521E-3</v>
      </c>
    </row>
    <row r="83" spans="1:3" x14ac:dyDescent="0.3">
      <c r="A83" vm="767">
        <f ca="1"/>
        <v>45733</v>
      </c>
      <c r="B83" s="4" vm="776">
        <f ca="1"/>
        <v>23350.400000000001</v>
      </c>
      <c r="C83" s="7">
        <f t="shared" ca="1" si="1"/>
        <v>4.2558891289982803E-2</v>
      </c>
    </row>
    <row r="84" spans="1:3" x14ac:dyDescent="0.3">
      <c r="A84" vm="777">
        <f ca="1"/>
        <v>45740</v>
      </c>
      <c r="B84" s="4" vm="786">
        <f ca="1"/>
        <v>23519.35</v>
      </c>
      <c r="C84" s="7">
        <f t="shared" ca="1" si="1"/>
        <v>7.2354220912702605E-3</v>
      </c>
    </row>
    <row r="85" spans="1:3" x14ac:dyDescent="0.3">
      <c r="A85" vm="787">
        <f ca="1"/>
        <v>45748</v>
      </c>
      <c r="B85" s="4" vm="794">
        <f ca="1"/>
        <v>22904.45</v>
      </c>
      <c r="C85" s="7">
        <f t="shared" ca="1" si="1"/>
        <v>-2.6144430011883713E-2</v>
      </c>
    </row>
    <row r="86" spans="1:3" x14ac:dyDescent="0.3">
      <c r="A86" vm="795">
        <f ca="1"/>
        <v>45754</v>
      </c>
      <c r="B86" s="4" vm="802">
        <f ca="1"/>
        <v>22828.55</v>
      </c>
      <c r="C86" s="7">
        <f t="shared" ca="1" si="1"/>
        <v>-3.3137665388167648E-3</v>
      </c>
    </row>
    <row r="87" spans="1:3" x14ac:dyDescent="0.3">
      <c r="A87" vm="803">
        <f ca="1"/>
        <v>45762</v>
      </c>
      <c r="B87" s="4" vm="808">
        <f ca="1"/>
        <v>23851.65</v>
      </c>
      <c r="C87" s="7">
        <f t="shared" ca="1" si="1"/>
        <v>4.4816687875489425E-2</v>
      </c>
    </row>
    <row r="88" spans="1:3" x14ac:dyDescent="0.3">
      <c r="A88" vm="809">
        <f ca="1"/>
        <v>45768</v>
      </c>
      <c r="B88" s="4" vm="818">
        <f ca="1"/>
        <v>24039.35</v>
      </c>
      <c r="C88" s="7">
        <f t="shared" ca="1" si="1"/>
        <v>7.86947653516612E-3</v>
      </c>
    </row>
    <row r="89" spans="1:3" x14ac:dyDescent="0.3">
      <c r="A89" vm="819">
        <f ca="1"/>
        <v>45775</v>
      </c>
      <c r="B89" s="4" vm="826">
        <f ca="1"/>
        <v>24346.7</v>
      </c>
      <c r="C89" s="7">
        <f t="shared" ca="1" si="1"/>
        <v>1.2785287455775673E-2</v>
      </c>
    </row>
    <row r="90" spans="1:3" x14ac:dyDescent="0.3">
      <c r="A90" vm="827">
        <f ca="1"/>
        <v>45782</v>
      </c>
      <c r="B90" s="4" vm="836">
        <f ca="1"/>
        <v>24008</v>
      </c>
      <c r="C90" s="7">
        <f t="shared" ca="1" si="1"/>
        <v>-1.391153626569519E-2</v>
      </c>
    </row>
    <row r="91" spans="1:3" x14ac:dyDescent="0.3">
      <c r="A91" vm="837">
        <f ca="1"/>
        <v>45789</v>
      </c>
      <c r="B91" s="4" vm="846">
        <f ca="1"/>
        <v>25019.8</v>
      </c>
      <c r="C91" s="7">
        <f t="shared" ca="1" si="1"/>
        <v>4.2144285238253865E-2</v>
      </c>
    </row>
    <row r="92" spans="1:3" x14ac:dyDescent="0.3">
      <c r="A92" vm="847">
        <f ca="1"/>
        <v>45796</v>
      </c>
      <c r="B92" s="4" vm="856">
        <f ca="1"/>
        <v>24853.15</v>
      </c>
      <c r="C92" s="7">
        <f t="shared" ca="1" si="1"/>
        <v>-6.660724706032739E-3</v>
      </c>
    </row>
    <row r="93" spans="1:3" x14ac:dyDescent="0.3">
      <c r="A93" vm="857">
        <f ca="1"/>
        <v>45803</v>
      </c>
      <c r="B93" s="4" vm="866">
        <f ca="1"/>
        <v>24750.7</v>
      </c>
      <c r="C93" s="7">
        <f t="shared" ca="1" si="1"/>
        <v>-4.1222138843567402E-3</v>
      </c>
    </row>
    <row r="94" spans="1:3" x14ac:dyDescent="0.3">
      <c r="A94" vm="867">
        <f ca="1"/>
        <v>45810</v>
      </c>
      <c r="B94" s="4" vm="876">
        <f ca="1"/>
        <v>25003.05</v>
      </c>
      <c r="C94" s="7">
        <f t="shared" ca="1" si="1"/>
        <v>1.0195671233540704E-2</v>
      </c>
    </row>
    <row r="95" spans="1:3" x14ac:dyDescent="0.3">
      <c r="A95" vm="877">
        <f ca="1"/>
        <v>45817</v>
      </c>
      <c r="B95" s="4" vm="886">
        <f ca="1"/>
        <v>24718.6</v>
      </c>
      <c r="C95" s="7">
        <f t="shared" ca="1" si="1"/>
        <v>-1.1376612053329516E-2</v>
      </c>
    </row>
    <row r="96" spans="1:3" x14ac:dyDescent="0.3">
      <c r="A96" vm="887">
        <f ca="1"/>
        <v>45824</v>
      </c>
      <c r="B96" s="4" vm="896">
        <f ca="1"/>
        <v>25112.400000000001</v>
      </c>
      <c r="C96" s="7">
        <f t="shared" ca="1" si="1"/>
        <v>1.5931322971365791E-2</v>
      </c>
    </row>
    <row r="97" spans="1:3" x14ac:dyDescent="0.3">
      <c r="A97" vm="897">
        <f ca="1"/>
        <v>45831</v>
      </c>
      <c r="B97" s="4" vm="906">
        <f ca="1"/>
        <v>25637.8</v>
      </c>
      <c r="C97" s="7">
        <f t="shared" ca="1" si="1"/>
        <v>2.092193498032846E-2</v>
      </c>
    </row>
    <row r="98" spans="1:3" x14ac:dyDescent="0.3">
      <c r="A98" vm="907">
        <f ca="1"/>
        <v>45838</v>
      </c>
      <c r="B98" s="4" vm="916">
        <f ca="1"/>
        <v>25461</v>
      </c>
      <c r="C98" s="7">
        <f t="shared" ca="1" si="1"/>
        <v>-6.8960675252947023E-3</v>
      </c>
    </row>
    <row r="99" spans="1:3" x14ac:dyDescent="0.3">
      <c r="A99" vm="917">
        <f ca="1"/>
        <v>45845</v>
      </c>
      <c r="B99" s="4" vm="926">
        <f ca="1"/>
        <v>25149.85</v>
      </c>
      <c r="C99" s="7">
        <f t="shared" ca="1" si="1"/>
        <v>-1.2220651192019205E-2</v>
      </c>
    </row>
    <row r="100" spans="1:3" x14ac:dyDescent="0.3">
      <c r="A100" vm="927">
        <f ca="1"/>
        <v>45852</v>
      </c>
      <c r="B100" s="4" vm="936">
        <f ca="1"/>
        <v>24968.400000000001</v>
      </c>
      <c r="C100" s="7">
        <f t="shared" ca="1" si="1"/>
        <v>-7.214754759968578E-3</v>
      </c>
    </row>
    <row r="101" spans="1:3" x14ac:dyDescent="0.3">
      <c r="A101" vm="937">
        <f ca="1"/>
        <v>45859</v>
      </c>
      <c r="B101" s="4" vm="945">
        <f ca="1"/>
        <v>24837</v>
      </c>
      <c r="C101" s="7">
        <f t="shared" ca="1" si="1"/>
        <v>-5.2626519921180615E-3</v>
      </c>
    </row>
    <row r="102" spans="1:3" x14ac:dyDescent="0.3">
      <c r="A102" vm="946">
        <f ca="1"/>
        <v>45866</v>
      </c>
      <c r="B102" s="4" vm="955">
        <f ca="1"/>
        <v>24565.35</v>
      </c>
      <c r="C102" s="7">
        <f t="shared" ca="1" si="1"/>
        <v>-1.0937311269477057E-2</v>
      </c>
    </row>
    <row r="103" spans="1:3" x14ac:dyDescent="0.3">
      <c r="A103" vm="956">
        <f ca="1"/>
        <v>45873</v>
      </c>
      <c r="B103" s="4" vm="965">
        <f ca="1"/>
        <v>24363.3</v>
      </c>
      <c r="C103" s="7">
        <f t="shared" ca="1" si="1"/>
        <v>-8.2249998473459263E-3</v>
      </c>
    </row>
    <row r="104" spans="1:3" x14ac:dyDescent="0.3">
      <c r="A104" vm="966">
        <f ca="1"/>
        <v>45880</v>
      </c>
      <c r="B104" s="4" vm="973">
        <f ca="1"/>
        <v>24631.3</v>
      </c>
      <c r="C104" s="7">
        <f t="shared" ca="1" si="1"/>
        <v>1.100015186776826E-2</v>
      </c>
    </row>
    <row r="105" spans="1:3" x14ac:dyDescent="0.3">
      <c r="A105" vm="974">
        <f ca="1"/>
        <v>45887</v>
      </c>
      <c r="B105" s="4" vm="983">
        <f ca="1"/>
        <v>24870.1</v>
      </c>
      <c r="C105" s="7">
        <f t="shared" ca="1" si="1"/>
        <v>9.6949815884666002E-3</v>
      </c>
    </row>
    <row r="106" spans="1:3" x14ac:dyDescent="0.3">
      <c r="A106" vm="984">
        <f ca="1"/>
        <v>45894</v>
      </c>
      <c r="B106" s="4" vm="991">
        <f ca="1"/>
        <v>24426.85</v>
      </c>
      <c r="C106" s="7">
        <f t="shared" ca="1" si="1"/>
        <v>-1.7822606262138052E-2</v>
      </c>
    </row>
    <row r="107" spans="1:3" x14ac:dyDescent="0.3">
      <c r="A107" vm="992">
        <f ca="1"/>
        <v>45901</v>
      </c>
      <c r="B107" s="4" vm="1001">
        <f ca="1"/>
        <v>24741</v>
      </c>
      <c r="C107" s="7">
        <f t="shared" ca="1" si="1"/>
        <v>1.2860847796584585E-2</v>
      </c>
    </row>
    <row r="108" spans="1:3" x14ac:dyDescent="0.3">
      <c r="A108" vm="1002">
        <f ca="1"/>
        <v>45908</v>
      </c>
      <c r="B108" s="4" vm="1011">
        <f ca="1"/>
        <v>25114</v>
      </c>
      <c r="C108" s="7">
        <f t="shared" ca="1" si="1"/>
        <v>1.5076189321369338E-2</v>
      </c>
    </row>
    <row r="109" spans="1:3" x14ac:dyDescent="0.3">
      <c r="A109" vm="1012">
        <f ca="1"/>
        <v>45915</v>
      </c>
      <c r="B109" s="4" vm="1021">
        <f ca="1"/>
        <v>25327.05</v>
      </c>
      <c r="C109" s="7">
        <f t="shared" ca="1" si="1"/>
        <v>8.4833160786812467E-3</v>
      </c>
    </row>
    <row r="110" spans="1:3" x14ac:dyDescent="0.3">
      <c r="A110" vm="1022">
        <f ca="1"/>
        <v>45922</v>
      </c>
      <c r="B110" s="4" vm="1031">
        <f ca="1"/>
        <v>24654.7</v>
      </c>
      <c r="C110" s="7">
        <f t="shared" ca="1" si="1"/>
        <v>-2.6546715863079107E-2</v>
      </c>
    </row>
    <row r="111" spans="1:3" x14ac:dyDescent="0.3">
      <c r="A111" vm="1032">
        <f ca="1"/>
        <v>45929</v>
      </c>
      <c r="B111" s="4" vm="1039">
        <f ca="1"/>
        <v>24894.25</v>
      </c>
      <c r="C111" s="7">
        <f t="shared" ca="1" si="1"/>
        <v>9.7162001565624934E-3</v>
      </c>
    </row>
    <row r="112" spans="1:3" x14ac:dyDescent="0.3">
      <c r="A112" vm="1040">
        <f ca="1"/>
        <v>45936</v>
      </c>
      <c r="B112" s="4" vm="1049">
        <f ca="1"/>
        <v>25285.35</v>
      </c>
      <c r="C112" s="7">
        <f t="shared" ca="1" si="1"/>
        <v>1.5710455225604214E-2</v>
      </c>
    </row>
    <row r="113" spans="1:3" x14ac:dyDescent="0.3">
      <c r="A113" vm="1050">
        <f ca="1"/>
        <v>45943</v>
      </c>
      <c r="B113" s="4" vm="1059">
        <f ca="1"/>
        <v>25709.85</v>
      </c>
      <c r="C113" s="7">
        <f t="shared" ca="1" si="1"/>
        <v>1.6788377459675319E-2</v>
      </c>
    </row>
    <row r="114" spans="1:3" x14ac:dyDescent="0.3">
      <c r="A114" vm="1060">
        <f ca="1"/>
        <v>45950</v>
      </c>
      <c r="B114" s="4" vm="1067">
        <f ca="1"/>
        <v>25795.15</v>
      </c>
      <c r="C114" s="7">
        <f t="shared" ca="1" si="1"/>
        <v>3.3177945417808274E-3</v>
      </c>
    </row>
    <row r="115" spans="1:3" x14ac:dyDescent="0.3">
      <c r="A115" vm="1068">
        <f ca="1"/>
        <v>45957</v>
      </c>
      <c r="B115" s="4" vm="1077">
        <f ca="1"/>
        <v>25722.1</v>
      </c>
      <c r="C115" s="7">
        <f t="shared" ca="1" si="1"/>
        <v>-2.8319277073404203E-3</v>
      </c>
    </row>
    <row r="116" spans="1:3" x14ac:dyDescent="0.3">
      <c r="A116" vm="1078">
        <f ca="1"/>
        <v>45964</v>
      </c>
      <c r="B116" s="4" vm="1085">
        <f ca="1"/>
        <v>25492.3</v>
      </c>
      <c r="C116" s="7">
        <f t="shared" ca="1" si="1"/>
        <v>-8.9339517379996014E-3</v>
      </c>
    </row>
    <row r="117" spans="1:3" x14ac:dyDescent="0.3">
      <c r="A117" vm="1086">
        <f ca="1"/>
        <v>45971</v>
      </c>
      <c r="B117" s="4" vm="1095">
        <f ca="1"/>
        <v>25910.05</v>
      </c>
      <c r="C117" s="7">
        <f t="shared" ca="1" si="1"/>
        <v>1.6387301263518728E-2</v>
      </c>
    </row>
    <row r="118" spans="1:3" x14ac:dyDescent="0.3">
      <c r="A118" vm="1096">
        <f ca="1"/>
        <v>45978</v>
      </c>
      <c r="B118" s="4" vm="1104">
        <f ca="1"/>
        <v>26068.15</v>
      </c>
      <c r="C118" s="7">
        <f t="shared" ca="1" si="1"/>
        <v>6.1018793865701415E-3</v>
      </c>
    </row>
    <row r="119" spans="1:3" x14ac:dyDescent="0.3">
      <c r="A119" vm="1105">
        <f ca="1"/>
        <v>45985</v>
      </c>
      <c r="B119" s="4" vm="1114">
        <f ca="1"/>
        <v>26202.95</v>
      </c>
      <c r="C119" s="7">
        <f t="shared" ca="1" si="1"/>
        <v>5.1710612375637233E-3</v>
      </c>
    </row>
    <row r="120" spans="1:3" x14ac:dyDescent="0.3">
      <c r="A120" vm="1115">
        <f ca="1"/>
        <v>45992</v>
      </c>
      <c r="B120" s="4" vm="1124">
        <f ca="1"/>
        <v>26186.45</v>
      </c>
      <c r="C120" s="7">
        <f t="shared" ca="1" si="1"/>
        <v>-6.297000910202577E-4</v>
      </c>
    </row>
    <row r="121" spans="1:3" x14ac:dyDescent="0.3">
      <c r="A121" vm="1125">
        <f ca="1"/>
        <v>45999</v>
      </c>
      <c r="B121" s="4" vm="1134">
        <f ca="1"/>
        <v>26046.95</v>
      </c>
      <c r="C121" s="7">
        <f t="shared" ca="1" si="1"/>
        <v>-5.3271825696113995E-3</v>
      </c>
    </row>
    <row r="122" spans="1:3" x14ac:dyDescent="0.3">
      <c r="A122" vm="1135">
        <f ca="1"/>
        <v>46006</v>
      </c>
      <c r="B122" s="4" vm="1144">
        <f ca="1"/>
        <v>25966.400000000001</v>
      </c>
      <c r="C122" s="7">
        <f t="shared" ca="1" si="1"/>
        <v>-3.0924925951022475E-3</v>
      </c>
    </row>
    <row r="123" spans="1:3" x14ac:dyDescent="0.3">
      <c r="A123" vm="1145">
        <f ca="1"/>
        <v>46013</v>
      </c>
      <c r="B123" s="4" vm="1152">
        <f ca="1"/>
        <v>26042.3</v>
      </c>
      <c r="C123" s="7">
        <f t="shared" ca="1" si="1"/>
        <v>2.9230081952060782E-3</v>
      </c>
    </row>
    <row r="124" spans="1:3" x14ac:dyDescent="0.3">
      <c r="A124" vm="1153">
        <f ca="1"/>
        <v>46020</v>
      </c>
      <c r="B124" s="4" vm="1162">
        <f ca="1"/>
        <v>26328.55</v>
      </c>
      <c r="C124" s="7">
        <f t="shared" ca="1" si="1"/>
        <v>1.0991732681061128E-2</v>
      </c>
    </row>
    <row r="125" spans="1:3" x14ac:dyDescent="0.3">
      <c r="A125" vm="1163">
        <f ca="1"/>
        <v>46027</v>
      </c>
      <c r="B125" s="4" vm="1172">
        <f ca="1"/>
        <v>25683.3</v>
      </c>
      <c r="C125" s="7">
        <f t="shared" ca="1" si="1"/>
        <v>-2.4507616256877029E-2</v>
      </c>
    </row>
    <row r="126" spans="1:3" x14ac:dyDescent="0.3">
      <c r="A126" vm="1173">
        <f ca="1"/>
        <v>46034</v>
      </c>
      <c r="B126" s="4" vm="1180">
        <f ca="1"/>
        <v>25694.35</v>
      </c>
      <c r="C126" s="7">
        <f t="shared" ca="1" si="1"/>
        <v>4.3024066222008273E-4</v>
      </c>
    </row>
    <row r="127" spans="1:3" x14ac:dyDescent="0.3">
      <c r="A127" vm="1181">
        <f ca="1"/>
        <v>46041</v>
      </c>
      <c r="B127" s="4" vm="1190">
        <f ca="1"/>
        <v>25048.65</v>
      </c>
      <c r="C127" s="7">
        <f t="shared" ca="1" si="1"/>
        <v>-2.5130038315816394E-2</v>
      </c>
    </row>
    <row r="128" spans="1:3" x14ac:dyDescent="0.3">
      <c r="A128" vm="1191">
        <f ca="1"/>
        <v>46049</v>
      </c>
      <c r="B128" s="4" vm="1198">
        <f ca="1"/>
        <v>25320.65</v>
      </c>
      <c r="C128" s="7">
        <f t="shared" ca="1" si="1"/>
        <v>1.0858868641623332E-2</v>
      </c>
    </row>
    <row r="129" spans="1:3" x14ac:dyDescent="0.3">
      <c r="A129" vm="1199">
        <f ca="1"/>
        <v>46054</v>
      </c>
      <c r="B129" s="4" vm="1210">
        <f ca="1"/>
        <v>25693.7</v>
      </c>
      <c r="C129" s="7">
        <f t="shared" ca="1" si="1"/>
        <v>1.4733034104574605E-2</v>
      </c>
    </row>
    <row r="130" spans="1:3" x14ac:dyDescent="0.3">
      <c r="A130" vm="1211">
        <f ca="1"/>
        <v>46062</v>
      </c>
      <c r="B130" s="4" vm="1220">
        <f ca="1"/>
        <v>25471.1</v>
      </c>
      <c r="C130" s="7">
        <f t="shared" ca="1" si="1"/>
        <v>-8.6636023616685209E-3</v>
      </c>
    </row>
    <row r="131" spans="1:3" x14ac:dyDescent="0.3">
      <c r="A131" vm="1221">
        <f ca="1"/>
        <v>46069</v>
      </c>
      <c r="B131" s="4" vm="1230">
        <f ca="1"/>
        <v>25571.25</v>
      </c>
      <c r="C131" s="7">
        <f t="shared" ca="1" si="1"/>
        <v>3.9319071418195684E-3</v>
      </c>
    </row>
    <row r="132" spans="1:3" x14ac:dyDescent="0.3">
      <c r="A132" vm="1231">
        <f ca="1"/>
        <v>46076</v>
      </c>
      <c r="B132" s="4" vm="1240">
        <f ca="1"/>
        <v>25178.65</v>
      </c>
      <c r="C132" s="7">
        <f t="shared" ref="C132:C156" ca="1" si="2">B132/B131-1</f>
        <v>-1.5353179840641329E-2</v>
      </c>
    </row>
    <row r="133" spans="1:3" x14ac:dyDescent="0.3">
      <c r="A133" vm="1241">
        <f ca="1"/>
        <v>46083</v>
      </c>
      <c r="B133" s="4" vm="1248">
        <f ca="1"/>
        <v>24450.45</v>
      </c>
      <c r="C133" s="7">
        <f t="shared" ca="1" si="2"/>
        <v>-2.892132818876314E-2</v>
      </c>
    </row>
    <row r="134" spans="1:3" x14ac:dyDescent="0.3">
      <c r="A134" vm="1249">
        <f ca="1"/>
        <v>46090</v>
      </c>
      <c r="B134" s="4" vm="1258">
        <f ca="1"/>
        <v>23151.1</v>
      </c>
      <c r="C134" s="7">
        <f t="shared" ca="1" si="2"/>
        <v>-5.3142171207482991E-2</v>
      </c>
    </row>
    <row r="135" spans="1:3" x14ac:dyDescent="0.3">
      <c r="A135" vm="1259">
        <f ca="1"/>
        <v>46097</v>
      </c>
      <c r="B135" s="4" vm="1268">
        <f ca="1"/>
        <v>23114.5</v>
      </c>
      <c r="C135" s="7">
        <f t="shared" ca="1" si="2"/>
        <v>-1.5809184012853805E-3</v>
      </c>
    </row>
    <row r="136" spans="1:3" x14ac:dyDescent="0.3">
      <c r="A136" vm="1269">
        <f ca="1"/>
        <v>46104</v>
      </c>
      <c r="B136" s="4" vm="1276">
        <f ca="1"/>
        <v>22819.599999999999</v>
      </c>
      <c r="C136" s="7">
        <f t="shared" ca="1" si="2"/>
        <v>-1.275822535637805E-2</v>
      </c>
    </row>
    <row r="137" spans="1:3" x14ac:dyDescent="0.3">
      <c r="A137" vm="1277">
        <f ca="1"/>
        <v>46111</v>
      </c>
      <c r="B137" s="4" vm="1282">
        <f ca="1"/>
        <v>22713.1</v>
      </c>
      <c r="C137" s="7">
        <f t="shared" ca="1" si="2"/>
        <v>-4.6670406142088616E-3</v>
      </c>
    </row>
    <row r="138" spans="1:3" x14ac:dyDescent="0.3">
      <c r="A138" vm="1283">
        <f ca="1"/>
        <v>46118</v>
      </c>
      <c r="B138" s="4" vm="1292">
        <f ca="1"/>
        <v>24050.6</v>
      </c>
      <c r="C138" s="7">
        <f t="shared" ca="1" si="2"/>
        <v>5.8886721759689342E-2</v>
      </c>
    </row>
    <row r="139" spans="1:3" x14ac:dyDescent="0.3">
      <c r="A139" vm="1293">
        <f ca="1"/>
        <v>46125</v>
      </c>
      <c r="B139" s="4" vm="1300">
        <f ca="1"/>
        <v>24353.55</v>
      </c>
      <c r="C139" s="7">
        <f t="shared" ca="1" si="2"/>
        <v>1.2596359342386565E-2</v>
      </c>
    </row>
    <row r="140" spans="1:3" x14ac:dyDescent="0.3">
      <c r="A140" vm="1301">
        <f ca="1"/>
        <v>46132</v>
      </c>
      <c r="B140" s="4" vm="1310">
        <f ca="1"/>
        <v>23897.95</v>
      </c>
      <c r="C140" s="7">
        <f t="shared" ca="1" si="2"/>
        <v>-1.8707744866764742E-2</v>
      </c>
    </row>
    <row r="141" spans="1:3" x14ac:dyDescent="0.3">
      <c r="A141" vm="1311">
        <f ca="1"/>
        <v>46139</v>
      </c>
      <c r="B141" s="4" vm="1318">
        <f ca="1"/>
        <v>23997.55</v>
      </c>
      <c r="C141" s="7">
        <f t="shared" ca="1" si="2"/>
        <v>4.167721499124255E-3</v>
      </c>
    </row>
    <row r="142" spans="1:3" x14ac:dyDescent="0.3">
      <c r="A142" vm="1319">
        <f ca="1"/>
        <v>46146</v>
      </c>
      <c r="B142" s="4" vm="1328">
        <f ca="1"/>
        <v>24176.15</v>
      </c>
      <c r="C142" s="7">
        <f t="shared" ca="1" si="2"/>
        <v>7.4424264143633234E-3</v>
      </c>
    </row>
    <row r="143" spans="1:3" x14ac:dyDescent="0.3">
      <c r="A143" vm="1329">
        <f ca="1"/>
        <v>46153</v>
      </c>
      <c r="B143" s="4" vm="1338">
        <f ca="1"/>
        <v>23643.5</v>
      </c>
      <c r="C143" s="7">
        <f t="shared" ca="1" si="2"/>
        <v>-2.2032043977225579E-2</v>
      </c>
    </row>
    <row r="144" spans="1:3" x14ac:dyDescent="0.3">
      <c r="A144" vm="1339">
        <f ca="1"/>
        <v>46160</v>
      </c>
      <c r="B144" s="4" vm="1348">
        <f ca="1"/>
        <v>23719.3</v>
      </c>
      <c r="C144" s="7">
        <f t="shared" ca="1" si="2"/>
        <v>3.2059551250871454E-3</v>
      </c>
    </row>
    <row r="145" spans="1:3" x14ac:dyDescent="0.3">
      <c r="A145" vm="1349">
        <f ca="1"/>
        <v>46167</v>
      </c>
      <c r="B145" s="4" vm="1356">
        <f ca="1"/>
        <v>23547.75</v>
      </c>
      <c r="C145" s="7">
        <f t="shared" ca="1" si="2"/>
        <v>-7.2325068615008981E-3</v>
      </c>
    </row>
    <row r="146" spans="1:3" x14ac:dyDescent="0.3">
      <c r="A146" vm="1357">
        <f ca="1"/>
        <v>46174</v>
      </c>
      <c r="B146" s="4" vm="1366">
        <f ca="1"/>
        <v>23366.7</v>
      </c>
      <c r="C146" s="7">
        <f t="shared" ca="1" si="2"/>
        <v>-7.6886326719113329E-3</v>
      </c>
    </row>
    <row r="147" spans="1:3" x14ac:dyDescent="0.3">
      <c r="A147" vm="1367">
        <f ca="1"/>
        <v>46181</v>
      </c>
      <c r="B147" s="4" vm="1376">
        <f ca="1"/>
        <v>23622.9</v>
      </c>
      <c r="C147" s="7">
        <f t="shared" ca="1" si="2"/>
        <v>1.0964321020940027E-2</v>
      </c>
    </row>
    <row r="148" spans="1:3" x14ac:dyDescent="0.3">
      <c r="A148" vm="1377">
        <f ca="1"/>
        <v>46188</v>
      </c>
      <c r="B148" s="4" vm="1386">
        <f ca="1"/>
        <v>24013.1</v>
      </c>
      <c r="C148" s="7">
        <f t="shared" ca="1" si="2"/>
        <v>1.6517870371546062E-2</v>
      </c>
    </row>
    <row r="149" spans="1:3" x14ac:dyDescent="0.3">
      <c r="A149" vm="1387">
        <f ca="1"/>
        <v>46195</v>
      </c>
      <c r="B149" s="4" vm="1394">
        <f ca="1"/>
        <v>24056</v>
      </c>
      <c r="C149" s="7">
        <f t="shared" ca="1" si="2"/>
        <v>1.7865248551833801E-3</v>
      </c>
    </row>
    <row r="150" spans="1:3" x14ac:dyDescent="0.3">
      <c r="A150" vm="1395">
        <f ca="1"/>
        <v>46202</v>
      </c>
      <c r="B150" s="4" vm="1404">
        <f ca="1"/>
        <v>24270.85</v>
      </c>
      <c r="C150" s="7">
        <f t="shared" ca="1" si="2"/>
        <v>8.9312437645492349E-3</v>
      </c>
    </row>
    <row r="151" spans="1:3" x14ac:dyDescent="0.3">
      <c r="A151" vm="1405">
        <f ca="1"/>
        <v>46209</v>
      </c>
      <c r="B151" s="4" vm="1414">
        <f ca="1"/>
        <v>24206.9</v>
      </c>
      <c r="C151" s="7">
        <f t="shared" ca="1" si="2"/>
        <v>-2.6348479760699428E-3</v>
      </c>
    </row>
    <row r="152" spans="1:3" x14ac:dyDescent="0.3">
      <c r="A152" vm="1415">
        <f ca="1"/>
        <v>46216</v>
      </c>
      <c r="B152" s="4" vm="1424">
        <f ca="1"/>
        <v>24334.3</v>
      </c>
      <c r="C152" s="7">
        <f t="shared" ca="1" si="2"/>
        <v>5.262962213253175E-3</v>
      </c>
    </row>
    <row r="153" spans="1:3" x14ac:dyDescent="0.3">
      <c r="A153" vm="1425">
        <f ca="1"/>
        <v>46223</v>
      </c>
      <c r="B153" s="4" vm="1434">
        <f ca="1"/>
        <v>23767.45</v>
      </c>
      <c r="C153" s="7">
        <f t="shared" ca="1" si="2"/>
        <v>-2.3294280090242925E-2</v>
      </c>
    </row>
    <row r="154" spans="1:3" x14ac:dyDescent="0.3">
      <c r="A154" vm="1435">
        <f ca="1"/>
        <v>46230</v>
      </c>
      <c r="B154" s="4" vm="1444">
        <f ca="1"/>
        <v>24383.599999999999</v>
      </c>
      <c r="C154" s="7">
        <f t="shared" ca="1" si="2"/>
        <v>2.5924110495656683E-2</v>
      </c>
    </row>
    <row r="155" spans="1:3" x14ac:dyDescent="0.3">
      <c r="A155" vm="1445">
        <f ca="1"/>
        <v>46237</v>
      </c>
      <c r="B155" s="4" vm="1454">
        <f ca="1"/>
        <v>24570.65</v>
      </c>
      <c r="C155" s="7">
        <f t="shared" ca="1" si="2"/>
        <v>7.6711396184321323E-3</v>
      </c>
    </row>
    <row r="156" spans="1:3" x14ac:dyDescent="0.3">
      <c r="A156" vm="1455">
        <f ca="1"/>
        <v>46244</v>
      </c>
      <c r="B156" s="4" vm="1456">
        <f ca="1"/>
        <v>24583.8</v>
      </c>
      <c r="C156" s="7">
        <f t="shared" ca="1" si="2"/>
        <v>5.3519137670332562E-4</v>
      </c>
    </row>
    <row r="157" spans="1:3" x14ac:dyDescent="0.3">
      <c r="B157" s="4"/>
      <c r="C157" s="7"/>
    </row>
    <row r="158" spans="1:3" x14ac:dyDescent="0.3">
      <c r="B158" s="4"/>
      <c r="C158" s="7"/>
    </row>
    <row r="159" spans="1:3" x14ac:dyDescent="0.3">
      <c r="B159" s="4"/>
      <c r="C159" s="7"/>
    </row>
    <row r="160" spans="1:3" x14ac:dyDescent="0.3">
      <c r="B160" s="4"/>
      <c r="C160" s="7"/>
    </row>
    <row r="161" spans="2:3" x14ac:dyDescent="0.3">
      <c r="B161" s="4"/>
      <c r="C161" s="7"/>
    </row>
    <row r="162" spans="2:3" x14ac:dyDescent="0.3">
      <c r="B162" s="4"/>
      <c r="C162" s="7"/>
    </row>
    <row r="163" spans="2:3" x14ac:dyDescent="0.3">
      <c r="B163" s="4"/>
      <c r="C163" s="7"/>
    </row>
    <row r="164" spans="2:3" x14ac:dyDescent="0.3">
      <c r="B164" s="4"/>
      <c r="C164" s="7"/>
    </row>
    <row r="165" spans="2:3" x14ac:dyDescent="0.3">
      <c r="B165" s="4"/>
      <c r="C165" s="7"/>
    </row>
    <row r="166" spans="2:3" x14ac:dyDescent="0.3">
      <c r="B166" s="4"/>
      <c r="C166" s="7"/>
    </row>
    <row r="167" spans="2:3" x14ac:dyDescent="0.3">
      <c r="B167" s="4"/>
      <c r="C167" s="7"/>
    </row>
    <row r="168" spans="2:3" x14ac:dyDescent="0.3">
      <c r="B168" s="4"/>
      <c r="C168" s="7"/>
    </row>
    <row r="169" spans="2:3" x14ac:dyDescent="0.3">
      <c r="B169" s="4"/>
      <c r="C169" s="7"/>
    </row>
    <row r="170" spans="2:3" x14ac:dyDescent="0.3">
      <c r="B170" s="4"/>
      <c r="C170" s="7"/>
    </row>
    <row r="171" spans="2:3" x14ac:dyDescent="0.3">
      <c r="B171" s="4"/>
      <c r="C171" s="7"/>
    </row>
    <row r="172" spans="2:3" x14ac:dyDescent="0.3">
      <c r="B172" s="4"/>
      <c r="C172" s="7"/>
    </row>
    <row r="173" spans="2:3" x14ac:dyDescent="0.3">
      <c r="B173" s="4"/>
      <c r="C173" s="7"/>
    </row>
    <row r="174" spans="2:3" x14ac:dyDescent="0.3">
      <c r="B174" s="4"/>
      <c r="C174" s="7"/>
    </row>
    <row r="175" spans="2:3" x14ac:dyDescent="0.3">
      <c r="B175" s="4"/>
      <c r="C175" s="7"/>
    </row>
    <row r="176" spans="2:3" x14ac:dyDescent="0.3">
      <c r="B176" s="4"/>
      <c r="C176" s="7"/>
    </row>
    <row r="177" spans="2:3" x14ac:dyDescent="0.3">
      <c r="B177" s="4"/>
      <c r="C177" s="7"/>
    </row>
    <row r="178" spans="2:3" x14ac:dyDescent="0.3">
      <c r="B178" s="4"/>
      <c r="C178" s="7"/>
    </row>
    <row r="179" spans="2:3" x14ac:dyDescent="0.3">
      <c r="B179" s="4"/>
      <c r="C179" s="7"/>
    </row>
    <row r="180" spans="2:3" x14ac:dyDescent="0.3">
      <c r="B180" s="4"/>
      <c r="C180" s="7"/>
    </row>
    <row r="181" spans="2:3" x14ac:dyDescent="0.3">
      <c r="B181" s="4"/>
      <c r="C181" s="7"/>
    </row>
    <row r="182" spans="2:3" x14ac:dyDescent="0.3">
      <c r="B182" s="4"/>
      <c r="C182" s="7"/>
    </row>
    <row r="183" spans="2:3" x14ac:dyDescent="0.3">
      <c r="B183" s="4"/>
      <c r="C183" s="7"/>
    </row>
    <row r="184" spans="2:3" x14ac:dyDescent="0.3">
      <c r="B184" s="4"/>
      <c r="C184" s="7"/>
    </row>
    <row r="185" spans="2:3" x14ac:dyDescent="0.3">
      <c r="B185" s="4"/>
      <c r="C185" s="7"/>
    </row>
    <row r="186" spans="2:3" x14ac:dyDescent="0.3">
      <c r="B186" s="4"/>
      <c r="C186" s="7"/>
    </row>
    <row r="187" spans="2:3" x14ac:dyDescent="0.3">
      <c r="B187" s="4"/>
      <c r="C187" s="7"/>
    </row>
    <row r="188" spans="2:3" x14ac:dyDescent="0.3">
      <c r="B188" s="4"/>
      <c r="C188" s="7"/>
    </row>
    <row r="189" spans="2:3" x14ac:dyDescent="0.3">
      <c r="B189" s="4"/>
      <c r="C189" s="7"/>
    </row>
    <row r="190" spans="2:3" x14ac:dyDescent="0.3">
      <c r="B190" s="4"/>
      <c r="C190" s="7"/>
    </row>
    <row r="191" spans="2:3" x14ac:dyDescent="0.3">
      <c r="B191" s="4"/>
      <c r="C191" s="7"/>
    </row>
    <row r="192" spans="2:3" x14ac:dyDescent="0.3">
      <c r="B192" s="4"/>
      <c r="C192" s="7"/>
    </row>
    <row r="193" spans="2:3" x14ac:dyDescent="0.3">
      <c r="B193" s="4"/>
      <c r="C193" s="7"/>
    </row>
    <row r="194" spans="2:3" x14ac:dyDescent="0.3">
      <c r="B194" s="4"/>
      <c r="C194" s="7"/>
    </row>
    <row r="195" spans="2:3" x14ac:dyDescent="0.3">
      <c r="B195" s="4"/>
      <c r="C195" s="7"/>
    </row>
    <row r="196" spans="2:3" x14ac:dyDescent="0.3">
      <c r="B196" s="4"/>
      <c r="C196" s="7"/>
    </row>
    <row r="197" spans="2:3" x14ac:dyDescent="0.3">
      <c r="B197" s="4"/>
      <c r="C197" s="7"/>
    </row>
    <row r="198" spans="2:3" x14ac:dyDescent="0.3">
      <c r="B198" s="4"/>
      <c r="C198" s="7"/>
    </row>
    <row r="199" spans="2:3" x14ac:dyDescent="0.3">
      <c r="B199" s="4"/>
      <c r="C199" s="7"/>
    </row>
    <row r="200" spans="2:3" x14ac:dyDescent="0.3">
      <c r="B200" s="4"/>
      <c r="C200" s="7"/>
    </row>
    <row r="201" spans="2:3" x14ac:dyDescent="0.3">
      <c r="B201" s="4"/>
      <c r="C201" s="7"/>
    </row>
    <row r="202" spans="2:3" x14ac:dyDescent="0.3">
      <c r="B202" s="4"/>
      <c r="C202" s="7"/>
    </row>
    <row r="203" spans="2:3" x14ac:dyDescent="0.3">
      <c r="B203" s="4"/>
      <c r="C203" s="7"/>
    </row>
    <row r="204" spans="2:3" x14ac:dyDescent="0.3">
      <c r="B204" s="4"/>
      <c r="C204" s="7"/>
    </row>
    <row r="205" spans="2:3" x14ac:dyDescent="0.3">
      <c r="B205" s="4"/>
      <c r="C205" s="7"/>
    </row>
    <row r="206" spans="2:3" x14ac:dyDescent="0.3">
      <c r="B206" s="4"/>
      <c r="C206" s="7"/>
    </row>
    <row r="207" spans="2:3" x14ac:dyDescent="0.3">
      <c r="B207" s="4"/>
      <c r="C207" s="7"/>
    </row>
    <row r="208" spans="2:3" x14ac:dyDescent="0.3">
      <c r="B208" s="4"/>
      <c r="C208" s="7"/>
    </row>
    <row r="209" spans="2:3" x14ac:dyDescent="0.3">
      <c r="B209" s="4"/>
      <c r="C209" s="7"/>
    </row>
    <row r="210" spans="2:3" x14ac:dyDescent="0.3">
      <c r="B210" s="4"/>
      <c r="C210" s="7"/>
    </row>
    <row r="211" spans="2:3" x14ac:dyDescent="0.3">
      <c r="B211" s="4"/>
      <c r="C211" s="7"/>
    </row>
    <row r="212" spans="2:3" x14ac:dyDescent="0.3">
      <c r="B212" s="4"/>
      <c r="C212" s="7"/>
    </row>
    <row r="213" spans="2:3" x14ac:dyDescent="0.3">
      <c r="B213" s="4"/>
      <c r="C213" s="7"/>
    </row>
    <row r="214" spans="2:3" x14ac:dyDescent="0.3">
      <c r="B214" s="4"/>
      <c r="C214" s="7"/>
    </row>
    <row r="215" spans="2:3" x14ac:dyDescent="0.3">
      <c r="B215" s="4"/>
      <c r="C215" s="7"/>
    </row>
    <row r="216" spans="2:3" x14ac:dyDescent="0.3">
      <c r="B216" s="4"/>
      <c r="C216" s="7"/>
    </row>
    <row r="217" spans="2:3" x14ac:dyDescent="0.3">
      <c r="B217" s="4"/>
      <c r="C217" s="7"/>
    </row>
    <row r="218" spans="2:3" x14ac:dyDescent="0.3">
      <c r="B218" s="4"/>
      <c r="C218" s="7"/>
    </row>
    <row r="219" spans="2:3" x14ac:dyDescent="0.3">
      <c r="B219" s="4"/>
      <c r="C219" s="7"/>
    </row>
    <row r="220" spans="2:3" x14ac:dyDescent="0.3">
      <c r="B220" s="4"/>
      <c r="C220" s="7"/>
    </row>
    <row r="221" spans="2:3" x14ac:dyDescent="0.3">
      <c r="B221" s="4"/>
      <c r="C221" s="7"/>
    </row>
    <row r="222" spans="2:3" x14ac:dyDescent="0.3">
      <c r="B222" s="4"/>
      <c r="C222" s="7"/>
    </row>
    <row r="223" spans="2:3" x14ac:dyDescent="0.3">
      <c r="B223" s="4"/>
      <c r="C223" s="7"/>
    </row>
    <row r="224" spans="2:3" x14ac:dyDescent="0.3">
      <c r="B224" s="4"/>
      <c r="C224" s="7"/>
    </row>
    <row r="225" spans="2:3" x14ac:dyDescent="0.3">
      <c r="B225" s="4"/>
      <c r="C225" s="7"/>
    </row>
    <row r="226" spans="2:3" x14ac:dyDescent="0.3">
      <c r="B226" s="4"/>
      <c r="C226" s="7"/>
    </row>
    <row r="227" spans="2:3" x14ac:dyDescent="0.3">
      <c r="B227" s="4"/>
      <c r="C227" s="7"/>
    </row>
    <row r="228" spans="2:3" x14ac:dyDescent="0.3">
      <c r="B228" s="4"/>
      <c r="C228" s="7"/>
    </row>
    <row r="229" spans="2:3" x14ac:dyDescent="0.3">
      <c r="B229" s="4"/>
      <c r="C229" s="7"/>
    </row>
    <row r="230" spans="2:3" x14ac:dyDescent="0.3">
      <c r="B230" s="4"/>
      <c r="C230" s="7"/>
    </row>
    <row r="231" spans="2:3" x14ac:dyDescent="0.3">
      <c r="B231" s="4"/>
      <c r="C231" s="7"/>
    </row>
    <row r="232" spans="2:3" x14ac:dyDescent="0.3">
      <c r="B232" s="4"/>
      <c r="C232" s="7"/>
    </row>
    <row r="233" spans="2:3" x14ac:dyDescent="0.3">
      <c r="B233" s="4"/>
      <c r="C233" s="7"/>
    </row>
    <row r="234" spans="2:3" x14ac:dyDescent="0.3">
      <c r="B234" s="4"/>
      <c r="C234" s="7"/>
    </row>
    <row r="235" spans="2:3" x14ac:dyDescent="0.3">
      <c r="B235" s="4"/>
      <c r="C235" s="7"/>
    </row>
    <row r="236" spans="2:3" x14ac:dyDescent="0.3">
      <c r="B236" s="4"/>
      <c r="C236" s="7"/>
    </row>
    <row r="237" spans="2:3" x14ac:dyDescent="0.3">
      <c r="B237" s="4"/>
      <c r="C237" s="7"/>
    </row>
    <row r="238" spans="2:3" x14ac:dyDescent="0.3">
      <c r="B238" s="4"/>
      <c r="C238" s="7"/>
    </row>
    <row r="239" spans="2:3" x14ac:dyDescent="0.3">
      <c r="B239" s="4"/>
      <c r="C239" s="7"/>
    </row>
    <row r="240" spans="2:3" x14ac:dyDescent="0.3">
      <c r="B240" s="4"/>
      <c r="C240" s="7"/>
    </row>
    <row r="241" spans="2:3" x14ac:dyDescent="0.3">
      <c r="B241" s="4"/>
      <c r="C241" s="7"/>
    </row>
    <row r="242" spans="2:3" x14ac:dyDescent="0.3">
      <c r="B242" s="4"/>
      <c r="C242" s="7"/>
    </row>
    <row r="243" spans="2:3" x14ac:dyDescent="0.3">
      <c r="B243" s="4"/>
      <c r="C243" s="7"/>
    </row>
    <row r="244" spans="2:3" x14ac:dyDescent="0.3">
      <c r="B244" s="4"/>
      <c r="C244" s="7"/>
    </row>
    <row r="245" spans="2:3" x14ac:dyDescent="0.3">
      <c r="B245" s="4"/>
      <c r="C245" s="7"/>
    </row>
    <row r="246" spans="2:3" x14ac:dyDescent="0.3">
      <c r="B246" s="4"/>
      <c r="C246" s="7"/>
    </row>
    <row r="247" spans="2:3" x14ac:dyDescent="0.3">
      <c r="B247" s="4"/>
      <c r="C247" s="7"/>
    </row>
    <row r="248" spans="2:3" x14ac:dyDescent="0.3">
      <c r="B248" s="4"/>
      <c r="C248" s="7"/>
    </row>
    <row r="249" spans="2:3" x14ac:dyDescent="0.3">
      <c r="B249" s="4"/>
      <c r="C249" s="7"/>
    </row>
    <row r="250" spans="2:3" x14ac:dyDescent="0.3">
      <c r="B250" s="4"/>
      <c r="C250" s="7"/>
    </row>
    <row r="251" spans="2:3" x14ac:dyDescent="0.3">
      <c r="B251" s="4"/>
      <c r="C251" s="7"/>
    </row>
    <row r="252" spans="2:3" x14ac:dyDescent="0.3">
      <c r="B252" s="4"/>
      <c r="C252" s="7"/>
    </row>
    <row r="253" spans="2:3" x14ac:dyDescent="0.3">
      <c r="B253" s="4"/>
      <c r="C253" s="7"/>
    </row>
    <row r="254" spans="2:3" x14ac:dyDescent="0.3">
      <c r="B254" s="4"/>
      <c r="C254" s="7"/>
    </row>
    <row r="255" spans="2:3" x14ac:dyDescent="0.3">
      <c r="B255" s="4"/>
      <c r="C255" s="7"/>
    </row>
    <row r="256" spans="2:3" x14ac:dyDescent="0.3">
      <c r="B256" s="4"/>
      <c r="C256" s="7"/>
    </row>
    <row r="257" spans="2:3" x14ac:dyDescent="0.3">
      <c r="B257" s="4"/>
      <c r="C257" s="7"/>
    </row>
    <row r="258" spans="2:3" x14ac:dyDescent="0.3">
      <c r="B258" s="4"/>
      <c r="C258" s="7"/>
    </row>
    <row r="259" spans="2:3" x14ac:dyDescent="0.3">
      <c r="B259" s="4"/>
      <c r="C259" s="7"/>
    </row>
    <row r="260" spans="2:3" x14ac:dyDescent="0.3">
      <c r="B260" s="4"/>
      <c r="C260" s="7"/>
    </row>
    <row r="261" spans="2:3" x14ac:dyDescent="0.3">
      <c r="B261" s="4"/>
      <c r="C261" s="7"/>
    </row>
    <row r="262" spans="2:3" x14ac:dyDescent="0.3">
      <c r="B262" s="4"/>
      <c r="C262" s="7"/>
    </row>
    <row r="263" spans="2:3" x14ac:dyDescent="0.3">
      <c r="B263" s="4"/>
      <c r="C263" s="7"/>
    </row>
    <row r="264" spans="2:3" x14ac:dyDescent="0.3">
      <c r="B264" s="4"/>
      <c r="C264" s="7"/>
    </row>
    <row r="265" spans="2:3" x14ac:dyDescent="0.3">
      <c r="B265" s="4"/>
      <c r="C265" s="7"/>
    </row>
    <row r="266" spans="2:3" x14ac:dyDescent="0.3">
      <c r="B266" s="4"/>
      <c r="C266" s="7"/>
    </row>
    <row r="267" spans="2:3" x14ac:dyDescent="0.3">
      <c r="B267" s="4"/>
      <c r="C267" s="7"/>
    </row>
    <row r="268" spans="2:3" x14ac:dyDescent="0.3">
      <c r="B268" s="4"/>
      <c r="C268" s="7"/>
    </row>
    <row r="269" spans="2:3" x14ac:dyDescent="0.3">
      <c r="B269" s="4"/>
      <c r="C269" s="7"/>
    </row>
    <row r="270" spans="2:3" x14ac:dyDescent="0.3">
      <c r="B270" s="4"/>
      <c r="C270" s="7"/>
    </row>
    <row r="271" spans="2:3" x14ac:dyDescent="0.3">
      <c r="B271" s="4"/>
      <c r="C271" s="7"/>
    </row>
    <row r="272" spans="2:3" x14ac:dyDescent="0.3">
      <c r="B272" s="4"/>
      <c r="C272" s="7"/>
    </row>
    <row r="273" spans="2:3" x14ac:dyDescent="0.3">
      <c r="B273" s="4"/>
      <c r="C273" s="7"/>
    </row>
    <row r="274" spans="2:3" x14ac:dyDescent="0.3">
      <c r="B274" s="4"/>
      <c r="C274" s="7"/>
    </row>
    <row r="275" spans="2:3" x14ac:dyDescent="0.3">
      <c r="B275" s="4"/>
      <c r="C275" s="7"/>
    </row>
    <row r="276" spans="2:3" x14ac:dyDescent="0.3">
      <c r="B276" s="4"/>
      <c r="C276" s="7"/>
    </row>
    <row r="277" spans="2:3" x14ac:dyDescent="0.3">
      <c r="B277" s="4"/>
      <c r="C277" s="7"/>
    </row>
    <row r="278" spans="2:3" x14ac:dyDescent="0.3">
      <c r="B278" s="4"/>
      <c r="C278" s="7"/>
    </row>
    <row r="279" spans="2:3" x14ac:dyDescent="0.3">
      <c r="B279" s="4"/>
      <c r="C279" s="7"/>
    </row>
    <row r="280" spans="2:3" x14ac:dyDescent="0.3">
      <c r="B280" s="4"/>
      <c r="C280" s="7"/>
    </row>
    <row r="281" spans="2:3" x14ac:dyDescent="0.3">
      <c r="B281" s="4"/>
      <c r="C281" s="7"/>
    </row>
    <row r="282" spans="2:3" x14ac:dyDescent="0.3">
      <c r="B282" s="4"/>
      <c r="C282" s="7"/>
    </row>
    <row r="283" spans="2:3" x14ac:dyDescent="0.3">
      <c r="B283" s="4"/>
      <c r="C283" s="7"/>
    </row>
    <row r="284" spans="2:3" x14ac:dyDescent="0.3">
      <c r="B284" s="4"/>
      <c r="C284" s="7"/>
    </row>
    <row r="285" spans="2:3" x14ac:dyDescent="0.3">
      <c r="B285" s="4"/>
      <c r="C285" s="7"/>
    </row>
    <row r="286" spans="2:3" x14ac:dyDescent="0.3">
      <c r="B286" s="4"/>
      <c r="C286" s="7"/>
    </row>
    <row r="287" spans="2:3" x14ac:dyDescent="0.3">
      <c r="B287" s="4"/>
      <c r="C287" s="7"/>
    </row>
    <row r="288" spans="2:3" x14ac:dyDescent="0.3">
      <c r="B288" s="4"/>
      <c r="C288" s="7"/>
    </row>
    <row r="289" spans="2:3" x14ac:dyDescent="0.3">
      <c r="B289" s="4"/>
      <c r="C289" s="7"/>
    </row>
    <row r="290" spans="2:3" x14ac:dyDescent="0.3">
      <c r="B290" s="4"/>
      <c r="C290" s="7"/>
    </row>
    <row r="291" spans="2:3" x14ac:dyDescent="0.3">
      <c r="B291" s="4"/>
      <c r="C291" s="7"/>
    </row>
    <row r="292" spans="2:3" x14ac:dyDescent="0.3">
      <c r="B292" s="4"/>
      <c r="C292" s="7"/>
    </row>
    <row r="293" spans="2:3" x14ac:dyDescent="0.3">
      <c r="B293" s="4"/>
      <c r="C293" s="7"/>
    </row>
    <row r="294" spans="2:3" x14ac:dyDescent="0.3">
      <c r="B294" s="4"/>
      <c r="C294" s="7"/>
    </row>
    <row r="295" spans="2:3" x14ac:dyDescent="0.3">
      <c r="B295" s="4"/>
      <c r="C295" s="7"/>
    </row>
    <row r="296" spans="2:3" x14ac:dyDescent="0.3">
      <c r="B296" s="4"/>
      <c r="C296" s="7"/>
    </row>
    <row r="297" spans="2:3" x14ac:dyDescent="0.3">
      <c r="B297" s="4"/>
      <c r="C297" s="7"/>
    </row>
    <row r="298" spans="2:3" x14ac:dyDescent="0.3">
      <c r="B298" s="4"/>
      <c r="C298" s="7"/>
    </row>
    <row r="299" spans="2:3" x14ac:dyDescent="0.3">
      <c r="B299" s="4"/>
      <c r="C299" s="7"/>
    </row>
    <row r="300" spans="2:3" x14ac:dyDescent="0.3">
      <c r="B300" s="4"/>
      <c r="C300" s="7"/>
    </row>
    <row r="301" spans="2:3" x14ac:dyDescent="0.3">
      <c r="B301" s="4"/>
      <c r="C301" s="7"/>
    </row>
    <row r="302" spans="2:3" x14ac:dyDescent="0.3">
      <c r="B302" s="4"/>
      <c r="C302" s="7"/>
    </row>
    <row r="303" spans="2:3" x14ac:dyDescent="0.3">
      <c r="B303" s="4"/>
      <c r="C303" s="7"/>
    </row>
    <row r="304" spans="2:3" x14ac:dyDescent="0.3">
      <c r="B304" s="4"/>
      <c r="C304" s="7"/>
    </row>
    <row r="305" spans="2:3" x14ac:dyDescent="0.3">
      <c r="B305" s="4"/>
      <c r="C305" s="7"/>
    </row>
    <row r="306" spans="2:3" x14ac:dyDescent="0.3">
      <c r="B306" s="4"/>
      <c r="C306" s="7"/>
    </row>
    <row r="307" spans="2:3" x14ac:dyDescent="0.3">
      <c r="B307" s="4"/>
      <c r="C307" s="7"/>
    </row>
    <row r="308" spans="2:3" x14ac:dyDescent="0.3">
      <c r="B308" s="4"/>
      <c r="C308" s="7"/>
    </row>
    <row r="309" spans="2:3" x14ac:dyDescent="0.3">
      <c r="B309" s="4"/>
      <c r="C309" s="7"/>
    </row>
    <row r="310" spans="2:3" x14ac:dyDescent="0.3">
      <c r="B310" s="4"/>
      <c r="C310" s="7"/>
    </row>
    <row r="311" spans="2:3" x14ac:dyDescent="0.3">
      <c r="B311" s="4"/>
      <c r="C311" s="7"/>
    </row>
    <row r="312" spans="2:3" x14ac:dyDescent="0.3">
      <c r="B312" s="4"/>
      <c r="C312" s="7"/>
    </row>
    <row r="313" spans="2:3" x14ac:dyDescent="0.3">
      <c r="B313" s="4"/>
      <c r="C313" s="7"/>
    </row>
    <row r="314" spans="2:3" x14ac:dyDescent="0.3">
      <c r="B314" s="4"/>
      <c r="C314" s="7"/>
    </row>
    <row r="315" spans="2:3" x14ac:dyDescent="0.3">
      <c r="B315" s="4"/>
      <c r="C315" s="7"/>
    </row>
    <row r="316" spans="2:3" x14ac:dyDescent="0.3">
      <c r="B316" s="4"/>
      <c r="C316" s="7"/>
    </row>
    <row r="317" spans="2:3" x14ac:dyDescent="0.3">
      <c r="B317" s="4"/>
      <c r="C317" s="7"/>
    </row>
    <row r="318" spans="2:3" x14ac:dyDescent="0.3">
      <c r="B318" s="4"/>
      <c r="C318" s="7"/>
    </row>
    <row r="319" spans="2:3" x14ac:dyDescent="0.3">
      <c r="B319" s="4"/>
      <c r="C319" s="7"/>
    </row>
    <row r="320" spans="2:3" x14ac:dyDescent="0.3">
      <c r="B320" s="4"/>
      <c r="C320" s="7"/>
    </row>
    <row r="321" spans="2:3" x14ac:dyDescent="0.3">
      <c r="B321" s="4"/>
      <c r="C321" s="7"/>
    </row>
    <row r="322" spans="2:3" x14ac:dyDescent="0.3">
      <c r="B322" s="4"/>
      <c r="C322" s="7"/>
    </row>
    <row r="323" spans="2:3" x14ac:dyDescent="0.3">
      <c r="B323" s="4"/>
      <c r="C323" s="7"/>
    </row>
    <row r="324" spans="2:3" x14ac:dyDescent="0.3">
      <c r="B324" s="4"/>
      <c r="C324" s="7"/>
    </row>
    <row r="325" spans="2:3" x14ac:dyDescent="0.3">
      <c r="B325" s="4"/>
      <c r="C325" s="7"/>
    </row>
    <row r="326" spans="2:3" x14ac:dyDescent="0.3">
      <c r="B326" s="4"/>
      <c r="C326" s="7"/>
    </row>
    <row r="327" spans="2:3" x14ac:dyDescent="0.3">
      <c r="B327" s="4"/>
      <c r="C327" s="7"/>
    </row>
    <row r="328" spans="2:3" x14ac:dyDescent="0.3">
      <c r="B328" s="4"/>
      <c r="C328" s="7"/>
    </row>
    <row r="329" spans="2:3" x14ac:dyDescent="0.3">
      <c r="B329" s="4"/>
      <c r="C329" s="7"/>
    </row>
    <row r="330" spans="2:3" x14ac:dyDescent="0.3">
      <c r="B330" s="4"/>
      <c r="C330" s="7"/>
    </row>
    <row r="331" spans="2:3" x14ac:dyDescent="0.3">
      <c r="B331" s="4"/>
      <c r="C331" s="7"/>
    </row>
    <row r="332" spans="2:3" x14ac:dyDescent="0.3">
      <c r="B332" s="4"/>
      <c r="C332" s="7"/>
    </row>
    <row r="333" spans="2:3" x14ac:dyDescent="0.3">
      <c r="B333" s="4"/>
      <c r="C333" s="7"/>
    </row>
    <row r="334" spans="2:3" x14ac:dyDescent="0.3">
      <c r="B334" s="4"/>
      <c r="C334" s="7"/>
    </row>
    <row r="335" spans="2:3" x14ac:dyDescent="0.3">
      <c r="B335" s="4"/>
      <c r="C335" s="7"/>
    </row>
    <row r="336" spans="2:3" x14ac:dyDescent="0.3">
      <c r="B336" s="4"/>
      <c r="C336" s="7"/>
    </row>
    <row r="337" spans="2:3" x14ac:dyDescent="0.3">
      <c r="B337" s="4"/>
      <c r="C337" s="7"/>
    </row>
    <row r="338" spans="2:3" x14ac:dyDescent="0.3">
      <c r="B338" s="4"/>
      <c r="C338" s="7"/>
    </row>
    <row r="339" spans="2:3" x14ac:dyDescent="0.3">
      <c r="B339" s="4"/>
      <c r="C339" s="7"/>
    </row>
    <row r="340" spans="2:3" x14ac:dyDescent="0.3">
      <c r="B340" s="4"/>
      <c r="C340" s="7"/>
    </row>
    <row r="341" spans="2:3" x14ac:dyDescent="0.3">
      <c r="B341" s="4"/>
      <c r="C341" s="7"/>
    </row>
    <row r="342" spans="2:3" x14ac:dyDescent="0.3">
      <c r="B342" s="4"/>
      <c r="C342" s="7"/>
    </row>
    <row r="343" spans="2:3" x14ac:dyDescent="0.3">
      <c r="B343" s="4"/>
      <c r="C343" s="7"/>
    </row>
    <row r="344" spans="2:3" x14ac:dyDescent="0.3">
      <c r="B344" s="4"/>
      <c r="C344" s="7"/>
    </row>
    <row r="345" spans="2:3" x14ac:dyDescent="0.3">
      <c r="B345" s="4"/>
      <c r="C345" s="7"/>
    </row>
    <row r="346" spans="2:3" x14ac:dyDescent="0.3">
      <c r="B346" s="4"/>
      <c r="C346" s="7"/>
    </row>
    <row r="347" spans="2:3" x14ac:dyDescent="0.3">
      <c r="B347" s="4"/>
      <c r="C347" s="7"/>
    </row>
    <row r="348" spans="2:3" x14ac:dyDescent="0.3">
      <c r="B348" s="4"/>
      <c r="C348" s="7"/>
    </row>
    <row r="349" spans="2:3" x14ac:dyDescent="0.3">
      <c r="B349" s="4"/>
      <c r="C349" s="7"/>
    </row>
    <row r="350" spans="2:3" x14ac:dyDescent="0.3">
      <c r="B350" s="4"/>
      <c r="C350" s="7"/>
    </row>
    <row r="351" spans="2:3" x14ac:dyDescent="0.3">
      <c r="B351" s="4"/>
      <c r="C351" s="7"/>
    </row>
    <row r="352" spans="2:3" x14ac:dyDescent="0.3">
      <c r="B352" s="4"/>
      <c r="C352" s="7"/>
    </row>
    <row r="353" spans="2:3" x14ac:dyDescent="0.3">
      <c r="B353" s="4"/>
      <c r="C353" s="7"/>
    </row>
    <row r="354" spans="2:3" x14ac:dyDescent="0.3">
      <c r="B354" s="4"/>
      <c r="C354" s="7"/>
    </row>
    <row r="355" spans="2:3" x14ac:dyDescent="0.3">
      <c r="B355" s="4"/>
      <c r="C355" s="7"/>
    </row>
    <row r="356" spans="2:3" x14ac:dyDescent="0.3">
      <c r="B356" s="4"/>
      <c r="C356" s="7"/>
    </row>
    <row r="357" spans="2:3" x14ac:dyDescent="0.3">
      <c r="B357" s="4"/>
      <c r="C357" s="7"/>
    </row>
    <row r="358" spans="2:3" x14ac:dyDescent="0.3">
      <c r="B358" s="4"/>
      <c r="C358" s="7"/>
    </row>
    <row r="359" spans="2:3" x14ac:dyDescent="0.3">
      <c r="B359" s="4"/>
      <c r="C359" s="7"/>
    </row>
    <row r="360" spans="2:3" x14ac:dyDescent="0.3">
      <c r="B360" s="4"/>
      <c r="C360" s="7"/>
    </row>
    <row r="361" spans="2:3" x14ac:dyDescent="0.3">
      <c r="B361" s="4"/>
      <c r="C361" s="7"/>
    </row>
    <row r="362" spans="2:3" x14ac:dyDescent="0.3">
      <c r="B362" s="4"/>
      <c r="C362" s="7"/>
    </row>
    <row r="363" spans="2:3" x14ac:dyDescent="0.3">
      <c r="B363" s="4"/>
      <c r="C363" s="7"/>
    </row>
    <row r="364" spans="2:3" x14ac:dyDescent="0.3">
      <c r="B364" s="4"/>
      <c r="C364" s="7"/>
    </row>
    <row r="365" spans="2:3" x14ac:dyDescent="0.3">
      <c r="B365" s="4"/>
      <c r="C365" s="7"/>
    </row>
    <row r="366" spans="2:3" x14ac:dyDescent="0.3">
      <c r="B366" s="4"/>
      <c r="C366" s="7"/>
    </row>
    <row r="367" spans="2:3" x14ac:dyDescent="0.3">
      <c r="B367" s="4"/>
      <c r="C367" s="7"/>
    </row>
    <row r="368" spans="2:3" x14ac:dyDescent="0.3">
      <c r="B368" s="4"/>
      <c r="C368" s="7"/>
    </row>
    <row r="369" spans="2:3" x14ac:dyDescent="0.3">
      <c r="B369" s="4"/>
      <c r="C369" s="7"/>
    </row>
    <row r="370" spans="2:3" x14ac:dyDescent="0.3">
      <c r="B370" s="4"/>
      <c r="C370" s="7"/>
    </row>
    <row r="371" spans="2:3" x14ac:dyDescent="0.3">
      <c r="B371" s="4"/>
      <c r="C371" s="7"/>
    </row>
    <row r="372" spans="2:3" x14ac:dyDescent="0.3">
      <c r="B372" s="4"/>
      <c r="C372" s="7"/>
    </row>
    <row r="373" spans="2:3" x14ac:dyDescent="0.3">
      <c r="B373" s="4"/>
      <c r="C373" s="7"/>
    </row>
    <row r="374" spans="2:3" x14ac:dyDescent="0.3">
      <c r="B374" s="4"/>
      <c r="C374" s="7"/>
    </row>
    <row r="375" spans="2:3" x14ac:dyDescent="0.3">
      <c r="B375" s="4"/>
      <c r="C375" s="7"/>
    </row>
    <row r="376" spans="2:3" x14ac:dyDescent="0.3">
      <c r="B376" s="4"/>
      <c r="C376" s="7"/>
    </row>
    <row r="377" spans="2:3" x14ac:dyDescent="0.3">
      <c r="B377" s="4"/>
      <c r="C377" s="7"/>
    </row>
    <row r="378" spans="2:3" x14ac:dyDescent="0.3">
      <c r="B378" s="4"/>
      <c r="C378" s="7"/>
    </row>
    <row r="379" spans="2:3" x14ac:dyDescent="0.3">
      <c r="B379" s="4"/>
      <c r="C379" s="7"/>
    </row>
    <row r="380" spans="2:3" x14ac:dyDescent="0.3">
      <c r="B380" s="4"/>
      <c r="C380" s="7"/>
    </row>
    <row r="381" spans="2:3" x14ac:dyDescent="0.3">
      <c r="B381" s="4"/>
      <c r="C381" s="7"/>
    </row>
    <row r="382" spans="2:3" x14ac:dyDescent="0.3">
      <c r="B382" s="4"/>
      <c r="C382" s="7"/>
    </row>
    <row r="383" spans="2:3" x14ac:dyDescent="0.3">
      <c r="B383" s="4"/>
      <c r="C383" s="7"/>
    </row>
    <row r="384" spans="2:3" x14ac:dyDescent="0.3">
      <c r="B384" s="4"/>
      <c r="C384" s="7"/>
    </row>
    <row r="385" spans="2:3" x14ac:dyDescent="0.3">
      <c r="B385" s="4"/>
      <c r="C385" s="7"/>
    </row>
    <row r="386" spans="2:3" x14ac:dyDescent="0.3">
      <c r="B386" s="4"/>
      <c r="C386" s="7"/>
    </row>
    <row r="387" spans="2:3" x14ac:dyDescent="0.3">
      <c r="B387" s="4"/>
      <c r="C387" s="7"/>
    </row>
    <row r="388" spans="2:3" x14ac:dyDescent="0.3">
      <c r="B388" s="4"/>
      <c r="C388" s="7"/>
    </row>
    <row r="389" spans="2:3" x14ac:dyDescent="0.3">
      <c r="B389" s="4"/>
      <c r="C389" s="7"/>
    </row>
    <row r="390" spans="2:3" x14ac:dyDescent="0.3">
      <c r="B390" s="4"/>
      <c r="C390" s="7"/>
    </row>
    <row r="391" spans="2:3" x14ac:dyDescent="0.3">
      <c r="B391" s="4"/>
      <c r="C391" s="7"/>
    </row>
    <row r="392" spans="2:3" x14ac:dyDescent="0.3">
      <c r="B392" s="4"/>
      <c r="C392" s="7"/>
    </row>
    <row r="393" spans="2:3" x14ac:dyDescent="0.3">
      <c r="B393" s="4"/>
      <c r="C393" s="7"/>
    </row>
    <row r="394" spans="2:3" x14ac:dyDescent="0.3">
      <c r="B394" s="4"/>
      <c r="C394" s="7"/>
    </row>
    <row r="395" spans="2:3" x14ac:dyDescent="0.3">
      <c r="B395" s="4"/>
      <c r="C395" s="7"/>
    </row>
    <row r="396" spans="2:3" x14ac:dyDescent="0.3">
      <c r="B396" s="4"/>
      <c r="C396" s="7"/>
    </row>
    <row r="397" spans="2:3" x14ac:dyDescent="0.3">
      <c r="B397" s="4"/>
      <c r="C397" s="7"/>
    </row>
    <row r="398" spans="2:3" x14ac:dyDescent="0.3">
      <c r="B398" s="4"/>
      <c r="C398" s="7"/>
    </row>
    <row r="399" spans="2:3" x14ac:dyDescent="0.3">
      <c r="B399" s="4"/>
      <c r="C399" s="7"/>
    </row>
    <row r="400" spans="2:3" x14ac:dyDescent="0.3">
      <c r="B400" s="4"/>
      <c r="C400" s="7"/>
    </row>
    <row r="401" spans="2:3" x14ac:dyDescent="0.3">
      <c r="B401" s="4"/>
      <c r="C401" s="7"/>
    </row>
    <row r="402" spans="2:3" x14ac:dyDescent="0.3">
      <c r="B402" s="4"/>
      <c r="C402" s="7"/>
    </row>
    <row r="403" spans="2:3" x14ac:dyDescent="0.3">
      <c r="B403" s="4"/>
      <c r="C403" s="7"/>
    </row>
    <row r="404" spans="2:3" x14ac:dyDescent="0.3">
      <c r="B404" s="4"/>
      <c r="C404" s="7"/>
    </row>
    <row r="405" spans="2:3" x14ac:dyDescent="0.3">
      <c r="B405" s="4"/>
      <c r="C405" s="7"/>
    </row>
    <row r="406" spans="2:3" x14ac:dyDescent="0.3">
      <c r="B406" s="4"/>
      <c r="C406" s="7"/>
    </row>
    <row r="407" spans="2:3" x14ac:dyDescent="0.3">
      <c r="B407" s="4"/>
      <c r="C407" s="7"/>
    </row>
    <row r="408" spans="2:3" x14ac:dyDescent="0.3">
      <c r="B408" s="4"/>
      <c r="C408" s="7"/>
    </row>
    <row r="409" spans="2:3" x14ac:dyDescent="0.3">
      <c r="B409" s="4"/>
      <c r="C409" s="7"/>
    </row>
    <row r="410" spans="2:3" x14ac:dyDescent="0.3">
      <c r="B410" s="4"/>
      <c r="C410" s="7"/>
    </row>
    <row r="411" spans="2:3" x14ac:dyDescent="0.3">
      <c r="B411" s="4"/>
      <c r="C411" s="7"/>
    </row>
    <row r="412" spans="2:3" x14ac:dyDescent="0.3">
      <c r="B412" s="4"/>
      <c r="C412" s="7"/>
    </row>
    <row r="413" spans="2:3" x14ac:dyDescent="0.3">
      <c r="B413" s="4"/>
      <c r="C413" s="7"/>
    </row>
    <row r="414" spans="2:3" x14ac:dyDescent="0.3">
      <c r="B414" s="4"/>
      <c r="C414" s="7"/>
    </row>
    <row r="415" spans="2:3" x14ac:dyDescent="0.3">
      <c r="B415" s="4"/>
      <c r="C415" s="7"/>
    </row>
    <row r="416" spans="2:3" x14ac:dyDescent="0.3">
      <c r="B416" s="4"/>
      <c r="C416" s="7"/>
    </row>
    <row r="417" spans="2:3" x14ac:dyDescent="0.3">
      <c r="B417" s="4"/>
      <c r="C417" s="7"/>
    </row>
    <row r="418" spans="2:3" x14ac:dyDescent="0.3">
      <c r="B418" s="4"/>
      <c r="C418" s="7"/>
    </row>
    <row r="419" spans="2:3" x14ac:dyDescent="0.3">
      <c r="B419" s="4"/>
      <c r="C419" s="7"/>
    </row>
    <row r="420" spans="2:3" x14ac:dyDescent="0.3">
      <c r="B420" s="4"/>
      <c r="C420" s="7"/>
    </row>
    <row r="421" spans="2:3" x14ac:dyDescent="0.3">
      <c r="B421" s="4"/>
      <c r="C421" s="7"/>
    </row>
    <row r="422" spans="2:3" x14ac:dyDescent="0.3">
      <c r="B422" s="4"/>
      <c r="C422" s="7"/>
    </row>
    <row r="423" spans="2:3" x14ac:dyDescent="0.3">
      <c r="B423" s="4"/>
      <c r="C423" s="7"/>
    </row>
    <row r="424" spans="2:3" x14ac:dyDescent="0.3">
      <c r="B424" s="4"/>
      <c r="C424" s="7"/>
    </row>
    <row r="425" spans="2:3" x14ac:dyDescent="0.3">
      <c r="B425" s="4"/>
      <c r="C425" s="7"/>
    </row>
    <row r="426" spans="2:3" x14ac:dyDescent="0.3">
      <c r="B426" s="4"/>
      <c r="C426" s="7"/>
    </row>
    <row r="427" spans="2:3" x14ac:dyDescent="0.3">
      <c r="B427" s="4"/>
      <c r="C427" s="7"/>
    </row>
    <row r="428" spans="2:3" x14ac:dyDescent="0.3">
      <c r="B428" s="4"/>
      <c r="C428" s="7"/>
    </row>
    <row r="429" spans="2:3" x14ac:dyDescent="0.3">
      <c r="B429" s="4"/>
      <c r="C429" s="7"/>
    </row>
    <row r="430" spans="2:3" x14ac:dyDescent="0.3">
      <c r="B430" s="4"/>
      <c r="C430" s="7"/>
    </row>
    <row r="431" spans="2:3" x14ac:dyDescent="0.3">
      <c r="B431" s="4"/>
      <c r="C431" s="7"/>
    </row>
    <row r="432" spans="2:3" x14ac:dyDescent="0.3">
      <c r="B432" s="4"/>
      <c r="C432" s="7"/>
    </row>
    <row r="433" spans="2:3" x14ac:dyDescent="0.3">
      <c r="B433" s="4"/>
      <c r="C433" s="7"/>
    </row>
    <row r="434" spans="2:3" x14ac:dyDescent="0.3">
      <c r="B434" s="4"/>
      <c r="C434" s="7"/>
    </row>
    <row r="435" spans="2:3" x14ac:dyDescent="0.3">
      <c r="B435" s="4"/>
      <c r="C435" s="7"/>
    </row>
    <row r="436" spans="2:3" x14ac:dyDescent="0.3">
      <c r="B436" s="4"/>
      <c r="C436" s="7"/>
    </row>
    <row r="437" spans="2:3" x14ac:dyDescent="0.3">
      <c r="B437" s="4"/>
      <c r="C437" s="7"/>
    </row>
    <row r="438" spans="2:3" x14ac:dyDescent="0.3">
      <c r="B438" s="4"/>
      <c r="C438" s="7"/>
    </row>
    <row r="439" spans="2:3" x14ac:dyDescent="0.3">
      <c r="B439" s="4"/>
      <c r="C439" s="7"/>
    </row>
    <row r="440" spans="2:3" x14ac:dyDescent="0.3">
      <c r="B440" s="4"/>
      <c r="C440" s="7"/>
    </row>
    <row r="441" spans="2:3" x14ac:dyDescent="0.3">
      <c r="B441" s="4"/>
      <c r="C441" s="7"/>
    </row>
    <row r="442" spans="2:3" x14ac:dyDescent="0.3">
      <c r="B442" s="4"/>
      <c r="C442" s="7"/>
    </row>
    <row r="443" spans="2:3" x14ac:dyDescent="0.3">
      <c r="B443" s="4"/>
      <c r="C443" s="7"/>
    </row>
    <row r="444" spans="2:3" x14ac:dyDescent="0.3">
      <c r="B444" s="4"/>
      <c r="C444" s="7"/>
    </row>
    <row r="445" spans="2:3" x14ac:dyDescent="0.3">
      <c r="B445" s="4"/>
      <c r="C445" s="7"/>
    </row>
    <row r="446" spans="2:3" x14ac:dyDescent="0.3">
      <c r="B446" s="4"/>
      <c r="C446" s="7"/>
    </row>
    <row r="447" spans="2:3" x14ac:dyDescent="0.3">
      <c r="B447" s="4"/>
      <c r="C447" s="7"/>
    </row>
    <row r="448" spans="2:3" x14ac:dyDescent="0.3">
      <c r="B448" s="4"/>
      <c r="C448" s="7"/>
    </row>
    <row r="449" spans="2:3" x14ac:dyDescent="0.3">
      <c r="B449" s="4"/>
      <c r="C449" s="7"/>
    </row>
    <row r="450" spans="2:3" x14ac:dyDescent="0.3">
      <c r="B450" s="4"/>
      <c r="C450" s="7"/>
    </row>
    <row r="451" spans="2:3" x14ac:dyDescent="0.3">
      <c r="B451" s="4"/>
      <c r="C451" s="7"/>
    </row>
    <row r="452" spans="2:3" x14ac:dyDescent="0.3">
      <c r="B452" s="4"/>
      <c r="C452" s="7"/>
    </row>
    <row r="453" spans="2:3" x14ac:dyDescent="0.3">
      <c r="B453" s="4"/>
      <c r="C453" s="7"/>
    </row>
    <row r="454" spans="2:3" x14ac:dyDescent="0.3">
      <c r="B454" s="4"/>
      <c r="C454" s="7"/>
    </row>
    <row r="455" spans="2:3" x14ac:dyDescent="0.3">
      <c r="B455" s="4"/>
      <c r="C455" s="7"/>
    </row>
    <row r="456" spans="2:3" x14ac:dyDescent="0.3">
      <c r="B456" s="4"/>
      <c r="C456" s="7"/>
    </row>
    <row r="457" spans="2:3" x14ac:dyDescent="0.3">
      <c r="B457" s="4"/>
      <c r="C457" s="7"/>
    </row>
    <row r="458" spans="2:3" x14ac:dyDescent="0.3">
      <c r="B458" s="4"/>
      <c r="C458" s="7"/>
    </row>
    <row r="459" spans="2:3" x14ac:dyDescent="0.3">
      <c r="B459" s="4"/>
      <c r="C459" s="7"/>
    </row>
    <row r="460" spans="2:3" x14ac:dyDescent="0.3">
      <c r="B460" s="4"/>
      <c r="C460" s="7"/>
    </row>
    <row r="461" spans="2:3" x14ac:dyDescent="0.3">
      <c r="B461" s="4"/>
      <c r="C461" s="7"/>
    </row>
    <row r="462" spans="2:3" x14ac:dyDescent="0.3">
      <c r="B462" s="4"/>
      <c r="C462" s="7"/>
    </row>
    <row r="463" spans="2:3" x14ac:dyDescent="0.3">
      <c r="B463" s="4"/>
      <c r="C463" s="7"/>
    </row>
    <row r="464" spans="2:3" x14ac:dyDescent="0.3">
      <c r="B464" s="4"/>
      <c r="C464" s="7"/>
    </row>
    <row r="465" spans="2:3" x14ac:dyDescent="0.3">
      <c r="B465" s="4"/>
      <c r="C465" s="7"/>
    </row>
    <row r="466" spans="2:3" x14ac:dyDescent="0.3">
      <c r="B466" s="4"/>
      <c r="C466" s="7"/>
    </row>
    <row r="467" spans="2:3" x14ac:dyDescent="0.3">
      <c r="B467" s="4"/>
      <c r="C467" s="7"/>
    </row>
    <row r="468" spans="2:3" x14ac:dyDescent="0.3">
      <c r="B468" s="4"/>
      <c r="C468" s="7"/>
    </row>
    <row r="469" spans="2:3" x14ac:dyDescent="0.3">
      <c r="B469" s="4"/>
      <c r="C469" s="7"/>
    </row>
    <row r="470" spans="2:3" x14ac:dyDescent="0.3">
      <c r="B470" s="4"/>
      <c r="C470" s="7"/>
    </row>
    <row r="471" spans="2:3" x14ac:dyDescent="0.3">
      <c r="B471" s="4"/>
      <c r="C471" s="7"/>
    </row>
    <row r="472" spans="2:3" x14ac:dyDescent="0.3">
      <c r="B472" s="4"/>
      <c r="C472" s="7"/>
    </row>
    <row r="473" spans="2:3" x14ac:dyDescent="0.3">
      <c r="B473" s="4"/>
      <c r="C473" s="7"/>
    </row>
    <row r="474" spans="2:3" x14ac:dyDescent="0.3">
      <c r="B474" s="4"/>
      <c r="C474" s="7"/>
    </row>
    <row r="475" spans="2:3" x14ac:dyDescent="0.3">
      <c r="B475" s="4"/>
      <c r="C475" s="7"/>
    </row>
    <row r="476" spans="2:3" x14ac:dyDescent="0.3">
      <c r="B476" s="4"/>
      <c r="C476" s="7"/>
    </row>
    <row r="477" spans="2:3" x14ac:dyDescent="0.3">
      <c r="B477" s="4"/>
      <c r="C477" s="7"/>
    </row>
    <row r="478" spans="2:3" x14ac:dyDescent="0.3">
      <c r="B478" s="4"/>
      <c r="C478" s="7"/>
    </row>
    <row r="479" spans="2:3" x14ac:dyDescent="0.3">
      <c r="B479" s="4"/>
      <c r="C479" s="7"/>
    </row>
    <row r="480" spans="2:3" x14ac:dyDescent="0.3">
      <c r="B480" s="4"/>
      <c r="C480" s="7"/>
    </row>
    <row r="481" spans="2:3" x14ac:dyDescent="0.3">
      <c r="B481" s="4"/>
      <c r="C481" s="7"/>
    </row>
    <row r="482" spans="2:3" x14ac:dyDescent="0.3">
      <c r="B482" s="4"/>
      <c r="C482" s="7"/>
    </row>
    <row r="483" spans="2:3" x14ac:dyDescent="0.3">
      <c r="B483" s="4"/>
      <c r="C483" s="7"/>
    </row>
    <row r="484" spans="2:3" x14ac:dyDescent="0.3">
      <c r="B484" s="4"/>
      <c r="C484" s="7"/>
    </row>
    <row r="485" spans="2:3" x14ac:dyDescent="0.3">
      <c r="B485" s="4"/>
      <c r="C485" s="7"/>
    </row>
    <row r="486" spans="2:3" x14ac:dyDescent="0.3">
      <c r="B486" s="4"/>
      <c r="C486" s="7"/>
    </row>
    <row r="487" spans="2:3" x14ac:dyDescent="0.3">
      <c r="B487" s="4"/>
      <c r="C487" s="7"/>
    </row>
    <row r="488" spans="2:3" x14ac:dyDescent="0.3">
      <c r="B488" s="4"/>
      <c r="C488" s="7"/>
    </row>
    <row r="489" spans="2:3" x14ac:dyDescent="0.3">
      <c r="B489" s="4"/>
      <c r="C489" s="7"/>
    </row>
    <row r="490" spans="2:3" x14ac:dyDescent="0.3">
      <c r="B490" s="4"/>
      <c r="C490" s="7"/>
    </row>
    <row r="491" spans="2:3" x14ac:dyDescent="0.3">
      <c r="B491" s="4"/>
      <c r="C491" s="7"/>
    </row>
    <row r="492" spans="2:3" x14ac:dyDescent="0.3">
      <c r="B492" s="4"/>
      <c r="C492" s="7"/>
    </row>
    <row r="493" spans="2:3" x14ac:dyDescent="0.3">
      <c r="B493" s="4"/>
      <c r="C493" s="7"/>
    </row>
    <row r="494" spans="2:3" x14ac:dyDescent="0.3">
      <c r="B494" s="4"/>
      <c r="C494" s="7"/>
    </row>
    <row r="495" spans="2:3" x14ac:dyDescent="0.3">
      <c r="B495" s="4"/>
      <c r="C495" s="7"/>
    </row>
    <row r="496" spans="2:3" x14ac:dyDescent="0.3">
      <c r="B496" s="4"/>
      <c r="C496" s="7"/>
    </row>
    <row r="497" spans="2:3" x14ac:dyDescent="0.3">
      <c r="B497" s="4"/>
      <c r="C497" s="7"/>
    </row>
    <row r="498" spans="2:3" x14ac:dyDescent="0.3">
      <c r="B498" s="4"/>
      <c r="C498" s="7"/>
    </row>
    <row r="499" spans="2:3" x14ac:dyDescent="0.3">
      <c r="B499" s="4"/>
      <c r="C499" s="7"/>
    </row>
    <row r="500" spans="2:3" x14ac:dyDescent="0.3">
      <c r="B500" s="4"/>
      <c r="C500" s="7"/>
    </row>
    <row r="501" spans="2:3" x14ac:dyDescent="0.3">
      <c r="B501" s="4"/>
      <c r="C501" s="7"/>
    </row>
    <row r="502" spans="2:3" x14ac:dyDescent="0.3">
      <c r="B502" s="4"/>
      <c r="C502" s="7"/>
    </row>
    <row r="503" spans="2:3" x14ac:dyDescent="0.3">
      <c r="B503" s="4"/>
      <c r="C503" s="7"/>
    </row>
    <row r="504" spans="2:3" x14ac:dyDescent="0.3">
      <c r="B504" s="4"/>
      <c r="C504" s="7"/>
    </row>
    <row r="505" spans="2:3" x14ac:dyDescent="0.3">
      <c r="B505" s="4"/>
      <c r="C505" s="7"/>
    </row>
    <row r="506" spans="2:3" x14ac:dyDescent="0.3">
      <c r="B506" s="4"/>
      <c r="C506" s="7"/>
    </row>
    <row r="507" spans="2:3" x14ac:dyDescent="0.3">
      <c r="B507" s="4"/>
      <c r="C507" s="7"/>
    </row>
    <row r="508" spans="2:3" x14ac:dyDescent="0.3">
      <c r="B508" s="4"/>
      <c r="C508" s="7"/>
    </row>
    <row r="509" spans="2:3" x14ac:dyDescent="0.3">
      <c r="B509" s="4"/>
      <c r="C509" s="7"/>
    </row>
    <row r="510" spans="2:3" x14ac:dyDescent="0.3">
      <c r="B510" s="4"/>
      <c r="C510" s="7"/>
    </row>
    <row r="511" spans="2:3" x14ac:dyDescent="0.3">
      <c r="B511" s="4"/>
      <c r="C511" s="7"/>
    </row>
    <row r="512" spans="2:3" x14ac:dyDescent="0.3">
      <c r="B512" s="4"/>
      <c r="C512" s="7"/>
    </row>
    <row r="513" spans="2:3" x14ac:dyDescent="0.3">
      <c r="B513" s="4"/>
      <c r="C513" s="7"/>
    </row>
    <row r="514" spans="2:3" x14ac:dyDescent="0.3">
      <c r="B514" s="4"/>
      <c r="C514" s="7"/>
    </row>
    <row r="515" spans="2:3" x14ac:dyDescent="0.3">
      <c r="B515" s="4"/>
      <c r="C515" s="7"/>
    </row>
    <row r="516" spans="2:3" x14ac:dyDescent="0.3">
      <c r="B516" s="4"/>
      <c r="C516" s="7"/>
    </row>
    <row r="517" spans="2:3" x14ac:dyDescent="0.3">
      <c r="B517" s="4"/>
      <c r="C517" s="7"/>
    </row>
    <row r="518" spans="2:3" x14ac:dyDescent="0.3">
      <c r="B518" s="4"/>
      <c r="C518" s="7"/>
    </row>
    <row r="519" spans="2:3" x14ac:dyDescent="0.3">
      <c r="B519" s="4"/>
      <c r="C519" s="7"/>
    </row>
    <row r="520" spans="2:3" x14ac:dyDescent="0.3">
      <c r="B520" s="4"/>
      <c r="C520" s="7"/>
    </row>
    <row r="521" spans="2:3" x14ac:dyDescent="0.3">
      <c r="B521" s="4"/>
      <c r="C521" s="7"/>
    </row>
    <row r="522" spans="2:3" x14ac:dyDescent="0.3">
      <c r="B522" s="4"/>
      <c r="C522" s="7"/>
    </row>
    <row r="523" spans="2:3" x14ac:dyDescent="0.3">
      <c r="B523" s="4"/>
      <c r="C523" s="7"/>
    </row>
    <row r="524" spans="2:3" x14ac:dyDescent="0.3">
      <c r="B524" s="4"/>
      <c r="C524" s="7"/>
    </row>
    <row r="525" spans="2:3" x14ac:dyDescent="0.3">
      <c r="B525" s="4"/>
      <c r="C525" s="7"/>
    </row>
    <row r="526" spans="2:3" x14ac:dyDescent="0.3">
      <c r="B526" s="4"/>
      <c r="C526" s="7"/>
    </row>
    <row r="527" spans="2:3" x14ac:dyDescent="0.3">
      <c r="B527" s="4"/>
      <c r="C527" s="7"/>
    </row>
    <row r="528" spans="2:3" x14ac:dyDescent="0.3">
      <c r="B528" s="4"/>
      <c r="C528" s="7"/>
    </row>
    <row r="529" spans="2:3" x14ac:dyDescent="0.3">
      <c r="B529" s="4"/>
      <c r="C529" s="7"/>
    </row>
    <row r="530" spans="2:3" x14ac:dyDescent="0.3">
      <c r="B530" s="4"/>
      <c r="C530" s="7"/>
    </row>
    <row r="531" spans="2:3" x14ac:dyDescent="0.3">
      <c r="B531" s="4"/>
      <c r="C531" s="7"/>
    </row>
    <row r="532" spans="2:3" x14ac:dyDescent="0.3">
      <c r="B532" s="4"/>
      <c r="C532" s="7"/>
    </row>
    <row r="533" spans="2:3" x14ac:dyDescent="0.3">
      <c r="B533" s="4"/>
      <c r="C533" s="7"/>
    </row>
    <row r="534" spans="2:3" x14ac:dyDescent="0.3">
      <c r="B534" s="4"/>
      <c r="C534" s="7"/>
    </row>
    <row r="535" spans="2:3" x14ac:dyDescent="0.3">
      <c r="B535" s="4"/>
      <c r="C535" s="7"/>
    </row>
    <row r="536" spans="2:3" x14ac:dyDescent="0.3">
      <c r="B536" s="4"/>
      <c r="C536" s="7"/>
    </row>
    <row r="537" spans="2:3" x14ac:dyDescent="0.3">
      <c r="B537" s="4"/>
      <c r="C537" s="7"/>
    </row>
    <row r="538" spans="2:3" x14ac:dyDescent="0.3">
      <c r="B538" s="4"/>
      <c r="C538" s="7"/>
    </row>
    <row r="539" spans="2:3" x14ac:dyDescent="0.3">
      <c r="B539" s="4"/>
      <c r="C539" s="7"/>
    </row>
    <row r="540" spans="2:3" x14ac:dyDescent="0.3">
      <c r="B540" s="4"/>
      <c r="C540" s="7"/>
    </row>
    <row r="541" spans="2:3" x14ac:dyDescent="0.3">
      <c r="B541" s="4"/>
      <c r="C541" s="7"/>
    </row>
    <row r="542" spans="2:3" x14ac:dyDescent="0.3">
      <c r="B542" s="4"/>
      <c r="C542" s="7"/>
    </row>
    <row r="543" spans="2:3" x14ac:dyDescent="0.3">
      <c r="B543" s="4"/>
      <c r="C543" s="7"/>
    </row>
    <row r="544" spans="2:3" x14ac:dyDescent="0.3">
      <c r="B544" s="4"/>
      <c r="C544" s="7"/>
    </row>
    <row r="545" spans="2:3" x14ac:dyDescent="0.3">
      <c r="B545" s="4"/>
      <c r="C545" s="7"/>
    </row>
    <row r="546" spans="2:3" x14ac:dyDescent="0.3">
      <c r="B546" s="4"/>
      <c r="C546" s="7"/>
    </row>
    <row r="547" spans="2:3" x14ac:dyDescent="0.3">
      <c r="B547" s="4"/>
      <c r="C547" s="7"/>
    </row>
    <row r="548" spans="2:3" x14ac:dyDescent="0.3">
      <c r="B548" s="4"/>
      <c r="C548" s="7"/>
    </row>
    <row r="549" spans="2:3" x14ac:dyDescent="0.3">
      <c r="B549" s="4"/>
      <c r="C549" s="7"/>
    </row>
    <row r="550" spans="2:3" x14ac:dyDescent="0.3">
      <c r="B550" s="4"/>
      <c r="C550" s="7"/>
    </row>
    <row r="551" spans="2:3" x14ac:dyDescent="0.3">
      <c r="B551" s="4"/>
      <c r="C551" s="7"/>
    </row>
    <row r="552" spans="2:3" x14ac:dyDescent="0.3">
      <c r="B552" s="4"/>
      <c r="C552" s="7"/>
    </row>
    <row r="553" spans="2:3" x14ac:dyDescent="0.3">
      <c r="B553" s="4"/>
      <c r="C553" s="7"/>
    </row>
    <row r="554" spans="2:3" x14ac:dyDescent="0.3">
      <c r="B554" s="4"/>
      <c r="C554" s="7"/>
    </row>
    <row r="555" spans="2:3" x14ac:dyDescent="0.3">
      <c r="B555" s="4"/>
      <c r="C555" s="7"/>
    </row>
    <row r="556" spans="2:3" x14ac:dyDescent="0.3">
      <c r="B556" s="4"/>
      <c r="C556" s="7"/>
    </row>
    <row r="557" spans="2:3" x14ac:dyDescent="0.3">
      <c r="B557" s="4"/>
      <c r="C557" s="7"/>
    </row>
    <row r="558" spans="2:3" x14ac:dyDescent="0.3">
      <c r="B558" s="4"/>
      <c r="C558" s="7"/>
    </row>
    <row r="559" spans="2:3" x14ac:dyDescent="0.3">
      <c r="B559" s="4"/>
      <c r="C559" s="7"/>
    </row>
    <row r="560" spans="2:3" x14ac:dyDescent="0.3">
      <c r="B560" s="4"/>
      <c r="C560" s="7"/>
    </row>
    <row r="561" spans="2:3" x14ac:dyDescent="0.3">
      <c r="B561" s="4"/>
      <c r="C561" s="7"/>
    </row>
    <row r="562" spans="2:3" x14ac:dyDescent="0.3">
      <c r="B562" s="4"/>
      <c r="C562" s="7"/>
    </row>
    <row r="563" spans="2:3" x14ac:dyDescent="0.3">
      <c r="B563" s="4"/>
      <c r="C563" s="7"/>
    </row>
    <row r="564" spans="2:3" x14ac:dyDescent="0.3">
      <c r="B564" s="4"/>
      <c r="C564" s="7"/>
    </row>
    <row r="565" spans="2:3" x14ac:dyDescent="0.3">
      <c r="B565" s="4"/>
      <c r="C565" s="7"/>
    </row>
    <row r="566" spans="2:3" x14ac:dyDescent="0.3">
      <c r="B566" s="4"/>
      <c r="C566" s="7"/>
    </row>
    <row r="567" spans="2:3" x14ac:dyDescent="0.3">
      <c r="B567" s="4"/>
      <c r="C567" s="7"/>
    </row>
    <row r="568" spans="2:3" x14ac:dyDescent="0.3">
      <c r="B568" s="4"/>
      <c r="C568" s="7"/>
    </row>
    <row r="569" spans="2:3" x14ac:dyDescent="0.3">
      <c r="B569" s="4"/>
      <c r="C569" s="7"/>
    </row>
    <row r="570" spans="2:3" x14ac:dyDescent="0.3">
      <c r="B570" s="4"/>
      <c r="C570" s="7"/>
    </row>
    <row r="571" spans="2:3" x14ac:dyDescent="0.3">
      <c r="B571" s="4"/>
      <c r="C571" s="7"/>
    </row>
    <row r="572" spans="2:3" x14ac:dyDescent="0.3">
      <c r="B572" s="4"/>
      <c r="C572" s="7"/>
    </row>
    <row r="573" spans="2:3" x14ac:dyDescent="0.3">
      <c r="B573" s="4"/>
      <c r="C573" s="7"/>
    </row>
    <row r="574" spans="2:3" x14ac:dyDescent="0.3">
      <c r="B574" s="4"/>
      <c r="C574" s="7"/>
    </row>
    <row r="575" spans="2:3" x14ac:dyDescent="0.3">
      <c r="B575" s="4"/>
      <c r="C575" s="7"/>
    </row>
    <row r="576" spans="2:3" x14ac:dyDescent="0.3">
      <c r="B576" s="4"/>
      <c r="C576" s="7"/>
    </row>
    <row r="577" spans="2:3" x14ac:dyDescent="0.3">
      <c r="B577" s="4"/>
      <c r="C577" s="7"/>
    </row>
    <row r="578" spans="2:3" x14ac:dyDescent="0.3">
      <c r="B578" s="4"/>
      <c r="C578" s="7"/>
    </row>
    <row r="579" spans="2:3" x14ac:dyDescent="0.3">
      <c r="B579" s="4"/>
      <c r="C579" s="7"/>
    </row>
    <row r="580" spans="2:3" x14ac:dyDescent="0.3">
      <c r="B580" s="4"/>
      <c r="C580" s="7"/>
    </row>
    <row r="581" spans="2:3" x14ac:dyDescent="0.3">
      <c r="B581" s="4"/>
      <c r="C581" s="7"/>
    </row>
    <row r="582" spans="2:3" x14ac:dyDescent="0.3">
      <c r="B582" s="4"/>
      <c r="C582" s="7"/>
    </row>
    <row r="583" spans="2:3" x14ac:dyDescent="0.3">
      <c r="B583" s="4"/>
      <c r="C583" s="7"/>
    </row>
    <row r="584" spans="2:3" x14ac:dyDescent="0.3">
      <c r="B584" s="4"/>
      <c r="C584" s="7"/>
    </row>
    <row r="585" spans="2:3" x14ac:dyDescent="0.3">
      <c r="B585" s="4"/>
      <c r="C585" s="7"/>
    </row>
    <row r="586" spans="2:3" x14ac:dyDescent="0.3">
      <c r="B586" s="4"/>
      <c r="C586" s="7"/>
    </row>
    <row r="587" spans="2:3" x14ac:dyDescent="0.3">
      <c r="B587" s="4"/>
      <c r="C587" s="7"/>
    </row>
    <row r="588" spans="2:3" x14ac:dyDescent="0.3">
      <c r="B588" s="4"/>
      <c r="C588" s="7"/>
    </row>
    <row r="589" spans="2:3" x14ac:dyDescent="0.3">
      <c r="B589" s="4"/>
      <c r="C589" s="7"/>
    </row>
    <row r="590" spans="2:3" x14ac:dyDescent="0.3">
      <c r="B590" s="4"/>
      <c r="C590" s="7"/>
    </row>
    <row r="591" spans="2:3" x14ac:dyDescent="0.3">
      <c r="B591" s="4"/>
      <c r="C591" s="7"/>
    </row>
    <row r="592" spans="2:3" x14ac:dyDescent="0.3">
      <c r="B592" s="4"/>
      <c r="C592" s="7"/>
    </row>
    <row r="593" spans="2:3" x14ac:dyDescent="0.3">
      <c r="B593" s="4"/>
      <c r="C593" s="7"/>
    </row>
    <row r="594" spans="2:3" x14ac:dyDescent="0.3">
      <c r="B594" s="4"/>
      <c r="C594" s="7"/>
    </row>
    <row r="595" spans="2:3" x14ac:dyDescent="0.3">
      <c r="B595" s="4"/>
      <c r="C595" s="7"/>
    </row>
    <row r="596" spans="2:3" x14ac:dyDescent="0.3">
      <c r="B596" s="4"/>
      <c r="C596" s="7"/>
    </row>
    <row r="597" spans="2:3" x14ac:dyDescent="0.3">
      <c r="B597" s="4"/>
      <c r="C597" s="7"/>
    </row>
    <row r="598" spans="2:3" x14ac:dyDescent="0.3">
      <c r="B598" s="4"/>
      <c r="C598" s="7"/>
    </row>
    <row r="599" spans="2:3" x14ac:dyDescent="0.3">
      <c r="B599" s="4"/>
      <c r="C599" s="7"/>
    </row>
    <row r="600" spans="2:3" x14ac:dyDescent="0.3">
      <c r="B600" s="4"/>
      <c r="C600" s="7"/>
    </row>
    <row r="601" spans="2:3" x14ac:dyDescent="0.3">
      <c r="B601" s="4"/>
      <c r="C601" s="7"/>
    </row>
    <row r="602" spans="2:3" x14ac:dyDescent="0.3">
      <c r="B602" s="4"/>
      <c r="C602" s="7"/>
    </row>
    <row r="603" spans="2:3" x14ac:dyDescent="0.3">
      <c r="B603" s="4"/>
      <c r="C603" s="7"/>
    </row>
    <row r="604" spans="2:3" x14ac:dyDescent="0.3">
      <c r="B604" s="4"/>
      <c r="C604" s="7"/>
    </row>
    <row r="605" spans="2:3" x14ac:dyDescent="0.3">
      <c r="B605" s="4"/>
      <c r="C605" s="7"/>
    </row>
    <row r="606" spans="2:3" x14ac:dyDescent="0.3">
      <c r="B606" s="4"/>
      <c r="C606" s="7"/>
    </row>
    <row r="607" spans="2:3" x14ac:dyDescent="0.3">
      <c r="B607" s="4"/>
      <c r="C607" s="7"/>
    </row>
    <row r="608" spans="2:3" x14ac:dyDescent="0.3">
      <c r="B608" s="4"/>
      <c r="C608" s="7"/>
    </row>
    <row r="609" spans="2:3" x14ac:dyDescent="0.3">
      <c r="B609" s="4"/>
      <c r="C609" s="7"/>
    </row>
    <row r="610" spans="2:3" x14ac:dyDescent="0.3">
      <c r="B610" s="4"/>
      <c r="C610" s="7"/>
    </row>
    <row r="611" spans="2:3" x14ac:dyDescent="0.3">
      <c r="B611" s="4"/>
      <c r="C611" s="7"/>
    </row>
    <row r="612" spans="2:3" x14ac:dyDescent="0.3">
      <c r="B612" s="4"/>
      <c r="C612" s="7"/>
    </row>
    <row r="613" spans="2:3" x14ac:dyDescent="0.3">
      <c r="B613" s="4"/>
      <c r="C613" s="7"/>
    </row>
    <row r="614" spans="2:3" x14ac:dyDescent="0.3">
      <c r="B614" s="4"/>
      <c r="C614" s="7"/>
    </row>
    <row r="615" spans="2:3" x14ac:dyDescent="0.3">
      <c r="B615" s="4"/>
      <c r="C615" s="7"/>
    </row>
    <row r="616" spans="2:3" x14ac:dyDescent="0.3">
      <c r="B616" s="4"/>
      <c r="C616" s="7"/>
    </row>
    <row r="617" spans="2:3" x14ac:dyDescent="0.3">
      <c r="B617" s="4"/>
      <c r="C617" s="7"/>
    </row>
    <row r="618" spans="2:3" x14ac:dyDescent="0.3">
      <c r="B618" s="4"/>
      <c r="C618" s="7"/>
    </row>
    <row r="619" spans="2:3" x14ac:dyDescent="0.3">
      <c r="B619" s="4"/>
      <c r="C619" s="7"/>
    </row>
    <row r="620" spans="2:3" x14ac:dyDescent="0.3">
      <c r="B620" s="4"/>
      <c r="C620" s="7"/>
    </row>
    <row r="621" spans="2:3" x14ac:dyDescent="0.3">
      <c r="B621" s="4"/>
      <c r="C621" s="7"/>
    </row>
    <row r="622" spans="2:3" x14ac:dyDescent="0.3">
      <c r="B622" s="4"/>
      <c r="C622" s="7"/>
    </row>
    <row r="623" spans="2:3" x14ac:dyDescent="0.3">
      <c r="B623" s="4"/>
      <c r="C623" s="7"/>
    </row>
    <row r="624" spans="2:3" x14ac:dyDescent="0.3">
      <c r="B624" s="4"/>
      <c r="C624" s="7"/>
    </row>
    <row r="625" spans="2:3" x14ac:dyDescent="0.3">
      <c r="B625" s="4"/>
      <c r="C625" s="7"/>
    </row>
    <row r="626" spans="2:3" x14ac:dyDescent="0.3">
      <c r="B626" s="4"/>
      <c r="C626" s="7"/>
    </row>
    <row r="627" spans="2:3" x14ac:dyDescent="0.3">
      <c r="B627" s="4"/>
      <c r="C627" s="7"/>
    </row>
    <row r="628" spans="2:3" x14ac:dyDescent="0.3">
      <c r="B628" s="4"/>
      <c r="C628" s="7"/>
    </row>
    <row r="629" spans="2:3" x14ac:dyDescent="0.3">
      <c r="B629" s="4"/>
      <c r="C629" s="7"/>
    </row>
    <row r="630" spans="2:3" x14ac:dyDescent="0.3">
      <c r="B630" s="4"/>
      <c r="C630" s="7"/>
    </row>
    <row r="631" spans="2:3" x14ac:dyDescent="0.3">
      <c r="B631" s="4"/>
      <c r="C631" s="7"/>
    </row>
    <row r="632" spans="2:3" x14ac:dyDescent="0.3">
      <c r="B632" s="4"/>
      <c r="C632" s="7"/>
    </row>
    <row r="633" spans="2:3" x14ac:dyDescent="0.3">
      <c r="B633" s="4"/>
      <c r="C633" s="7"/>
    </row>
    <row r="634" spans="2:3" x14ac:dyDescent="0.3">
      <c r="B634" s="4"/>
      <c r="C634" s="7"/>
    </row>
    <row r="635" spans="2:3" x14ac:dyDescent="0.3">
      <c r="B635" s="4"/>
      <c r="C635" s="7"/>
    </row>
    <row r="636" spans="2:3" x14ac:dyDescent="0.3">
      <c r="B636" s="4"/>
      <c r="C636" s="7"/>
    </row>
    <row r="637" spans="2:3" x14ac:dyDescent="0.3">
      <c r="B637" s="4"/>
      <c r="C637" s="7"/>
    </row>
    <row r="638" spans="2:3" x14ac:dyDescent="0.3">
      <c r="B638" s="4"/>
      <c r="C638" s="7"/>
    </row>
    <row r="639" spans="2:3" x14ac:dyDescent="0.3">
      <c r="B639" s="4"/>
      <c r="C639" s="7"/>
    </row>
    <row r="640" spans="2:3" x14ac:dyDescent="0.3">
      <c r="B640" s="4"/>
      <c r="C640" s="7"/>
    </row>
    <row r="641" spans="2:3" x14ac:dyDescent="0.3">
      <c r="B641" s="4"/>
      <c r="C641" s="7"/>
    </row>
    <row r="642" spans="2:3" x14ac:dyDescent="0.3">
      <c r="B642" s="4"/>
      <c r="C642" s="7"/>
    </row>
    <row r="643" spans="2:3" x14ac:dyDescent="0.3">
      <c r="B643" s="4"/>
      <c r="C643" s="7"/>
    </row>
    <row r="644" spans="2:3" x14ac:dyDescent="0.3">
      <c r="B644" s="4"/>
      <c r="C644" s="7"/>
    </row>
    <row r="645" spans="2:3" x14ac:dyDescent="0.3">
      <c r="B645" s="4"/>
      <c r="C645" s="7"/>
    </row>
    <row r="646" spans="2:3" x14ac:dyDescent="0.3">
      <c r="B646" s="4"/>
      <c r="C646" s="7"/>
    </row>
    <row r="647" spans="2:3" x14ac:dyDescent="0.3">
      <c r="B647" s="4"/>
      <c r="C647" s="7"/>
    </row>
    <row r="648" spans="2:3" x14ac:dyDescent="0.3">
      <c r="B648" s="4"/>
      <c r="C648" s="7"/>
    </row>
    <row r="649" spans="2:3" x14ac:dyDescent="0.3">
      <c r="B649" s="4"/>
      <c r="C649" s="7"/>
    </row>
    <row r="650" spans="2:3" x14ac:dyDescent="0.3">
      <c r="B650" s="4"/>
      <c r="C650" s="7"/>
    </row>
    <row r="651" spans="2:3" x14ac:dyDescent="0.3">
      <c r="B651" s="4"/>
      <c r="C651" s="7"/>
    </row>
    <row r="652" spans="2:3" x14ac:dyDescent="0.3">
      <c r="B652" s="4"/>
      <c r="C652" s="7"/>
    </row>
    <row r="653" spans="2:3" x14ac:dyDescent="0.3">
      <c r="B653" s="4"/>
      <c r="C653" s="7"/>
    </row>
    <row r="654" spans="2:3" x14ac:dyDescent="0.3">
      <c r="B654" s="4"/>
      <c r="C654" s="7"/>
    </row>
    <row r="655" spans="2:3" x14ac:dyDescent="0.3">
      <c r="B655" s="4"/>
      <c r="C655" s="7"/>
    </row>
    <row r="656" spans="2:3" x14ac:dyDescent="0.3">
      <c r="B656" s="4"/>
      <c r="C656" s="7"/>
    </row>
    <row r="657" spans="2:3" x14ac:dyDescent="0.3">
      <c r="B657" s="4"/>
      <c r="C657" s="7"/>
    </row>
    <row r="658" spans="2:3" x14ac:dyDescent="0.3">
      <c r="B658" s="4"/>
      <c r="C658" s="7"/>
    </row>
    <row r="659" spans="2:3" x14ac:dyDescent="0.3">
      <c r="B659" s="4"/>
      <c r="C659" s="7"/>
    </row>
    <row r="660" spans="2:3" x14ac:dyDescent="0.3">
      <c r="B660" s="4"/>
      <c r="C660" s="7"/>
    </row>
    <row r="661" spans="2:3" x14ac:dyDescent="0.3">
      <c r="B661" s="4"/>
      <c r="C661" s="7"/>
    </row>
    <row r="662" spans="2:3" x14ac:dyDescent="0.3">
      <c r="B662" s="4"/>
      <c r="C662" s="7"/>
    </row>
    <row r="663" spans="2:3" x14ac:dyDescent="0.3">
      <c r="B663" s="4"/>
      <c r="C663" s="7"/>
    </row>
    <row r="664" spans="2:3" x14ac:dyDescent="0.3">
      <c r="B664" s="4"/>
      <c r="C664" s="7"/>
    </row>
    <row r="665" spans="2:3" x14ac:dyDescent="0.3">
      <c r="B665" s="4"/>
      <c r="C665" s="7"/>
    </row>
    <row r="666" spans="2:3" x14ac:dyDescent="0.3">
      <c r="B666" s="4"/>
      <c r="C666" s="7"/>
    </row>
    <row r="667" spans="2:3" x14ac:dyDescent="0.3">
      <c r="B667" s="4"/>
      <c r="C667" s="7"/>
    </row>
    <row r="668" spans="2:3" x14ac:dyDescent="0.3">
      <c r="B668" s="4"/>
      <c r="C668" s="7"/>
    </row>
    <row r="669" spans="2:3" x14ac:dyDescent="0.3">
      <c r="B669" s="4"/>
      <c r="C669" s="7"/>
    </row>
    <row r="670" spans="2:3" x14ac:dyDescent="0.3">
      <c r="B670" s="4"/>
      <c r="C670" s="7"/>
    </row>
    <row r="671" spans="2:3" x14ac:dyDescent="0.3">
      <c r="B671" s="4"/>
      <c r="C671" s="7"/>
    </row>
    <row r="672" spans="2:3" x14ac:dyDescent="0.3">
      <c r="B672" s="4"/>
      <c r="C672" s="7"/>
    </row>
    <row r="673" spans="2:3" x14ac:dyDescent="0.3">
      <c r="B673" s="4"/>
      <c r="C673" s="7"/>
    </row>
    <row r="674" spans="2:3" x14ac:dyDescent="0.3">
      <c r="B674" s="4"/>
      <c r="C674" s="7"/>
    </row>
    <row r="675" spans="2:3" x14ac:dyDescent="0.3">
      <c r="B675" s="4"/>
      <c r="C675" s="7"/>
    </row>
    <row r="676" spans="2:3" x14ac:dyDescent="0.3">
      <c r="B676" s="4"/>
      <c r="C676" s="7"/>
    </row>
    <row r="677" spans="2:3" x14ac:dyDescent="0.3">
      <c r="B677" s="4"/>
      <c r="C677" s="7"/>
    </row>
    <row r="678" spans="2:3" x14ac:dyDescent="0.3">
      <c r="B678" s="4"/>
      <c r="C678" s="7"/>
    </row>
    <row r="679" spans="2:3" x14ac:dyDescent="0.3">
      <c r="B679" s="4"/>
      <c r="C679" s="7"/>
    </row>
    <row r="680" spans="2:3" x14ac:dyDescent="0.3">
      <c r="B680" s="4"/>
      <c r="C680" s="7"/>
    </row>
    <row r="681" spans="2:3" x14ac:dyDescent="0.3">
      <c r="B681" s="4"/>
      <c r="C681" s="7"/>
    </row>
    <row r="682" spans="2:3" x14ac:dyDescent="0.3">
      <c r="B682" s="4"/>
      <c r="C682" s="7"/>
    </row>
    <row r="683" spans="2:3" x14ac:dyDescent="0.3">
      <c r="B683" s="4"/>
      <c r="C683" s="7"/>
    </row>
    <row r="684" spans="2:3" x14ac:dyDescent="0.3">
      <c r="B684" s="4"/>
      <c r="C684" s="7"/>
    </row>
    <row r="685" spans="2:3" x14ac:dyDescent="0.3">
      <c r="B685" s="4"/>
      <c r="C685" s="7"/>
    </row>
    <row r="686" spans="2:3" x14ac:dyDescent="0.3">
      <c r="B686" s="4"/>
      <c r="C686" s="7"/>
    </row>
    <row r="687" spans="2:3" x14ac:dyDescent="0.3">
      <c r="B687" s="4"/>
      <c r="C687" s="7"/>
    </row>
    <row r="688" spans="2:3" x14ac:dyDescent="0.3">
      <c r="B688" s="4"/>
      <c r="C688" s="7"/>
    </row>
    <row r="689" spans="2:3" x14ac:dyDescent="0.3">
      <c r="B689" s="4"/>
      <c r="C689" s="7"/>
    </row>
    <row r="690" spans="2:3" x14ac:dyDescent="0.3">
      <c r="B690" s="4"/>
      <c r="C690" s="7"/>
    </row>
    <row r="691" spans="2:3" x14ac:dyDescent="0.3">
      <c r="B691" s="4"/>
      <c r="C691" s="7"/>
    </row>
    <row r="692" spans="2:3" x14ac:dyDescent="0.3">
      <c r="B692" s="4"/>
      <c r="C692" s="7"/>
    </row>
    <row r="693" spans="2:3" x14ac:dyDescent="0.3">
      <c r="B693" s="4"/>
      <c r="C693" s="7"/>
    </row>
    <row r="694" spans="2:3" x14ac:dyDescent="0.3">
      <c r="B694" s="4"/>
      <c r="C694" s="7"/>
    </row>
    <row r="695" spans="2:3" x14ac:dyDescent="0.3">
      <c r="B695" s="4"/>
      <c r="C695" s="7"/>
    </row>
    <row r="696" spans="2:3" x14ac:dyDescent="0.3">
      <c r="B696" s="4"/>
      <c r="C696" s="7"/>
    </row>
    <row r="697" spans="2:3" x14ac:dyDescent="0.3">
      <c r="B697" s="4"/>
      <c r="C697" s="7"/>
    </row>
    <row r="698" spans="2:3" x14ac:dyDescent="0.3">
      <c r="B698" s="4"/>
      <c r="C698" s="7"/>
    </row>
    <row r="699" spans="2:3" x14ac:dyDescent="0.3">
      <c r="B699" s="4"/>
      <c r="C699" s="7"/>
    </row>
    <row r="700" spans="2:3" x14ac:dyDescent="0.3">
      <c r="B700" s="4"/>
      <c r="C700" s="7"/>
    </row>
    <row r="701" spans="2:3" x14ac:dyDescent="0.3">
      <c r="B701" s="4"/>
      <c r="C701" s="7"/>
    </row>
    <row r="702" spans="2:3" x14ac:dyDescent="0.3">
      <c r="B702" s="4"/>
      <c r="C702" s="7"/>
    </row>
    <row r="703" spans="2:3" x14ac:dyDescent="0.3">
      <c r="B703" s="4"/>
      <c r="C703" s="7"/>
    </row>
    <row r="704" spans="2:3" x14ac:dyDescent="0.3">
      <c r="B704" s="4"/>
      <c r="C704" s="7"/>
    </row>
    <row r="705" spans="2:3" x14ac:dyDescent="0.3">
      <c r="B705" s="4"/>
      <c r="C705" s="7"/>
    </row>
    <row r="706" spans="2:3" x14ac:dyDescent="0.3">
      <c r="B706" s="4"/>
      <c r="C706" s="7"/>
    </row>
    <row r="707" spans="2:3" x14ac:dyDescent="0.3">
      <c r="B707" s="4"/>
      <c r="C707" s="7"/>
    </row>
    <row r="708" spans="2:3" x14ac:dyDescent="0.3">
      <c r="B708" s="4"/>
      <c r="C708" s="7"/>
    </row>
    <row r="709" spans="2:3" x14ac:dyDescent="0.3">
      <c r="B709" s="4"/>
      <c r="C709" s="7"/>
    </row>
    <row r="710" spans="2:3" x14ac:dyDescent="0.3">
      <c r="B710" s="4"/>
      <c r="C710" s="7"/>
    </row>
    <row r="711" spans="2:3" x14ac:dyDescent="0.3">
      <c r="B711" s="4"/>
      <c r="C711" s="7"/>
    </row>
    <row r="712" spans="2:3" x14ac:dyDescent="0.3">
      <c r="B712" s="4"/>
      <c r="C712" s="7"/>
    </row>
    <row r="713" spans="2:3" x14ac:dyDescent="0.3">
      <c r="B713" s="4"/>
      <c r="C713" s="7"/>
    </row>
    <row r="714" spans="2:3" x14ac:dyDescent="0.3">
      <c r="B714" s="4"/>
      <c r="C714" s="7"/>
    </row>
    <row r="715" spans="2:3" x14ac:dyDescent="0.3">
      <c r="B715" s="4"/>
      <c r="C715" s="7"/>
    </row>
    <row r="716" spans="2:3" x14ac:dyDescent="0.3">
      <c r="B716" s="4"/>
      <c r="C716" s="7"/>
    </row>
    <row r="717" spans="2:3" x14ac:dyDescent="0.3">
      <c r="B717" s="4"/>
      <c r="C717" s="7"/>
    </row>
    <row r="718" spans="2:3" x14ac:dyDescent="0.3">
      <c r="B718" s="4"/>
      <c r="C718" s="7"/>
    </row>
    <row r="719" spans="2:3" x14ac:dyDescent="0.3">
      <c r="B719" s="4"/>
      <c r="C719" s="7"/>
    </row>
    <row r="720" spans="2:3" x14ac:dyDescent="0.3">
      <c r="B720" s="4"/>
      <c r="C720" s="7"/>
    </row>
    <row r="721" spans="2:3" x14ac:dyDescent="0.3">
      <c r="B721" s="4"/>
      <c r="C721" s="7"/>
    </row>
    <row r="722" spans="2:3" x14ac:dyDescent="0.3">
      <c r="B722" s="4"/>
      <c r="C722" s="7"/>
    </row>
    <row r="723" spans="2:3" x14ac:dyDescent="0.3">
      <c r="B723" s="4"/>
      <c r="C723" s="7"/>
    </row>
    <row r="724" spans="2:3" x14ac:dyDescent="0.3">
      <c r="B724" s="4"/>
      <c r="C724" s="7"/>
    </row>
    <row r="725" spans="2:3" x14ac:dyDescent="0.3">
      <c r="B725" s="4"/>
      <c r="C725" s="7"/>
    </row>
    <row r="726" spans="2:3" x14ac:dyDescent="0.3">
      <c r="B726" s="4"/>
      <c r="C726" s="7"/>
    </row>
    <row r="727" spans="2:3" x14ac:dyDescent="0.3">
      <c r="B727" s="4"/>
      <c r="C727" s="7"/>
    </row>
    <row r="728" spans="2:3" x14ac:dyDescent="0.3">
      <c r="B728" s="4"/>
      <c r="C728" s="7"/>
    </row>
    <row r="729" spans="2:3" x14ac:dyDescent="0.3">
      <c r="B729" s="4"/>
      <c r="C729" s="7"/>
    </row>
    <row r="730" spans="2:3" x14ac:dyDescent="0.3">
      <c r="B730" s="4"/>
      <c r="C73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59CF-CFDB-4108-A151-07289D0322FF}">
  <dimension ref="A1:XEU730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  <col min="13" max="16375" width="15.77734375" style="21"/>
  </cols>
  <sheetData>
    <row r="1" spans="1:16375" x14ac:dyDescent="0.3">
      <c r="A1" s="1" t="s">
        <v>1</v>
      </c>
      <c r="B1" s="5" t="e" vm="1">
        <v>#VALUE!</v>
      </c>
      <c r="C1" s="5" t="s">
        <v>4</v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</row>
    <row r="2" spans="1:16375" x14ac:dyDescent="0.3">
      <c r="A2" cm="1" vm="1458">
        <f t="array" aca="1" ref="A2:B38" ca="1">_xlfn.STOCKHISTORY(B1,$F$2,$F$3,2,0,0,1)</f>
        <v>45139</v>
      </c>
      <c r="B2" s="4" vm="3">
        <f ca="1"/>
        <v>19253.8</v>
      </c>
      <c r="E2" s="2" t="s">
        <v>2</v>
      </c>
      <c r="F2" s="3">
        <f ca="1">EOMONTH(F3,-36)</f>
        <v>45169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</row>
    <row r="3" spans="1:16375" x14ac:dyDescent="0.3">
      <c r="A3" vm="4">
        <f ca="1"/>
        <v>45170</v>
      </c>
      <c r="B3" s="4" vm="43">
        <f ca="1"/>
        <v>19638.3</v>
      </c>
      <c r="C3" s="7">
        <f ca="1">B3/B2-1</f>
        <v>1.9970083827608009E-2</v>
      </c>
      <c r="E3" s="2" t="s">
        <v>3</v>
      </c>
      <c r="F3" s="3">
        <f ca="1">TODAY()</f>
        <v>46245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</row>
    <row r="4" spans="1:16375" ht="15" thickBot="1" x14ac:dyDescent="0.35">
      <c r="A4" vm="1459">
        <f ca="1"/>
        <v>45200</v>
      </c>
      <c r="B4" s="4" vm="83">
        <f ca="1"/>
        <v>19079.599999999999</v>
      </c>
      <c r="C4" s="7">
        <f t="shared" ref="C4:C67" ca="1" si="0">B4/B3-1</f>
        <v>-2.844950937708457E-2</v>
      </c>
      <c r="I4" s="5" t="s">
        <v>19</v>
      </c>
      <c r="J4" s="5" t="s">
        <v>18</v>
      </c>
      <c r="K4" s="5"/>
      <c r="M4" s="20"/>
      <c r="N4" s="20"/>
      <c r="O4" s="20"/>
      <c r="P4" s="20"/>
      <c r="Q4" s="20"/>
      <c r="R4" s="20"/>
    </row>
    <row r="5" spans="1:16375" x14ac:dyDescent="0.3">
      <c r="A5" vm="84">
        <f ca="1"/>
        <v>45231</v>
      </c>
      <c r="B5" s="4" vm="125">
        <f ca="1"/>
        <v>20133.150000000001</v>
      </c>
      <c r="C5" s="7">
        <f t="shared" ca="1" si="0"/>
        <v>5.5218662865049728E-2</v>
      </c>
      <c r="E5" s="10" t="s">
        <v>4</v>
      </c>
      <c r="F5" s="10"/>
      <c r="H5" s="1" t="s">
        <v>20</v>
      </c>
      <c r="I5" s="14">
        <f ca="1">AVERAGE(C3:C38)</f>
        <v>7.5655396889297228E-3</v>
      </c>
      <c r="J5" s="7">
        <f ca="1">I5*12</f>
        <v>9.0786476267156677E-2</v>
      </c>
      <c r="M5" s="20"/>
      <c r="N5" s="20"/>
      <c r="O5" s="20"/>
      <c r="P5" s="20"/>
      <c r="Q5" s="20"/>
      <c r="R5" s="20"/>
    </row>
    <row r="6" spans="1:16375" x14ac:dyDescent="0.3">
      <c r="A6" vm="126">
        <f ca="1"/>
        <v>45261</v>
      </c>
      <c r="B6" s="4" vm="165">
        <f ca="1"/>
        <v>21731.4</v>
      </c>
      <c r="C6" s="7">
        <f t="shared" ca="1" si="0"/>
        <v>7.9384001013254268E-2</v>
      </c>
      <c r="E6" s="8"/>
      <c r="F6" s="8"/>
      <c r="H6" s="1" t="s">
        <v>9</v>
      </c>
      <c r="I6" s="7">
        <f ca="1">_xlfn.STDEV.S(C3:C38)</f>
        <v>3.9160683132705279E-2</v>
      </c>
      <c r="J6" s="7">
        <f ca="1">I6*SQRT(12)</f>
        <v>0.13565658568990216</v>
      </c>
      <c r="M6" s="20"/>
      <c r="N6" s="20"/>
      <c r="O6" s="20"/>
      <c r="P6" s="20"/>
      <c r="Q6" s="20"/>
      <c r="R6" s="20"/>
    </row>
    <row r="7" spans="1:16375" x14ac:dyDescent="0.3">
      <c r="A7" vm="166">
        <f ca="1"/>
        <v>45292</v>
      </c>
      <c r="B7" s="4" vm="209">
        <f ca="1"/>
        <v>21725.7</v>
      </c>
      <c r="C7" s="7">
        <f t="shared" ca="1" si="0"/>
        <v>-2.6229327148741266E-4</v>
      </c>
      <c r="E7" s="8" t="s">
        <v>5</v>
      </c>
      <c r="F7" s="8">
        <v>7.5655396889297228E-3</v>
      </c>
      <c r="H7" s="1" t="s">
        <v>21</v>
      </c>
      <c r="I7" s="4"/>
      <c r="J7" s="4">
        <f ca="1">J5/J6</f>
        <v>0.66923751475424709</v>
      </c>
      <c r="M7" s="20"/>
      <c r="N7" s="20"/>
      <c r="O7" s="20"/>
      <c r="P7" s="20"/>
      <c r="Q7" s="20"/>
      <c r="R7" s="20"/>
    </row>
    <row r="8" spans="1:16375" x14ac:dyDescent="0.3">
      <c r="A8" vm="210">
        <f ca="1"/>
        <v>45323</v>
      </c>
      <c r="B8" s="4" vm="251">
        <f ca="1"/>
        <v>21982.799999999999</v>
      </c>
      <c r="C8" s="7">
        <f t="shared" ca="1" si="0"/>
        <v>1.1833910990209695E-2</v>
      </c>
      <c r="E8" s="8" t="s">
        <v>6</v>
      </c>
      <c r="F8" s="8">
        <v>6.5267805221175465E-3</v>
      </c>
      <c r="M8" s="20"/>
      <c r="N8" s="20"/>
      <c r="O8" s="20"/>
      <c r="P8" s="20"/>
      <c r="Q8" s="20"/>
      <c r="R8" s="20"/>
    </row>
    <row r="9" spans="1:16375" x14ac:dyDescent="0.3">
      <c r="A9" vm="252">
        <f ca="1"/>
        <v>45352</v>
      </c>
      <c r="B9" s="4" vm="289">
        <f ca="1"/>
        <v>22326.9</v>
      </c>
      <c r="C9" s="7">
        <f t="shared" ca="1" si="0"/>
        <v>1.5653147005840973E-2</v>
      </c>
      <c r="E9" s="8" t="s">
        <v>7</v>
      </c>
      <c r="F9" s="8">
        <v>1.1623105311846738E-2</v>
      </c>
      <c r="M9" s="20"/>
      <c r="N9" s="20"/>
      <c r="O9" s="20"/>
      <c r="P9" s="20"/>
      <c r="Q9" s="20"/>
      <c r="R9" s="20"/>
    </row>
    <row r="10" spans="1:16375" x14ac:dyDescent="0.3">
      <c r="A10" vm="290">
        <f ca="1"/>
        <v>45383</v>
      </c>
      <c r="B10" s="4" vm="329">
        <f ca="1"/>
        <v>22604.85</v>
      </c>
      <c r="C10" s="7">
        <f t="shared" ca="1" si="0"/>
        <v>1.2449108474530624E-2</v>
      </c>
      <c r="E10" s="8" t="s">
        <v>8</v>
      </c>
      <c r="F10" s="8" t="e">
        <v>#N/A</v>
      </c>
      <c r="I10" s="5" t="s">
        <v>23</v>
      </c>
      <c r="J10" s="5" t="s">
        <v>24</v>
      </c>
      <c r="K10" s="5" t="s">
        <v>25</v>
      </c>
      <c r="M10" s="20"/>
      <c r="N10" s="20"/>
      <c r="O10" s="20"/>
      <c r="P10" s="20"/>
      <c r="Q10" s="20"/>
      <c r="R10" s="20"/>
    </row>
    <row r="11" spans="1:16375" x14ac:dyDescent="0.3">
      <c r="A11" vm="1460">
        <f ca="1"/>
        <v>45413</v>
      </c>
      <c r="B11" s="4" vm="372">
        <f ca="1"/>
        <v>22530.7</v>
      </c>
      <c r="C11" s="7">
        <f t="shared" ca="1" si="0"/>
        <v>-3.2802694996869608E-3</v>
      </c>
      <c r="E11" s="8" t="s">
        <v>9</v>
      </c>
      <c r="F11" s="8">
        <v>3.9160683132705279E-2</v>
      </c>
      <c r="H11" s="15">
        <v>1</v>
      </c>
      <c r="I11" s="7">
        <f ca="1">$I$5-$I$6*$H11</f>
        <v>-3.1595143443775557E-2</v>
      </c>
      <c r="J11" s="7">
        <f ca="1">$I$5+$I$6*$H11</f>
        <v>4.6726222821635001E-2</v>
      </c>
      <c r="K11" s="22">
        <v>0.68</v>
      </c>
      <c r="M11" s="20"/>
      <c r="N11" s="20"/>
      <c r="O11" s="20"/>
      <c r="P11" s="20"/>
      <c r="Q11" s="20"/>
      <c r="R11" s="20"/>
    </row>
    <row r="12" spans="1:16375" x14ac:dyDescent="0.3">
      <c r="A12" vm="1461">
        <f ca="1"/>
        <v>45444</v>
      </c>
      <c r="B12" s="4" vm="410">
        <f ca="1"/>
        <v>24010.6</v>
      </c>
      <c r="C12" s="7">
        <f t="shared" ca="1" si="0"/>
        <v>6.5683711558007341E-2</v>
      </c>
      <c r="E12" s="8" t="s">
        <v>10</v>
      </c>
      <c r="F12" s="8">
        <v>1.5335591034201478E-3</v>
      </c>
      <c r="H12" s="15">
        <v>2</v>
      </c>
      <c r="I12" s="7">
        <f ca="1">$I$5-$I$6*$H12</f>
        <v>-7.0755826576480829E-2</v>
      </c>
      <c r="J12" s="7">
        <f ca="1">$I$5+$I$6*$H12</f>
        <v>8.5886905954340287E-2</v>
      </c>
      <c r="K12" s="22">
        <v>0.95</v>
      </c>
      <c r="M12" s="20"/>
      <c r="N12" s="20"/>
      <c r="O12" s="20"/>
      <c r="P12" s="20"/>
      <c r="Q12" s="20"/>
      <c r="R12" s="20"/>
    </row>
    <row r="13" spans="1:16375" x14ac:dyDescent="0.3">
      <c r="A13" vm="411">
        <f ca="1"/>
        <v>45474</v>
      </c>
      <c r="B13" s="4" vm="454">
        <f ca="1"/>
        <v>24951.15</v>
      </c>
      <c r="C13" s="7">
        <f t="shared" ca="1" si="0"/>
        <v>3.917228224200997E-2</v>
      </c>
      <c r="E13" s="8" t="s">
        <v>11</v>
      </c>
      <c r="F13" s="8">
        <v>1.6134665200235494</v>
      </c>
      <c r="H13" s="15">
        <v>3</v>
      </c>
      <c r="I13" s="7">
        <f ca="1">$I$5-$I$6*$H13</f>
        <v>-0.10991650970918611</v>
      </c>
      <c r="J13" s="7">
        <f ca="1">$I$5+$I$6*$H13</f>
        <v>0.12504758908704555</v>
      </c>
      <c r="K13" s="22">
        <v>0.99</v>
      </c>
      <c r="M13" s="20"/>
      <c r="N13" s="20"/>
      <c r="O13" s="20"/>
      <c r="P13" s="20"/>
      <c r="Q13" s="20"/>
      <c r="R13" s="20"/>
    </row>
    <row r="14" spans="1:16375" x14ac:dyDescent="0.3">
      <c r="A14" vm="455">
        <f ca="1"/>
        <v>45505</v>
      </c>
      <c r="B14" s="4" vm="496">
        <f ca="1"/>
        <v>25235.9</v>
      </c>
      <c r="C14" s="7">
        <f t="shared" ca="1" si="0"/>
        <v>1.141229963348378E-2</v>
      </c>
      <c r="E14" s="8" t="s">
        <v>12</v>
      </c>
      <c r="F14" s="8">
        <v>-0.66753079566250328</v>
      </c>
      <c r="M14" s="20"/>
      <c r="N14" s="20"/>
      <c r="O14" s="20"/>
      <c r="P14" s="20"/>
      <c r="Q14" s="20"/>
      <c r="R14" s="20"/>
    </row>
    <row r="15" spans="1:16375" x14ac:dyDescent="0.3">
      <c r="A15" vm="1462">
        <f ca="1"/>
        <v>45536</v>
      </c>
      <c r="B15" s="4" vm="538">
        <f ca="1"/>
        <v>25810.85</v>
      </c>
      <c r="C15" s="7">
        <f t="shared" ca="1" si="0"/>
        <v>2.2783019428670892E-2</v>
      </c>
      <c r="E15" s="8" t="s">
        <v>13</v>
      </c>
      <c r="F15" s="8">
        <v>0.19246591763706056</v>
      </c>
      <c r="M15" s="20"/>
      <c r="N15" s="20"/>
      <c r="O15" s="20"/>
      <c r="P15" s="20"/>
      <c r="Q15" s="20"/>
      <c r="R15" s="20"/>
    </row>
    <row r="16" spans="1:16375" x14ac:dyDescent="0.3">
      <c r="A16" vm="539">
        <f ca="1"/>
        <v>45566</v>
      </c>
      <c r="B16" s="4" vm="582">
        <f ca="1"/>
        <v>24205.35</v>
      </c>
      <c r="C16" s="7">
        <f t="shared" ca="1" si="0"/>
        <v>-6.2202523357425266E-2</v>
      </c>
      <c r="E16" s="8" t="s">
        <v>14</v>
      </c>
      <c r="F16" s="8">
        <v>-0.11308191662380629</v>
      </c>
      <c r="M16" s="20"/>
      <c r="N16" s="20"/>
      <c r="O16" s="20"/>
      <c r="P16" s="20"/>
      <c r="Q16" s="20"/>
      <c r="R16" s="20"/>
    </row>
    <row r="17" spans="1:18" x14ac:dyDescent="0.3">
      <c r="A17" vm="583">
        <f ca="1"/>
        <v>45597</v>
      </c>
      <c r="B17" s="4" vm="620">
        <f ca="1"/>
        <v>24131.1</v>
      </c>
      <c r="C17" s="7">
        <f t="shared" ca="1" si="0"/>
        <v>-3.0675036717089377E-3</v>
      </c>
      <c r="E17" s="8" t="s">
        <v>15</v>
      </c>
      <c r="F17" s="8">
        <v>7.9384001013254268E-2</v>
      </c>
      <c r="M17" s="20"/>
      <c r="N17" s="20"/>
      <c r="O17" s="20"/>
      <c r="P17" s="20"/>
      <c r="Q17" s="20"/>
      <c r="R17" s="20"/>
    </row>
    <row r="18" spans="1:18" x14ac:dyDescent="0.3">
      <c r="A18" vm="1463">
        <f ca="1"/>
        <v>45627</v>
      </c>
      <c r="B18" s="4" vm="662">
        <f ca="1"/>
        <v>23644.799999999999</v>
      </c>
      <c r="C18" s="7">
        <f t="shared" ca="1" si="0"/>
        <v>-2.0152417419844082E-2</v>
      </c>
      <c r="E18" s="8" t="s">
        <v>16</v>
      </c>
      <c r="F18" s="8">
        <v>0.27235942880147002</v>
      </c>
      <c r="M18" s="20"/>
      <c r="N18" s="20"/>
      <c r="O18" s="20"/>
      <c r="P18" s="20"/>
      <c r="Q18" s="20"/>
      <c r="R18" s="20"/>
    </row>
    <row r="19" spans="1:18" ht="15" thickBot="1" x14ac:dyDescent="0.35">
      <c r="A19" vm="663">
        <f ca="1"/>
        <v>45658</v>
      </c>
      <c r="B19" s="4" vm="708">
        <f ca="1"/>
        <v>23508.400000000001</v>
      </c>
      <c r="C19" s="7">
        <f t="shared" ca="1" si="0"/>
        <v>-5.7687102449586192E-3</v>
      </c>
      <c r="E19" s="9" t="s">
        <v>17</v>
      </c>
      <c r="F19" s="9">
        <v>36</v>
      </c>
      <c r="M19" s="20"/>
      <c r="N19" s="20"/>
      <c r="O19" s="20"/>
      <c r="P19" s="20"/>
      <c r="Q19" s="20"/>
      <c r="R19" s="20"/>
    </row>
    <row r="20" spans="1:18" x14ac:dyDescent="0.3">
      <c r="A20" vm="709">
        <f ca="1"/>
        <v>45689</v>
      </c>
      <c r="B20" s="4" vm="748">
        <f ca="1"/>
        <v>22124.7</v>
      </c>
      <c r="C20" s="7">
        <f t="shared" ca="1" si="0"/>
        <v>-5.8859811811948104E-2</v>
      </c>
      <c r="M20" s="20"/>
      <c r="N20" s="20"/>
      <c r="O20" s="20"/>
      <c r="P20" s="20"/>
      <c r="Q20" s="20"/>
      <c r="R20" s="20"/>
    </row>
    <row r="21" spans="1:18" x14ac:dyDescent="0.3">
      <c r="A21" vm="1464">
        <f ca="1"/>
        <v>45717</v>
      </c>
      <c r="B21" s="4" vm="786">
        <f ca="1"/>
        <v>23519.35</v>
      </c>
      <c r="C21" s="7">
        <f t="shared" ca="1" si="0"/>
        <v>6.3035882972424462E-2</v>
      </c>
      <c r="M21" s="20"/>
      <c r="N21" s="20"/>
      <c r="O21" s="20"/>
      <c r="P21" s="20"/>
      <c r="Q21" s="20"/>
      <c r="R21" s="20"/>
    </row>
    <row r="22" spans="1:18" x14ac:dyDescent="0.3">
      <c r="A22" vm="787">
        <f ca="1"/>
        <v>45748</v>
      </c>
      <c r="B22" s="4" vm="824">
        <f ca="1"/>
        <v>24334.2</v>
      </c>
      <c r="C22" s="7">
        <f t="shared" ca="1" si="0"/>
        <v>3.4645940470293679E-2</v>
      </c>
      <c r="M22" s="20"/>
      <c r="N22" s="20"/>
      <c r="O22" s="20"/>
      <c r="P22" s="20"/>
      <c r="Q22" s="20"/>
      <c r="R22" s="20"/>
    </row>
    <row r="23" spans="1:18" x14ac:dyDescent="0.3">
      <c r="A23" vm="1465">
        <f ca="1"/>
        <v>45778</v>
      </c>
      <c r="B23" s="4" vm="866">
        <f ca="1"/>
        <v>24750.7</v>
      </c>
      <c r="C23" s="7">
        <f t="shared" ca="1" si="0"/>
        <v>1.7115828751304685E-2</v>
      </c>
      <c r="M23" s="20"/>
      <c r="N23" s="20"/>
      <c r="O23" s="20"/>
      <c r="P23" s="20"/>
      <c r="Q23" s="20"/>
      <c r="R23" s="20"/>
    </row>
    <row r="24" spans="1:18" x14ac:dyDescent="0.3">
      <c r="A24" vm="1466">
        <f ca="1"/>
        <v>45809</v>
      </c>
      <c r="B24" s="4" vm="908">
        <f ca="1"/>
        <v>25517.05</v>
      </c>
      <c r="C24" s="7">
        <f t="shared" ca="1" si="0"/>
        <v>3.0962760649193788E-2</v>
      </c>
      <c r="M24" s="20"/>
      <c r="N24" s="20"/>
      <c r="O24" s="20"/>
      <c r="P24" s="20"/>
      <c r="Q24" s="20"/>
      <c r="R24" s="20"/>
    </row>
    <row r="25" spans="1:18" x14ac:dyDescent="0.3">
      <c r="A25" vm="909">
        <f ca="1"/>
        <v>45839</v>
      </c>
      <c r="B25" s="4" vm="953">
        <f ca="1"/>
        <v>24768.35</v>
      </c>
      <c r="C25" s="7">
        <f t="shared" ca="1" si="0"/>
        <v>-2.9341166004691055E-2</v>
      </c>
    </row>
    <row r="26" spans="1:18" x14ac:dyDescent="0.3">
      <c r="A26" vm="954">
        <f ca="1"/>
        <v>45870</v>
      </c>
      <c r="B26" s="4" vm="991">
        <f ca="1"/>
        <v>24426.85</v>
      </c>
      <c r="C26" s="7">
        <f t="shared" ca="1" si="0"/>
        <v>-1.3787757359694952E-2</v>
      </c>
    </row>
    <row r="27" spans="1:18" x14ac:dyDescent="0.3">
      <c r="A27" vm="992">
        <f ca="1"/>
        <v>45901</v>
      </c>
      <c r="B27" s="4" vm="1035">
        <f ca="1"/>
        <v>24611.1</v>
      </c>
      <c r="C27" s="7">
        <f t="shared" ca="1" si="0"/>
        <v>7.5429291947182175E-3</v>
      </c>
    </row>
    <row r="28" spans="1:18" x14ac:dyDescent="0.3">
      <c r="A28" vm="1036">
        <f ca="1"/>
        <v>45931</v>
      </c>
      <c r="B28" s="4" vm="1077">
        <f ca="1"/>
        <v>25722.1</v>
      </c>
      <c r="C28" s="7">
        <f t="shared" ca="1" si="0"/>
        <v>4.5142232569856722E-2</v>
      </c>
    </row>
    <row r="29" spans="1:18" x14ac:dyDescent="0.3">
      <c r="A29" vm="1467">
        <f ca="1"/>
        <v>45962</v>
      </c>
      <c r="B29" s="4" vm="1114">
        <f ca="1"/>
        <v>26202.95</v>
      </c>
      <c r="C29" s="7">
        <f t="shared" ca="1" si="0"/>
        <v>1.8694041310779452E-2</v>
      </c>
    </row>
    <row r="30" spans="1:18" x14ac:dyDescent="0.3">
      <c r="A30" vm="1115">
        <f ca="1"/>
        <v>45992</v>
      </c>
      <c r="B30" s="4" vm="1158">
        <f ca="1"/>
        <v>26129.599999999999</v>
      </c>
      <c r="C30" s="7">
        <f t="shared" ca="1" si="0"/>
        <v>-2.7993031318993555E-3</v>
      </c>
    </row>
    <row r="31" spans="1:18" x14ac:dyDescent="0.3">
      <c r="A31" vm="1159">
        <f ca="1"/>
        <v>46023</v>
      </c>
      <c r="B31" s="4" vm="1198">
        <f ca="1"/>
        <v>25320.65</v>
      </c>
      <c r="C31" s="7">
        <f t="shared" ca="1" si="0"/>
        <v>-3.0959142122343852E-2</v>
      </c>
    </row>
    <row r="32" spans="1:18" x14ac:dyDescent="0.3">
      <c r="A32" vm="1199">
        <f ca="1"/>
        <v>46054</v>
      </c>
      <c r="B32" s="4" vm="1240">
        <f ca="1"/>
        <v>25178.65</v>
      </c>
      <c r="C32" s="7">
        <f t="shared" ca="1" si="0"/>
        <v>-5.6080708828565307E-3</v>
      </c>
    </row>
    <row r="33" spans="1:3" x14ac:dyDescent="0.3">
      <c r="A33" vm="1468">
        <f ca="1"/>
        <v>46082</v>
      </c>
      <c r="B33" s="4" vm="1278">
        <f ca="1"/>
        <v>22331.4</v>
      </c>
      <c r="C33" s="7">
        <f t="shared" ca="1" si="0"/>
        <v>-0.11308191662380629</v>
      </c>
    </row>
    <row r="34" spans="1:3" x14ac:dyDescent="0.3">
      <c r="A34" vm="1279">
        <f ca="1"/>
        <v>46113</v>
      </c>
      <c r="B34" s="4" vm="1318">
        <f ca="1"/>
        <v>23997.55</v>
      </c>
      <c r="C34" s="7">
        <f t="shared" ca="1" si="0"/>
        <v>7.4610190135862453E-2</v>
      </c>
    </row>
    <row r="35" spans="1:3" x14ac:dyDescent="0.3">
      <c r="A35" vm="1469">
        <f ca="1"/>
        <v>46143</v>
      </c>
      <c r="B35" s="4" vm="1356">
        <f ca="1"/>
        <v>23547.75</v>
      </c>
      <c r="C35" s="7">
        <f t="shared" ca="1" si="0"/>
        <v>-1.8743580073799171E-2</v>
      </c>
    </row>
    <row r="36" spans="1:3" x14ac:dyDescent="0.3">
      <c r="A36" vm="1357">
        <f ca="1"/>
        <v>46174</v>
      </c>
      <c r="B36" s="4" vm="1398">
        <f ca="1"/>
        <v>23865.75</v>
      </c>
      <c r="C36" s="7">
        <f t="shared" ca="1" si="0"/>
        <v>1.3504474949835865E-2</v>
      </c>
    </row>
    <row r="37" spans="1:3" x14ac:dyDescent="0.3">
      <c r="A37" vm="1399">
        <f ca="1"/>
        <v>46204</v>
      </c>
      <c r="B37" s="4" vm="1444">
        <f ca="1"/>
        <v>24383.599999999999</v>
      </c>
      <c r="C37" s="7">
        <f t="shared" ca="1" si="0"/>
        <v>2.1698459088861588E-2</v>
      </c>
    </row>
    <row r="38" spans="1:3" x14ac:dyDescent="0.3">
      <c r="A38" vm="1470">
        <f ca="1"/>
        <v>46235</v>
      </c>
      <c r="B38" s="4" vm="1456">
        <f ca="1"/>
        <v>24583.8</v>
      </c>
      <c r="C38" s="7">
        <f t="shared" ca="1" si="0"/>
        <v>8.2104365229089815E-3</v>
      </c>
    </row>
    <row r="39" spans="1:3" x14ac:dyDescent="0.3">
      <c r="B39" s="4"/>
      <c r="C39" s="7"/>
    </row>
    <row r="40" spans="1:3" x14ac:dyDescent="0.3">
      <c r="B40" s="4"/>
      <c r="C40" s="7"/>
    </row>
    <row r="41" spans="1:3" x14ac:dyDescent="0.3">
      <c r="B41" s="4"/>
      <c r="C41" s="7"/>
    </row>
    <row r="42" spans="1:3" x14ac:dyDescent="0.3">
      <c r="B42" s="4"/>
      <c r="C42" s="7"/>
    </row>
    <row r="43" spans="1:3" x14ac:dyDescent="0.3">
      <c r="B43" s="4"/>
      <c r="C43" s="7"/>
    </row>
    <row r="44" spans="1:3" x14ac:dyDescent="0.3">
      <c r="B44" s="4"/>
      <c r="C44" s="7"/>
    </row>
    <row r="45" spans="1:3" x14ac:dyDescent="0.3">
      <c r="B45" s="4"/>
      <c r="C45" s="7"/>
    </row>
    <row r="46" spans="1:3" x14ac:dyDescent="0.3">
      <c r="B46" s="4"/>
      <c r="C46" s="7"/>
    </row>
    <row r="47" spans="1:3" x14ac:dyDescent="0.3">
      <c r="B47" s="4"/>
      <c r="C47" s="7"/>
    </row>
    <row r="48" spans="1:3" x14ac:dyDescent="0.3">
      <c r="B48" s="4"/>
      <c r="C48" s="7"/>
    </row>
    <row r="49" spans="2:3" x14ac:dyDescent="0.3">
      <c r="B49" s="4"/>
      <c r="C49" s="7"/>
    </row>
    <row r="50" spans="2:3" x14ac:dyDescent="0.3">
      <c r="B50" s="4"/>
      <c r="C50" s="7"/>
    </row>
    <row r="51" spans="2:3" x14ac:dyDescent="0.3">
      <c r="B51" s="4"/>
      <c r="C51" s="7"/>
    </row>
    <row r="52" spans="2:3" x14ac:dyDescent="0.3">
      <c r="B52" s="4"/>
      <c r="C52" s="7"/>
    </row>
    <row r="53" spans="2:3" x14ac:dyDescent="0.3">
      <c r="B53" s="4"/>
      <c r="C53" s="7"/>
    </row>
    <row r="54" spans="2:3" x14ac:dyDescent="0.3">
      <c r="B54" s="4"/>
      <c r="C54" s="7"/>
    </row>
    <row r="55" spans="2:3" x14ac:dyDescent="0.3">
      <c r="B55" s="4"/>
      <c r="C55" s="7"/>
    </row>
    <row r="56" spans="2:3" x14ac:dyDescent="0.3">
      <c r="B56" s="4"/>
      <c r="C56" s="7"/>
    </row>
    <row r="57" spans="2:3" x14ac:dyDescent="0.3">
      <c r="B57" s="4"/>
      <c r="C57" s="7"/>
    </row>
    <row r="58" spans="2:3" x14ac:dyDescent="0.3">
      <c r="B58" s="4"/>
      <c r="C58" s="7"/>
    </row>
    <row r="59" spans="2:3" x14ac:dyDescent="0.3">
      <c r="B59" s="4"/>
      <c r="C59" s="7"/>
    </row>
    <row r="60" spans="2:3" x14ac:dyDescent="0.3">
      <c r="B60" s="4"/>
      <c r="C60" s="7"/>
    </row>
    <row r="61" spans="2:3" x14ac:dyDescent="0.3">
      <c r="B61" s="4"/>
      <c r="C61" s="7"/>
    </row>
    <row r="62" spans="2:3" x14ac:dyDescent="0.3">
      <c r="B62" s="4"/>
      <c r="C62" s="7"/>
    </row>
    <row r="63" spans="2:3" x14ac:dyDescent="0.3">
      <c r="B63" s="4"/>
      <c r="C63" s="7"/>
    </row>
    <row r="64" spans="2:3" x14ac:dyDescent="0.3">
      <c r="B64" s="4"/>
      <c r="C64" s="7"/>
    </row>
    <row r="65" spans="2:3" x14ac:dyDescent="0.3">
      <c r="B65" s="4"/>
      <c r="C65" s="7"/>
    </row>
    <row r="66" spans="2:3" x14ac:dyDescent="0.3">
      <c r="B66" s="4"/>
      <c r="C66" s="7"/>
    </row>
    <row r="67" spans="2:3" x14ac:dyDescent="0.3">
      <c r="B67" s="4"/>
      <c r="C67" s="7"/>
    </row>
    <row r="68" spans="2:3" x14ac:dyDescent="0.3">
      <c r="B68" s="4"/>
      <c r="C68" s="7"/>
    </row>
    <row r="69" spans="2:3" x14ac:dyDescent="0.3">
      <c r="B69" s="4"/>
      <c r="C69" s="7"/>
    </row>
    <row r="70" spans="2:3" x14ac:dyDescent="0.3">
      <c r="B70" s="4"/>
      <c r="C70" s="7"/>
    </row>
    <row r="71" spans="2:3" x14ac:dyDescent="0.3">
      <c r="B71" s="4"/>
      <c r="C71" s="7"/>
    </row>
    <row r="72" spans="2:3" x14ac:dyDescent="0.3">
      <c r="B72" s="4"/>
      <c r="C72" s="7"/>
    </row>
    <row r="73" spans="2:3" x14ac:dyDescent="0.3">
      <c r="B73" s="4"/>
      <c r="C73" s="7"/>
    </row>
    <row r="74" spans="2:3" x14ac:dyDescent="0.3">
      <c r="B74" s="4"/>
      <c r="C74" s="7"/>
    </row>
    <row r="75" spans="2:3" x14ac:dyDescent="0.3">
      <c r="B75" s="4"/>
      <c r="C75" s="7"/>
    </row>
    <row r="76" spans="2:3" x14ac:dyDescent="0.3">
      <c r="B76" s="4"/>
      <c r="C76" s="7"/>
    </row>
    <row r="77" spans="2:3" x14ac:dyDescent="0.3">
      <c r="B77" s="4"/>
      <c r="C77" s="7"/>
    </row>
    <row r="78" spans="2:3" x14ac:dyDescent="0.3">
      <c r="B78" s="4"/>
      <c r="C78" s="7"/>
    </row>
    <row r="79" spans="2:3" x14ac:dyDescent="0.3">
      <c r="B79" s="4"/>
      <c r="C79" s="7"/>
    </row>
    <row r="80" spans="2:3" x14ac:dyDescent="0.3">
      <c r="B80" s="4"/>
      <c r="C80" s="7"/>
    </row>
    <row r="81" spans="2:3" x14ac:dyDescent="0.3">
      <c r="B81" s="4"/>
      <c r="C81" s="7"/>
    </row>
    <row r="82" spans="2:3" x14ac:dyDescent="0.3">
      <c r="B82" s="4"/>
      <c r="C82" s="7"/>
    </row>
    <row r="83" spans="2:3" x14ac:dyDescent="0.3">
      <c r="B83" s="4"/>
      <c r="C83" s="7"/>
    </row>
    <row r="84" spans="2:3" x14ac:dyDescent="0.3">
      <c r="B84" s="4"/>
      <c r="C84" s="7"/>
    </row>
    <row r="85" spans="2:3" x14ac:dyDescent="0.3">
      <c r="B85" s="4"/>
      <c r="C85" s="7"/>
    </row>
    <row r="86" spans="2:3" x14ac:dyDescent="0.3">
      <c r="B86" s="4"/>
      <c r="C86" s="7"/>
    </row>
    <row r="87" spans="2:3" x14ac:dyDescent="0.3">
      <c r="B87" s="4"/>
      <c r="C87" s="7"/>
    </row>
    <row r="88" spans="2:3" x14ac:dyDescent="0.3">
      <c r="B88" s="4"/>
      <c r="C88" s="7"/>
    </row>
    <row r="89" spans="2:3" x14ac:dyDescent="0.3">
      <c r="B89" s="4"/>
      <c r="C89" s="7"/>
    </row>
    <row r="90" spans="2:3" x14ac:dyDescent="0.3">
      <c r="B90" s="4"/>
      <c r="C90" s="7"/>
    </row>
    <row r="91" spans="2:3" x14ac:dyDescent="0.3">
      <c r="B91" s="4"/>
      <c r="C91" s="7"/>
    </row>
    <row r="92" spans="2:3" x14ac:dyDescent="0.3">
      <c r="B92" s="4"/>
      <c r="C92" s="7"/>
    </row>
    <row r="93" spans="2:3" x14ac:dyDescent="0.3">
      <c r="B93" s="4"/>
      <c r="C93" s="7"/>
    </row>
    <row r="94" spans="2:3" x14ac:dyDescent="0.3">
      <c r="B94" s="4"/>
      <c r="C94" s="7"/>
    </row>
    <row r="95" spans="2:3" x14ac:dyDescent="0.3">
      <c r="B95" s="4"/>
      <c r="C95" s="7"/>
    </row>
    <row r="96" spans="2:3" x14ac:dyDescent="0.3">
      <c r="B96" s="4"/>
      <c r="C96" s="7"/>
    </row>
    <row r="97" spans="2:3" x14ac:dyDescent="0.3">
      <c r="B97" s="4"/>
      <c r="C97" s="7"/>
    </row>
    <row r="98" spans="2:3" x14ac:dyDescent="0.3">
      <c r="B98" s="4"/>
      <c r="C98" s="7"/>
    </row>
    <row r="99" spans="2:3" x14ac:dyDescent="0.3">
      <c r="B99" s="4"/>
      <c r="C99" s="7"/>
    </row>
    <row r="100" spans="2:3" x14ac:dyDescent="0.3">
      <c r="B100" s="4"/>
      <c r="C100" s="7"/>
    </row>
    <row r="101" spans="2:3" x14ac:dyDescent="0.3">
      <c r="B101" s="4"/>
      <c r="C101" s="7"/>
    </row>
    <row r="102" spans="2:3" x14ac:dyDescent="0.3">
      <c r="B102" s="4"/>
      <c r="C102" s="7"/>
    </row>
    <row r="103" spans="2:3" x14ac:dyDescent="0.3">
      <c r="B103" s="4"/>
      <c r="C103" s="7"/>
    </row>
    <row r="104" spans="2:3" x14ac:dyDescent="0.3">
      <c r="B104" s="4"/>
      <c r="C104" s="7"/>
    </row>
    <row r="105" spans="2:3" x14ac:dyDescent="0.3">
      <c r="B105" s="4"/>
      <c r="C105" s="7"/>
    </row>
    <row r="106" spans="2:3" x14ac:dyDescent="0.3">
      <c r="B106" s="4"/>
      <c r="C106" s="7"/>
    </row>
    <row r="107" spans="2:3" x14ac:dyDescent="0.3">
      <c r="B107" s="4"/>
      <c r="C107" s="7"/>
    </row>
    <row r="108" spans="2:3" x14ac:dyDescent="0.3">
      <c r="B108" s="4"/>
      <c r="C108" s="7"/>
    </row>
    <row r="109" spans="2:3" x14ac:dyDescent="0.3">
      <c r="B109" s="4"/>
      <c r="C109" s="7"/>
    </row>
    <row r="110" spans="2:3" x14ac:dyDescent="0.3">
      <c r="B110" s="4"/>
      <c r="C110" s="7"/>
    </row>
    <row r="111" spans="2:3" x14ac:dyDescent="0.3">
      <c r="B111" s="4"/>
      <c r="C111" s="7"/>
    </row>
    <row r="112" spans="2:3" x14ac:dyDescent="0.3">
      <c r="B112" s="4"/>
      <c r="C112" s="7"/>
    </row>
    <row r="113" spans="2:3" x14ac:dyDescent="0.3">
      <c r="B113" s="4"/>
      <c r="C113" s="7"/>
    </row>
    <row r="114" spans="2:3" x14ac:dyDescent="0.3">
      <c r="B114" s="4"/>
      <c r="C114" s="7"/>
    </row>
    <row r="115" spans="2:3" x14ac:dyDescent="0.3">
      <c r="B115" s="4"/>
      <c r="C115" s="7"/>
    </row>
    <row r="116" spans="2:3" x14ac:dyDescent="0.3">
      <c r="B116" s="4"/>
      <c r="C116" s="7"/>
    </row>
    <row r="117" spans="2:3" x14ac:dyDescent="0.3">
      <c r="B117" s="4"/>
      <c r="C117" s="7"/>
    </row>
    <row r="118" spans="2:3" x14ac:dyDescent="0.3">
      <c r="B118" s="4"/>
      <c r="C118" s="7"/>
    </row>
    <row r="119" spans="2:3" x14ac:dyDescent="0.3">
      <c r="B119" s="4"/>
      <c r="C119" s="7"/>
    </row>
    <row r="120" spans="2:3" x14ac:dyDescent="0.3">
      <c r="B120" s="4"/>
      <c r="C120" s="7"/>
    </row>
    <row r="121" spans="2:3" x14ac:dyDescent="0.3">
      <c r="B121" s="4"/>
      <c r="C121" s="7"/>
    </row>
    <row r="122" spans="2:3" x14ac:dyDescent="0.3">
      <c r="B122" s="4"/>
      <c r="C122" s="7"/>
    </row>
    <row r="123" spans="2:3" x14ac:dyDescent="0.3">
      <c r="B123" s="4"/>
      <c r="C123" s="7"/>
    </row>
    <row r="124" spans="2:3" x14ac:dyDescent="0.3">
      <c r="B124" s="4"/>
      <c r="C124" s="7"/>
    </row>
    <row r="125" spans="2:3" x14ac:dyDescent="0.3">
      <c r="B125" s="4"/>
      <c r="C125" s="7"/>
    </row>
    <row r="126" spans="2:3" x14ac:dyDescent="0.3">
      <c r="B126" s="4"/>
      <c r="C126" s="7"/>
    </row>
    <row r="127" spans="2:3" x14ac:dyDescent="0.3">
      <c r="B127" s="4"/>
      <c r="C127" s="7"/>
    </row>
    <row r="128" spans="2:3" x14ac:dyDescent="0.3">
      <c r="B128" s="4"/>
      <c r="C128" s="7"/>
    </row>
    <row r="129" spans="2:3" x14ac:dyDescent="0.3">
      <c r="B129" s="4"/>
      <c r="C129" s="7"/>
    </row>
    <row r="130" spans="2:3" x14ac:dyDescent="0.3">
      <c r="B130" s="4"/>
      <c r="C130" s="7"/>
    </row>
    <row r="131" spans="2:3" x14ac:dyDescent="0.3">
      <c r="B131" s="4"/>
      <c r="C131" s="7"/>
    </row>
    <row r="132" spans="2:3" x14ac:dyDescent="0.3">
      <c r="B132" s="4"/>
      <c r="C132" s="7"/>
    </row>
    <row r="133" spans="2:3" x14ac:dyDescent="0.3">
      <c r="B133" s="4"/>
      <c r="C133" s="7"/>
    </row>
    <row r="134" spans="2:3" x14ac:dyDescent="0.3">
      <c r="B134" s="4"/>
      <c r="C134" s="7"/>
    </row>
    <row r="135" spans="2:3" x14ac:dyDescent="0.3">
      <c r="B135" s="4"/>
      <c r="C135" s="7"/>
    </row>
    <row r="136" spans="2:3" x14ac:dyDescent="0.3">
      <c r="B136" s="4"/>
      <c r="C136" s="7"/>
    </row>
    <row r="137" spans="2:3" x14ac:dyDescent="0.3">
      <c r="B137" s="4"/>
      <c r="C137" s="7"/>
    </row>
    <row r="138" spans="2:3" x14ac:dyDescent="0.3">
      <c r="B138" s="4"/>
      <c r="C138" s="7"/>
    </row>
    <row r="139" spans="2:3" x14ac:dyDescent="0.3">
      <c r="B139" s="4"/>
      <c r="C139" s="7"/>
    </row>
    <row r="140" spans="2:3" x14ac:dyDescent="0.3">
      <c r="B140" s="4"/>
      <c r="C140" s="7"/>
    </row>
    <row r="141" spans="2:3" x14ac:dyDescent="0.3">
      <c r="B141" s="4"/>
      <c r="C141" s="7"/>
    </row>
    <row r="142" spans="2:3" x14ac:dyDescent="0.3">
      <c r="B142" s="4"/>
      <c r="C142" s="7"/>
    </row>
    <row r="143" spans="2:3" x14ac:dyDescent="0.3">
      <c r="B143" s="4"/>
      <c r="C143" s="7"/>
    </row>
    <row r="144" spans="2:3" x14ac:dyDescent="0.3">
      <c r="B144" s="4"/>
      <c r="C144" s="7"/>
    </row>
    <row r="145" spans="2:3" x14ac:dyDescent="0.3">
      <c r="B145" s="4"/>
      <c r="C145" s="7"/>
    </row>
    <row r="146" spans="2:3" x14ac:dyDescent="0.3">
      <c r="B146" s="4"/>
      <c r="C146" s="7"/>
    </row>
    <row r="147" spans="2:3" x14ac:dyDescent="0.3">
      <c r="B147" s="4"/>
      <c r="C147" s="7"/>
    </row>
    <row r="148" spans="2:3" x14ac:dyDescent="0.3">
      <c r="B148" s="4"/>
      <c r="C148" s="7"/>
    </row>
    <row r="149" spans="2:3" x14ac:dyDescent="0.3">
      <c r="B149" s="4"/>
      <c r="C149" s="7"/>
    </row>
    <row r="150" spans="2:3" x14ac:dyDescent="0.3">
      <c r="B150" s="4"/>
      <c r="C150" s="7"/>
    </row>
    <row r="151" spans="2:3" x14ac:dyDescent="0.3">
      <c r="B151" s="4"/>
      <c r="C151" s="7"/>
    </row>
    <row r="152" spans="2:3" x14ac:dyDescent="0.3">
      <c r="B152" s="4"/>
      <c r="C152" s="7"/>
    </row>
    <row r="153" spans="2:3" x14ac:dyDescent="0.3">
      <c r="B153" s="4"/>
      <c r="C153" s="7"/>
    </row>
    <row r="154" spans="2:3" x14ac:dyDescent="0.3">
      <c r="B154" s="4"/>
      <c r="C154" s="7"/>
    </row>
    <row r="155" spans="2:3" x14ac:dyDescent="0.3">
      <c r="B155" s="4"/>
      <c r="C155" s="7"/>
    </row>
    <row r="156" spans="2:3" x14ac:dyDescent="0.3">
      <c r="B156" s="4"/>
      <c r="C156" s="7"/>
    </row>
    <row r="157" spans="2:3" x14ac:dyDescent="0.3">
      <c r="B157" s="4"/>
      <c r="C157" s="7"/>
    </row>
    <row r="158" spans="2:3" x14ac:dyDescent="0.3">
      <c r="B158" s="4"/>
      <c r="C158" s="7"/>
    </row>
    <row r="159" spans="2:3" x14ac:dyDescent="0.3">
      <c r="B159" s="4"/>
      <c r="C159" s="7"/>
    </row>
    <row r="160" spans="2:3" x14ac:dyDescent="0.3">
      <c r="B160" s="4"/>
      <c r="C160" s="7"/>
    </row>
    <row r="161" spans="2:3" x14ac:dyDescent="0.3">
      <c r="B161" s="4"/>
      <c r="C161" s="7"/>
    </row>
    <row r="162" spans="2:3" x14ac:dyDescent="0.3">
      <c r="B162" s="4"/>
      <c r="C162" s="7"/>
    </row>
    <row r="163" spans="2:3" x14ac:dyDescent="0.3">
      <c r="B163" s="4"/>
      <c r="C163" s="7"/>
    </row>
    <row r="164" spans="2:3" x14ac:dyDescent="0.3">
      <c r="B164" s="4"/>
      <c r="C164" s="7"/>
    </row>
    <row r="165" spans="2:3" x14ac:dyDescent="0.3">
      <c r="B165" s="4"/>
      <c r="C165" s="7"/>
    </row>
    <row r="166" spans="2:3" x14ac:dyDescent="0.3">
      <c r="B166" s="4"/>
      <c r="C166" s="7"/>
    </row>
    <row r="167" spans="2:3" x14ac:dyDescent="0.3">
      <c r="B167" s="4"/>
      <c r="C167" s="7"/>
    </row>
    <row r="168" spans="2:3" x14ac:dyDescent="0.3">
      <c r="B168" s="4"/>
      <c r="C168" s="7"/>
    </row>
    <row r="169" spans="2:3" x14ac:dyDescent="0.3">
      <c r="B169" s="4"/>
      <c r="C169" s="7"/>
    </row>
    <row r="170" spans="2:3" x14ac:dyDescent="0.3">
      <c r="B170" s="4"/>
      <c r="C170" s="7"/>
    </row>
    <row r="171" spans="2:3" x14ac:dyDescent="0.3">
      <c r="B171" s="4"/>
      <c r="C171" s="7"/>
    </row>
    <row r="172" spans="2:3" x14ac:dyDescent="0.3">
      <c r="B172" s="4"/>
      <c r="C172" s="7"/>
    </row>
    <row r="173" spans="2:3" x14ac:dyDescent="0.3">
      <c r="B173" s="4"/>
      <c r="C173" s="7"/>
    </row>
    <row r="174" spans="2:3" x14ac:dyDescent="0.3">
      <c r="B174" s="4"/>
      <c r="C174" s="7"/>
    </row>
    <row r="175" spans="2:3" x14ac:dyDescent="0.3">
      <c r="B175" s="4"/>
      <c r="C175" s="7"/>
    </row>
    <row r="176" spans="2:3" x14ac:dyDescent="0.3">
      <c r="B176" s="4"/>
      <c r="C176" s="7"/>
    </row>
    <row r="177" spans="2:3" x14ac:dyDescent="0.3">
      <c r="B177" s="4"/>
      <c r="C177" s="7"/>
    </row>
    <row r="178" spans="2:3" x14ac:dyDescent="0.3">
      <c r="B178" s="4"/>
      <c r="C178" s="7"/>
    </row>
    <row r="179" spans="2:3" x14ac:dyDescent="0.3">
      <c r="B179" s="4"/>
      <c r="C179" s="7"/>
    </row>
    <row r="180" spans="2:3" x14ac:dyDescent="0.3">
      <c r="B180" s="4"/>
      <c r="C180" s="7"/>
    </row>
    <row r="181" spans="2:3" x14ac:dyDescent="0.3">
      <c r="B181" s="4"/>
      <c r="C181" s="7"/>
    </row>
    <row r="182" spans="2:3" x14ac:dyDescent="0.3">
      <c r="B182" s="4"/>
      <c r="C182" s="7"/>
    </row>
    <row r="183" spans="2:3" x14ac:dyDescent="0.3">
      <c r="B183" s="4"/>
      <c r="C183" s="7"/>
    </row>
    <row r="184" spans="2:3" x14ac:dyDescent="0.3">
      <c r="B184" s="4"/>
      <c r="C184" s="7"/>
    </row>
    <row r="185" spans="2:3" x14ac:dyDescent="0.3">
      <c r="B185" s="4"/>
      <c r="C185" s="7"/>
    </row>
    <row r="186" spans="2:3" x14ac:dyDescent="0.3">
      <c r="B186" s="4"/>
      <c r="C186" s="7"/>
    </row>
    <row r="187" spans="2:3" x14ac:dyDescent="0.3">
      <c r="B187" s="4"/>
      <c r="C187" s="7"/>
    </row>
    <row r="188" spans="2:3" x14ac:dyDescent="0.3">
      <c r="B188" s="4"/>
      <c r="C188" s="7"/>
    </row>
    <row r="189" spans="2:3" x14ac:dyDescent="0.3">
      <c r="B189" s="4"/>
      <c r="C189" s="7"/>
    </row>
    <row r="190" spans="2:3" x14ac:dyDescent="0.3">
      <c r="B190" s="4"/>
      <c r="C190" s="7"/>
    </row>
    <row r="191" spans="2:3" x14ac:dyDescent="0.3">
      <c r="B191" s="4"/>
      <c r="C191" s="7"/>
    </row>
    <row r="192" spans="2:3" x14ac:dyDescent="0.3">
      <c r="B192" s="4"/>
      <c r="C192" s="7"/>
    </row>
    <row r="193" spans="2:3" x14ac:dyDescent="0.3">
      <c r="B193" s="4"/>
      <c r="C193" s="7"/>
    </row>
    <row r="194" spans="2:3" x14ac:dyDescent="0.3">
      <c r="B194" s="4"/>
      <c r="C194" s="7"/>
    </row>
    <row r="195" spans="2:3" x14ac:dyDescent="0.3">
      <c r="B195" s="4"/>
      <c r="C195" s="7"/>
    </row>
    <row r="196" spans="2:3" x14ac:dyDescent="0.3">
      <c r="B196" s="4"/>
      <c r="C196" s="7"/>
    </row>
    <row r="197" spans="2:3" x14ac:dyDescent="0.3">
      <c r="B197" s="4"/>
      <c r="C197" s="7"/>
    </row>
    <row r="198" spans="2:3" x14ac:dyDescent="0.3">
      <c r="B198" s="4"/>
      <c r="C198" s="7"/>
    </row>
    <row r="199" spans="2:3" x14ac:dyDescent="0.3">
      <c r="B199" s="4"/>
      <c r="C199" s="7"/>
    </row>
    <row r="200" spans="2:3" x14ac:dyDescent="0.3">
      <c r="B200" s="4"/>
      <c r="C200" s="7"/>
    </row>
    <row r="201" spans="2:3" x14ac:dyDescent="0.3">
      <c r="B201" s="4"/>
      <c r="C201" s="7"/>
    </row>
    <row r="202" spans="2:3" x14ac:dyDescent="0.3">
      <c r="B202" s="4"/>
      <c r="C202" s="7"/>
    </row>
    <row r="203" spans="2:3" x14ac:dyDescent="0.3">
      <c r="B203" s="4"/>
      <c r="C203" s="7"/>
    </row>
    <row r="204" spans="2:3" x14ac:dyDescent="0.3">
      <c r="B204" s="4"/>
      <c r="C204" s="7"/>
    </row>
    <row r="205" spans="2:3" x14ac:dyDescent="0.3">
      <c r="B205" s="4"/>
      <c r="C205" s="7"/>
    </row>
    <row r="206" spans="2:3" x14ac:dyDescent="0.3">
      <c r="B206" s="4"/>
      <c r="C206" s="7"/>
    </row>
    <row r="207" spans="2:3" x14ac:dyDescent="0.3">
      <c r="B207" s="4"/>
      <c r="C207" s="7"/>
    </row>
    <row r="208" spans="2:3" x14ac:dyDescent="0.3">
      <c r="B208" s="4"/>
      <c r="C208" s="7"/>
    </row>
    <row r="209" spans="2:3" x14ac:dyDescent="0.3">
      <c r="B209" s="4"/>
      <c r="C209" s="7"/>
    </row>
    <row r="210" spans="2:3" x14ac:dyDescent="0.3">
      <c r="B210" s="4"/>
      <c r="C210" s="7"/>
    </row>
    <row r="211" spans="2:3" x14ac:dyDescent="0.3">
      <c r="B211" s="4"/>
      <c r="C211" s="7"/>
    </row>
    <row r="212" spans="2:3" x14ac:dyDescent="0.3">
      <c r="B212" s="4"/>
      <c r="C212" s="7"/>
    </row>
    <row r="213" spans="2:3" x14ac:dyDescent="0.3">
      <c r="B213" s="4"/>
      <c r="C213" s="7"/>
    </row>
    <row r="214" spans="2:3" x14ac:dyDescent="0.3">
      <c r="B214" s="4"/>
      <c r="C214" s="7"/>
    </row>
    <row r="215" spans="2:3" x14ac:dyDescent="0.3">
      <c r="B215" s="4"/>
      <c r="C215" s="7"/>
    </row>
    <row r="216" spans="2:3" x14ac:dyDescent="0.3">
      <c r="B216" s="4"/>
      <c r="C216" s="7"/>
    </row>
    <row r="217" spans="2:3" x14ac:dyDescent="0.3">
      <c r="B217" s="4"/>
      <c r="C217" s="7"/>
    </row>
    <row r="218" spans="2:3" x14ac:dyDescent="0.3">
      <c r="B218" s="4"/>
      <c r="C218" s="7"/>
    </row>
    <row r="219" spans="2:3" x14ac:dyDescent="0.3">
      <c r="B219" s="4"/>
      <c r="C219" s="7"/>
    </row>
    <row r="220" spans="2:3" x14ac:dyDescent="0.3">
      <c r="B220" s="4"/>
      <c r="C220" s="7"/>
    </row>
    <row r="221" spans="2:3" x14ac:dyDescent="0.3">
      <c r="B221" s="4"/>
      <c r="C221" s="7"/>
    </row>
    <row r="222" spans="2:3" x14ac:dyDescent="0.3">
      <c r="B222" s="4"/>
      <c r="C222" s="7"/>
    </row>
    <row r="223" spans="2:3" x14ac:dyDescent="0.3">
      <c r="B223" s="4"/>
      <c r="C223" s="7"/>
    </row>
    <row r="224" spans="2:3" x14ac:dyDescent="0.3">
      <c r="B224" s="4"/>
      <c r="C224" s="7"/>
    </row>
    <row r="225" spans="2:3" x14ac:dyDescent="0.3">
      <c r="B225" s="4"/>
      <c r="C225" s="7"/>
    </row>
    <row r="226" spans="2:3" x14ac:dyDescent="0.3">
      <c r="B226" s="4"/>
      <c r="C226" s="7"/>
    </row>
    <row r="227" spans="2:3" x14ac:dyDescent="0.3">
      <c r="B227" s="4"/>
      <c r="C227" s="7"/>
    </row>
    <row r="228" spans="2:3" x14ac:dyDescent="0.3">
      <c r="B228" s="4"/>
      <c r="C228" s="7"/>
    </row>
    <row r="229" spans="2:3" x14ac:dyDescent="0.3">
      <c r="B229" s="4"/>
      <c r="C229" s="7"/>
    </row>
    <row r="230" spans="2:3" x14ac:dyDescent="0.3">
      <c r="B230" s="4"/>
      <c r="C230" s="7"/>
    </row>
    <row r="231" spans="2:3" x14ac:dyDescent="0.3">
      <c r="B231" s="4"/>
      <c r="C231" s="7"/>
    </row>
    <row r="232" spans="2:3" x14ac:dyDescent="0.3">
      <c r="B232" s="4"/>
      <c r="C232" s="7"/>
    </row>
    <row r="233" spans="2:3" x14ac:dyDescent="0.3">
      <c r="B233" s="4"/>
      <c r="C233" s="7"/>
    </row>
    <row r="234" spans="2:3" x14ac:dyDescent="0.3">
      <c r="B234" s="4"/>
      <c r="C234" s="7"/>
    </row>
    <row r="235" spans="2:3" x14ac:dyDescent="0.3">
      <c r="B235" s="4"/>
      <c r="C235" s="7"/>
    </row>
    <row r="236" spans="2:3" x14ac:dyDescent="0.3">
      <c r="B236" s="4"/>
      <c r="C236" s="7"/>
    </row>
    <row r="237" spans="2:3" x14ac:dyDescent="0.3">
      <c r="B237" s="4"/>
      <c r="C237" s="7"/>
    </row>
    <row r="238" spans="2:3" x14ac:dyDescent="0.3">
      <c r="B238" s="4"/>
      <c r="C238" s="7"/>
    </row>
    <row r="239" spans="2:3" x14ac:dyDescent="0.3">
      <c r="B239" s="4"/>
      <c r="C239" s="7"/>
    </row>
    <row r="240" spans="2:3" x14ac:dyDescent="0.3">
      <c r="B240" s="4"/>
      <c r="C240" s="7"/>
    </row>
    <row r="241" spans="2:3" x14ac:dyDescent="0.3">
      <c r="B241" s="4"/>
      <c r="C241" s="7"/>
    </row>
    <row r="242" spans="2:3" x14ac:dyDescent="0.3">
      <c r="B242" s="4"/>
      <c r="C242" s="7"/>
    </row>
    <row r="243" spans="2:3" x14ac:dyDescent="0.3">
      <c r="B243" s="4"/>
      <c r="C243" s="7"/>
    </row>
    <row r="244" spans="2:3" x14ac:dyDescent="0.3">
      <c r="B244" s="4"/>
      <c r="C244" s="7"/>
    </row>
    <row r="245" spans="2:3" x14ac:dyDescent="0.3">
      <c r="B245" s="4"/>
      <c r="C245" s="7"/>
    </row>
    <row r="246" spans="2:3" x14ac:dyDescent="0.3">
      <c r="B246" s="4"/>
      <c r="C246" s="7"/>
    </row>
    <row r="247" spans="2:3" x14ac:dyDescent="0.3">
      <c r="B247" s="4"/>
      <c r="C247" s="7"/>
    </row>
    <row r="248" spans="2:3" x14ac:dyDescent="0.3">
      <c r="B248" s="4"/>
      <c r="C248" s="7"/>
    </row>
    <row r="249" spans="2:3" x14ac:dyDescent="0.3">
      <c r="B249" s="4"/>
      <c r="C249" s="7"/>
    </row>
    <row r="250" spans="2:3" x14ac:dyDescent="0.3">
      <c r="B250" s="4"/>
      <c r="C250" s="7"/>
    </row>
    <row r="251" spans="2:3" x14ac:dyDescent="0.3">
      <c r="B251" s="4"/>
      <c r="C251" s="7"/>
    </row>
    <row r="252" spans="2:3" x14ac:dyDescent="0.3">
      <c r="B252" s="4"/>
      <c r="C252" s="7"/>
    </row>
    <row r="253" spans="2:3" x14ac:dyDescent="0.3">
      <c r="B253" s="4"/>
      <c r="C253" s="7"/>
    </row>
    <row r="254" spans="2:3" x14ac:dyDescent="0.3">
      <c r="B254" s="4"/>
      <c r="C254" s="7"/>
    </row>
    <row r="255" spans="2:3" x14ac:dyDescent="0.3">
      <c r="B255" s="4"/>
      <c r="C255" s="7"/>
    </row>
    <row r="256" spans="2:3" x14ac:dyDescent="0.3">
      <c r="B256" s="4"/>
      <c r="C256" s="7"/>
    </row>
    <row r="257" spans="2:3" x14ac:dyDescent="0.3">
      <c r="B257" s="4"/>
      <c r="C257" s="7"/>
    </row>
    <row r="258" spans="2:3" x14ac:dyDescent="0.3">
      <c r="B258" s="4"/>
      <c r="C258" s="7"/>
    </row>
    <row r="259" spans="2:3" x14ac:dyDescent="0.3">
      <c r="B259" s="4"/>
      <c r="C259" s="7"/>
    </row>
    <row r="260" spans="2:3" x14ac:dyDescent="0.3">
      <c r="B260" s="4"/>
      <c r="C260" s="7"/>
    </row>
    <row r="261" spans="2:3" x14ac:dyDescent="0.3">
      <c r="B261" s="4"/>
      <c r="C261" s="7"/>
    </row>
    <row r="262" spans="2:3" x14ac:dyDescent="0.3">
      <c r="B262" s="4"/>
      <c r="C262" s="7"/>
    </row>
    <row r="263" spans="2:3" x14ac:dyDescent="0.3">
      <c r="B263" s="4"/>
      <c r="C263" s="7"/>
    </row>
    <row r="264" spans="2:3" x14ac:dyDescent="0.3">
      <c r="B264" s="4"/>
      <c r="C264" s="7"/>
    </row>
    <row r="265" spans="2:3" x14ac:dyDescent="0.3">
      <c r="B265" s="4"/>
      <c r="C265" s="7"/>
    </row>
    <row r="266" spans="2:3" x14ac:dyDescent="0.3">
      <c r="B266" s="4"/>
      <c r="C266" s="7"/>
    </row>
    <row r="267" spans="2:3" x14ac:dyDescent="0.3">
      <c r="B267" s="4"/>
      <c r="C267" s="7"/>
    </row>
    <row r="268" spans="2:3" x14ac:dyDescent="0.3">
      <c r="B268" s="4"/>
      <c r="C268" s="7"/>
    </row>
    <row r="269" spans="2:3" x14ac:dyDescent="0.3">
      <c r="B269" s="4"/>
      <c r="C269" s="7"/>
    </row>
    <row r="270" spans="2:3" x14ac:dyDescent="0.3">
      <c r="B270" s="4"/>
      <c r="C270" s="7"/>
    </row>
    <row r="271" spans="2:3" x14ac:dyDescent="0.3">
      <c r="B271" s="4"/>
      <c r="C271" s="7"/>
    </row>
    <row r="272" spans="2:3" x14ac:dyDescent="0.3">
      <c r="B272" s="4"/>
      <c r="C272" s="7"/>
    </row>
    <row r="273" spans="2:3" x14ac:dyDescent="0.3">
      <c r="B273" s="4"/>
      <c r="C273" s="7"/>
    </row>
    <row r="274" spans="2:3" x14ac:dyDescent="0.3">
      <c r="B274" s="4"/>
      <c r="C274" s="7"/>
    </row>
    <row r="275" spans="2:3" x14ac:dyDescent="0.3">
      <c r="B275" s="4"/>
      <c r="C275" s="7"/>
    </row>
    <row r="276" spans="2:3" x14ac:dyDescent="0.3">
      <c r="B276" s="4"/>
      <c r="C276" s="7"/>
    </row>
    <row r="277" spans="2:3" x14ac:dyDescent="0.3">
      <c r="B277" s="4"/>
      <c r="C277" s="7"/>
    </row>
    <row r="278" spans="2:3" x14ac:dyDescent="0.3">
      <c r="B278" s="4"/>
      <c r="C278" s="7"/>
    </row>
    <row r="279" spans="2:3" x14ac:dyDescent="0.3">
      <c r="B279" s="4"/>
      <c r="C279" s="7"/>
    </row>
    <row r="280" spans="2:3" x14ac:dyDescent="0.3">
      <c r="B280" s="4"/>
      <c r="C280" s="7"/>
    </row>
    <row r="281" spans="2:3" x14ac:dyDescent="0.3">
      <c r="B281" s="4"/>
      <c r="C281" s="7"/>
    </row>
    <row r="282" spans="2:3" x14ac:dyDescent="0.3">
      <c r="B282" s="4"/>
      <c r="C282" s="7"/>
    </row>
    <row r="283" spans="2:3" x14ac:dyDescent="0.3">
      <c r="B283" s="4"/>
      <c r="C283" s="7"/>
    </row>
    <row r="284" spans="2:3" x14ac:dyDescent="0.3">
      <c r="B284" s="4"/>
      <c r="C284" s="7"/>
    </row>
    <row r="285" spans="2:3" x14ac:dyDescent="0.3">
      <c r="B285" s="4"/>
      <c r="C285" s="7"/>
    </row>
    <row r="286" spans="2:3" x14ac:dyDescent="0.3">
      <c r="B286" s="4"/>
      <c r="C286" s="7"/>
    </row>
    <row r="287" spans="2:3" x14ac:dyDescent="0.3">
      <c r="B287" s="4"/>
      <c r="C287" s="7"/>
    </row>
    <row r="288" spans="2:3" x14ac:dyDescent="0.3">
      <c r="B288" s="4"/>
      <c r="C288" s="7"/>
    </row>
    <row r="289" spans="2:3" x14ac:dyDescent="0.3">
      <c r="B289" s="4"/>
      <c r="C289" s="7"/>
    </row>
    <row r="290" spans="2:3" x14ac:dyDescent="0.3">
      <c r="B290" s="4"/>
      <c r="C290" s="7"/>
    </row>
    <row r="291" spans="2:3" x14ac:dyDescent="0.3">
      <c r="B291" s="4"/>
      <c r="C291" s="7"/>
    </row>
    <row r="292" spans="2:3" x14ac:dyDescent="0.3">
      <c r="B292" s="4"/>
      <c r="C292" s="7"/>
    </row>
    <row r="293" spans="2:3" x14ac:dyDescent="0.3">
      <c r="B293" s="4"/>
      <c r="C293" s="7"/>
    </row>
    <row r="294" spans="2:3" x14ac:dyDescent="0.3">
      <c r="B294" s="4"/>
      <c r="C294" s="7"/>
    </row>
    <row r="295" spans="2:3" x14ac:dyDescent="0.3">
      <c r="B295" s="4"/>
      <c r="C295" s="7"/>
    </row>
    <row r="296" spans="2:3" x14ac:dyDescent="0.3">
      <c r="B296" s="4"/>
      <c r="C296" s="7"/>
    </row>
    <row r="297" spans="2:3" x14ac:dyDescent="0.3">
      <c r="B297" s="4"/>
      <c r="C297" s="7"/>
    </row>
    <row r="298" spans="2:3" x14ac:dyDescent="0.3">
      <c r="B298" s="4"/>
      <c r="C298" s="7"/>
    </row>
    <row r="299" spans="2:3" x14ac:dyDescent="0.3">
      <c r="B299" s="4"/>
      <c r="C299" s="7"/>
    </row>
    <row r="300" spans="2:3" x14ac:dyDescent="0.3">
      <c r="B300" s="4"/>
      <c r="C300" s="7"/>
    </row>
    <row r="301" spans="2:3" x14ac:dyDescent="0.3">
      <c r="B301" s="4"/>
      <c r="C301" s="7"/>
    </row>
    <row r="302" spans="2:3" x14ac:dyDescent="0.3">
      <c r="B302" s="4"/>
      <c r="C302" s="7"/>
    </row>
    <row r="303" spans="2:3" x14ac:dyDescent="0.3">
      <c r="B303" s="4"/>
      <c r="C303" s="7"/>
    </row>
    <row r="304" spans="2:3" x14ac:dyDescent="0.3">
      <c r="B304" s="4"/>
      <c r="C304" s="7"/>
    </row>
    <row r="305" spans="2:3" x14ac:dyDescent="0.3">
      <c r="B305" s="4"/>
      <c r="C305" s="7"/>
    </row>
    <row r="306" spans="2:3" x14ac:dyDescent="0.3">
      <c r="B306" s="4"/>
      <c r="C306" s="7"/>
    </row>
    <row r="307" spans="2:3" x14ac:dyDescent="0.3">
      <c r="B307" s="4"/>
      <c r="C307" s="7"/>
    </row>
    <row r="308" spans="2:3" x14ac:dyDescent="0.3">
      <c r="B308" s="4"/>
      <c r="C308" s="7"/>
    </row>
    <row r="309" spans="2:3" x14ac:dyDescent="0.3">
      <c r="B309" s="4"/>
      <c r="C309" s="7"/>
    </row>
    <row r="310" spans="2:3" x14ac:dyDescent="0.3">
      <c r="B310" s="4"/>
      <c r="C310" s="7"/>
    </row>
    <row r="311" spans="2:3" x14ac:dyDescent="0.3">
      <c r="B311" s="4"/>
      <c r="C311" s="7"/>
    </row>
    <row r="312" spans="2:3" x14ac:dyDescent="0.3">
      <c r="B312" s="4"/>
      <c r="C312" s="7"/>
    </row>
    <row r="313" spans="2:3" x14ac:dyDescent="0.3">
      <c r="B313" s="4"/>
      <c r="C313" s="7"/>
    </row>
    <row r="314" spans="2:3" x14ac:dyDescent="0.3">
      <c r="B314" s="4"/>
      <c r="C314" s="7"/>
    </row>
    <row r="315" spans="2:3" x14ac:dyDescent="0.3">
      <c r="B315" s="4"/>
      <c r="C315" s="7"/>
    </row>
    <row r="316" spans="2:3" x14ac:dyDescent="0.3">
      <c r="B316" s="4"/>
      <c r="C316" s="7"/>
    </row>
    <row r="317" spans="2:3" x14ac:dyDescent="0.3">
      <c r="B317" s="4"/>
      <c r="C317" s="7"/>
    </row>
    <row r="318" spans="2:3" x14ac:dyDescent="0.3">
      <c r="B318" s="4"/>
      <c r="C318" s="7"/>
    </row>
    <row r="319" spans="2:3" x14ac:dyDescent="0.3">
      <c r="B319" s="4"/>
      <c r="C319" s="7"/>
    </row>
    <row r="320" spans="2:3" x14ac:dyDescent="0.3">
      <c r="B320" s="4"/>
      <c r="C320" s="7"/>
    </row>
    <row r="321" spans="2:3" x14ac:dyDescent="0.3">
      <c r="B321" s="4"/>
      <c r="C321" s="7"/>
    </row>
    <row r="322" spans="2:3" x14ac:dyDescent="0.3">
      <c r="B322" s="4"/>
      <c r="C322" s="7"/>
    </row>
    <row r="323" spans="2:3" x14ac:dyDescent="0.3">
      <c r="B323" s="4"/>
      <c r="C323" s="7"/>
    </row>
    <row r="324" spans="2:3" x14ac:dyDescent="0.3">
      <c r="B324" s="4"/>
      <c r="C324" s="7"/>
    </row>
    <row r="325" spans="2:3" x14ac:dyDescent="0.3">
      <c r="B325" s="4"/>
      <c r="C325" s="7"/>
    </row>
    <row r="326" spans="2:3" x14ac:dyDescent="0.3">
      <c r="B326" s="4"/>
      <c r="C326" s="7"/>
    </row>
    <row r="327" spans="2:3" x14ac:dyDescent="0.3">
      <c r="B327" s="4"/>
      <c r="C327" s="7"/>
    </row>
    <row r="328" spans="2:3" x14ac:dyDescent="0.3">
      <c r="B328" s="4"/>
      <c r="C328" s="7"/>
    </row>
    <row r="329" spans="2:3" x14ac:dyDescent="0.3">
      <c r="B329" s="4"/>
      <c r="C329" s="7"/>
    </row>
    <row r="330" spans="2:3" x14ac:dyDescent="0.3">
      <c r="B330" s="4"/>
      <c r="C330" s="7"/>
    </row>
    <row r="331" spans="2:3" x14ac:dyDescent="0.3">
      <c r="B331" s="4"/>
      <c r="C331" s="7"/>
    </row>
    <row r="332" spans="2:3" x14ac:dyDescent="0.3">
      <c r="B332" s="4"/>
      <c r="C332" s="7"/>
    </row>
    <row r="333" spans="2:3" x14ac:dyDescent="0.3">
      <c r="B333" s="4"/>
      <c r="C333" s="7"/>
    </row>
    <row r="334" spans="2:3" x14ac:dyDescent="0.3">
      <c r="B334" s="4"/>
      <c r="C334" s="7"/>
    </row>
    <row r="335" spans="2:3" x14ac:dyDescent="0.3">
      <c r="B335" s="4"/>
      <c r="C335" s="7"/>
    </row>
    <row r="336" spans="2:3" x14ac:dyDescent="0.3">
      <c r="B336" s="4"/>
      <c r="C336" s="7"/>
    </row>
    <row r="337" spans="2:3" x14ac:dyDescent="0.3">
      <c r="B337" s="4"/>
      <c r="C337" s="7"/>
    </row>
    <row r="338" spans="2:3" x14ac:dyDescent="0.3">
      <c r="B338" s="4"/>
      <c r="C338" s="7"/>
    </row>
    <row r="339" spans="2:3" x14ac:dyDescent="0.3">
      <c r="B339" s="4"/>
      <c r="C339" s="7"/>
    </row>
    <row r="340" spans="2:3" x14ac:dyDescent="0.3">
      <c r="B340" s="4"/>
      <c r="C340" s="7"/>
    </row>
    <row r="341" spans="2:3" x14ac:dyDescent="0.3">
      <c r="B341" s="4"/>
      <c r="C341" s="7"/>
    </row>
    <row r="342" spans="2:3" x14ac:dyDescent="0.3">
      <c r="B342" s="4"/>
      <c r="C342" s="7"/>
    </row>
    <row r="343" spans="2:3" x14ac:dyDescent="0.3">
      <c r="B343" s="4"/>
      <c r="C343" s="7"/>
    </row>
    <row r="344" spans="2:3" x14ac:dyDescent="0.3">
      <c r="B344" s="4"/>
      <c r="C344" s="7"/>
    </row>
    <row r="345" spans="2:3" x14ac:dyDescent="0.3">
      <c r="B345" s="4"/>
      <c r="C345" s="7"/>
    </row>
    <row r="346" spans="2:3" x14ac:dyDescent="0.3">
      <c r="B346" s="4"/>
      <c r="C346" s="7"/>
    </row>
    <row r="347" spans="2:3" x14ac:dyDescent="0.3">
      <c r="B347" s="4"/>
      <c r="C347" s="7"/>
    </row>
    <row r="348" spans="2:3" x14ac:dyDescent="0.3">
      <c r="B348" s="4"/>
      <c r="C348" s="7"/>
    </row>
    <row r="349" spans="2:3" x14ac:dyDescent="0.3">
      <c r="B349" s="4"/>
      <c r="C349" s="7"/>
    </row>
    <row r="350" spans="2:3" x14ac:dyDescent="0.3">
      <c r="B350" s="4"/>
      <c r="C350" s="7"/>
    </row>
    <row r="351" spans="2:3" x14ac:dyDescent="0.3">
      <c r="B351" s="4"/>
      <c r="C351" s="7"/>
    </row>
    <row r="352" spans="2:3" x14ac:dyDescent="0.3">
      <c r="B352" s="4"/>
      <c r="C352" s="7"/>
    </row>
    <row r="353" spans="2:3" x14ac:dyDescent="0.3">
      <c r="B353" s="4"/>
      <c r="C353" s="7"/>
    </row>
    <row r="354" spans="2:3" x14ac:dyDescent="0.3">
      <c r="B354" s="4"/>
      <c r="C354" s="7"/>
    </row>
    <row r="355" spans="2:3" x14ac:dyDescent="0.3">
      <c r="B355" s="4"/>
      <c r="C355" s="7"/>
    </row>
    <row r="356" spans="2:3" x14ac:dyDescent="0.3">
      <c r="B356" s="4"/>
      <c r="C356" s="7"/>
    </row>
    <row r="357" spans="2:3" x14ac:dyDescent="0.3">
      <c r="B357" s="4"/>
      <c r="C357" s="7"/>
    </row>
    <row r="358" spans="2:3" x14ac:dyDescent="0.3">
      <c r="B358" s="4"/>
      <c r="C358" s="7"/>
    </row>
    <row r="359" spans="2:3" x14ac:dyDescent="0.3">
      <c r="B359" s="4"/>
      <c r="C359" s="7"/>
    </row>
    <row r="360" spans="2:3" x14ac:dyDescent="0.3">
      <c r="B360" s="4"/>
      <c r="C360" s="7"/>
    </row>
    <row r="361" spans="2:3" x14ac:dyDescent="0.3">
      <c r="B361" s="4"/>
      <c r="C361" s="7"/>
    </row>
    <row r="362" spans="2:3" x14ac:dyDescent="0.3">
      <c r="B362" s="4"/>
      <c r="C362" s="7"/>
    </row>
    <row r="363" spans="2:3" x14ac:dyDescent="0.3">
      <c r="B363" s="4"/>
      <c r="C363" s="7"/>
    </row>
    <row r="364" spans="2:3" x14ac:dyDescent="0.3">
      <c r="B364" s="4"/>
      <c r="C364" s="7"/>
    </row>
    <row r="365" spans="2:3" x14ac:dyDescent="0.3">
      <c r="B365" s="4"/>
      <c r="C365" s="7"/>
    </row>
    <row r="366" spans="2:3" x14ac:dyDescent="0.3">
      <c r="B366" s="4"/>
      <c r="C366" s="7"/>
    </row>
    <row r="367" spans="2:3" x14ac:dyDescent="0.3">
      <c r="B367" s="4"/>
      <c r="C367" s="7"/>
    </row>
    <row r="368" spans="2:3" x14ac:dyDescent="0.3">
      <c r="B368" s="4"/>
      <c r="C368" s="7"/>
    </row>
    <row r="369" spans="2:3" x14ac:dyDescent="0.3">
      <c r="B369" s="4"/>
      <c r="C369" s="7"/>
    </row>
    <row r="370" spans="2:3" x14ac:dyDescent="0.3">
      <c r="B370" s="4"/>
      <c r="C370" s="7"/>
    </row>
    <row r="371" spans="2:3" x14ac:dyDescent="0.3">
      <c r="B371" s="4"/>
      <c r="C371" s="7"/>
    </row>
    <row r="372" spans="2:3" x14ac:dyDescent="0.3">
      <c r="B372" s="4"/>
      <c r="C372" s="7"/>
    </row>
    <row r="373" spans="2:3" x14ac:dyDescent="0.3">
      <c r="B373" s="4"/>
      <c r="C373" s="7"/>
    </row>
    <row r="374" spans="2:3" x14ac:dyDescent="0.3">
      <c r="B374" s="4"/>
      <c r="C374" s="7"/>
    </row>
    <row r="375" spans="2:3" x14ac:dyDescent="0.3">
      <c r="B375" s="4"/>
      <c r="C375" s="7"/>
    </row>
    <row r="376" spans="2:3" x14ac:dyDescent="0.3">
      <c r="B376" s="4"/>
      <c r="C376" s="7"/>
    </row>
    <row r="377" spans="2:3" x14ac:dyDescent="0.3">
      <c r="B377" s="4"/>
      <c r="C377" s="7"/>
    </row>
    <row r="378" spans="2:3" x14ac:dyDescent="0.3">
      <c r="B378" s="4"/>
      <c r="C378" s="7"/>
    </row>
    <row r="379" spans="2:3" x14ac:dyDescent="0.3">
      <c r="B379" s="4"/>
      <c r="C379" s="7"/>
    </row>
    <row r="380" spans="2:3" x14ac:dyDescent="0.3">
      <c r="B380" s="4"/>
      <c r="C380" s="7"/>
    </row>
    <row r="381" spans="2:3" x14ac:dyDescent="0.3">
      <c r="B381" s="4"/>
      <c r="C381" s="7"/>
    </row>
    <row r="382" spans="2:3" x14ac:dyDescent="0.3">
      <c r="B382" s="4"/>
      <c r="C382" s="7"/>
    </row>
    <row r="383" spans="2:3" x14ac:dyDescent="0.3">
      <c r="B383" s="4"/>
      <c r="C383" s="7"/>
    </row>
    <row r="384" spans="2:3" x14ac:dyDescent="0.3">
      <c r="B384" s="4"/>
      <c r="C384" s="7"/>
    </row>
    <row r="385" spans="2:3" x14ac:dyDescent="0.3">
      <c r="B385" s="4"/>
      <c r="C385" s="7"/>
    </row>
    <row r="386" spans="2:3" x14ac:dyDescent="0.3">
      <c r="B386" s="4"/>
      <c r="C386" s="7"/>
    </row>
    <row r="387" spans="2:3" x14ac:dyDescent="0.3">
      <c r="B387" s="4"/>
      <c r="C387" s="7"/>
    </row>
    <row r="388" spans="2:3" x14ac:dyDescent="0.3">
      <c r="B388" s="4"/>
      <c r="C388" s="7"/>
    </row>
    <row r="389" spans="2:3" x14ac:dyDescent="0.3">
      <c r="B389" s="4"/>
      <c r="C389" s="7"/>
    </row>
    <row r="390" spans="2:3" x14ac:dyDescent="0.3">
      <c r="B390" s="4"/>
      <c r="C390" s="7"/>
    </row>
    <row r="391" spans="2:3" x14ac:dyDescent="0.3">
      <c r="B391" s="4"/>
      <c r="C391" s="7"/>
    </row>
    <row r="392" spans="2:3" x14ac:dyDescent="0.3">
      <c r="B392" s="4"/>
      <c r="C392" s="7"/>
    </row>
    <row r="393" spans="2:3" x14ac:dyDescent="0.3">
      <c r="B393" s="4"/>
      <c r="C393" s="7"/>
    </row>
    <row r="394" spans="2:3" x14ac:dyDescent="0.3">
      <c r="B394" s="4"/>
      <c r="C394" s="7"/>
    </row>
    <row r="395" spans="2:3" x14ac:dyDescent="0.3">
      <c r="B395" s="4"/>
      <c r="C395" s="7"/>
    </row>
    <row r="396" spans="2:3" x14ac:dyDescent="0.3">
      <c r="B396" s="4"/>
      <c r="C396" s="7"/>
    </row>
    <row r="397" spans="2:3" x14ac:dyDescent="0.3">
      <c r="B397" s="4"/>
      <c r="C397" s="7"/>
    </row>
    <row r="398" spans="2:3" x14ac:dyDescent="0.3">
      <c r="B398" s="4"/>
      <c r="C398" s="7"/>
    </row>
    <row r="399" spans="2:3" x14ac:dyDescent="0.3">
      <c r="B399" s="4"/>
      <c r="C399" s="7"/>
    </row>
    <row r="400" spans="2:3" x14ac:dyDescent="0.3">
      <c r="B400" s="4"/>
      <c r="C400" s="7"/>
    </row>
    <row r="401" spans="2:3" x14ac:dyDescent="0.3">
      <c r="B401" s="4"/>
      <c r="C401" s="7"/>
    </row>
    <row r="402" spans="2:3" x14ac:dyDescent="0.3">
      <c r="B402" s="4"/>
      <c r="C402" s="7"/>
    </row>
    <row r="403" spans="2:3" x14ac:dyDescent="0.3">
      <c r="B403" s="4"/>
      <c r="C403" s="7"/>
    </row>
    <row r="404" spans="2:3" x14ac:dyDescent="0.3">
      <c r="B404" s="4"/>
      <c r="C404" s="7"/>
    </row>
    <row r="405" spans="2:3" x14ac:dyDescent="0.3">
      <c r="B405" s="4"/>
      <c r="C405" s="7"/>
    </row>
    <row r="406" spans="2:3" x14ac:dyDescent="0.3">
      <c r="B406" s="4"/>
      <c r="C406" s="7"/>
    </row>
    <row r="407" spans="2:3" x14ac:dyDescent="0.3">
      <c r="B407" s="4"/>
      <c r="C407" s="7"/>
    </row>
    <row r="408" spans="2:3" x14ac:dyDescent="0.3">
      <c r="B408" s="4"/>
      <c r="C408" s="7"/>
    </row>
    <row r="409" spans="2:3" x14ac:dyDescent="0.3">
      <c r="B409" s="4"/>
      <c r="C409" s="7"/>
    </row>
    <row r="410" spans="2:3" x14ac:dyDescent="0.3">
      <c r="B410" s="4"/>
      <c r="C410" s="7"/>
    </row>
    <row r="411" spans="2:3" x14ac:dyDescent="0.3">
      <c r="B411" s="4"/>
      <c r="C411" s="7"/>
    </row>
    <row r="412" spans="2:3" x14ac:dyDescent="0.3">
      <c r="B412" s="4"/>
      <c r="C412" s="7"/>
    </row>
    <row r="413" spans="2:3" x14ac:dyDescent="0.3">
      <c r="B413" s="4"/>
      <c r="C413" s="7"/>
    </row>
    <row r="414" spans="2:3" x14ac:dyDescent="0.3">
      <c r="B414" s="4"/>
      <c r="C414" s="7"/>
    </row>
    <row r="415" spans="2:3" x14ac:dyDescent="0.3">
      <c r="B415" s="4"/>
      <c r="C415" s="7"/>
    </row>
    <row r="416" spans="2:3" x14ac:dyDescent="0.3">
      <c r="B416" s="4"/>
      <c r="C416" s="7"/>
    </row>
    <row r="417" spans="2:3" x14ac:dyDescent="0.3">
      <c r="B417" s="4"/>
      <c r="C417" s="7"/>
    </row>
    <row r="418" spans="2:3" x14ac:dyDescent="0.3">
      <c r="B418" s="4"/>
      <c r="C418" s="7"/>
    </row>
    <row r="419" spans="2:3" x14ac:dyDescent="0.3">
      <c r="B419" s="4"/>
      <c r="C419" s="7"/>
    </row>
    <row r="420" spans="2:3" x14ac:dyDescent="0.3">
      <c r="B420" s="4"/>
      <c r="C420" s="7"/>
    </row>
    <row r="421" spans="2:3" x14ac:dyDescent="0.3">
      <c r="B421" s="4"/>
      <c r="C421" s="7"/>
    </row>
    <row r="422" spans="2:3" x14ac:dyDescent="0.3">
      <c r="B422" s="4"/>
      <c r="C422" s="7"/>
    </row>
    <row r="423" spans="2:3" x14ac:dyDescent="0.3">
      <c r="B423" s="4"/>
      <c r="C423" s="7"/>
    </row>
    <row r="424" spans="2:3" x14ac:dyDescent="0.3">
      <c r="B424" s="4"/>
      <c r="C424" s="7"/>
    </row>
    <row r="425" spans="2:3" x14ac:dyDescent="0.3">
      <c r="B425" s="4"/>
      <c r="C425" s="7"/>
    </row>
    <row r="426" spans="2:3" x14ac:dyDescent="0.3">
      <c r="B426" s="4"/>
      <c r="C426" s="7"/>
    </row>
    <row r="427" spans="2:3" x14ac:dyDescent="0.3">
      <c r="B427" s="4"/>
      <c r="C427" s="7"/>
    </row>
    <row r="428" spans="2:3" x14ac:dyDescent="0.3">
      <c r="B428" s="4"/>
      <c r="C428" s="7"/>
    </row>
    <row r="429" spans="2:3" x14ac:dyDescent="0.3">
      <c r="B429" s="4"/>
      <c r="C429" s="7"/>
    </row>
    <row r="430" spans="2:3" x14ac:dyDescent="0.3">
      <c r="B430" s="4"/>
      <c r="C430" s="7"/>
    </row>
    <row r="431" spans="2:3" x14ac:dyDescent="0.3">
      <c r="B431" s="4"/>
      <c r="C431" s="7"/>
    </row>
    <row r="432" spans="2:3" x14ac:dyDescent="0.3">
      <c r="B432" s="4"/>
      <c r="C432" s="7"/>
    </row>
    <row r="433" spans="2:3" x14ac:dyDescent="0.3">
      <c r="B433" s="4"/>
      <c r="C433" s="7"/>
    </row>
    <row r="434" spans="2:3" x14ac:dyDescent="0.3">
      <c r="B434" s="4"/>
      <c r="C434" s="7"/>
    </row>
    <row r="435" spans="2:3" x14ac:dyDescent="0.3">
      <c r="B435" s="4"/>
      <c r="C435" s="7"/>
    </row>
    <row r="436" spans="2:3" x14ac:dyDescent="0.3">
      <c r="B436" s="4"/>
      <c r="C436" s="7"/>
    </row>
    <row r="437" spans="2:3" x14ac:dyDescent="0.3">
      <c r="B437" s="4"/>
      <c r="C437" s="7"/>
    </row>
    <row r="438" spans="2:3" x14ac:dyDescent="0.3">
      <c r="B438" s="4"/>
      <c r="C438" s="7"/>
    </row>
    <row r="439" spans="2:3" x14ac:dyDescent="0.3">
      <c r="B439" s="4"/>
      <c r="C439" s="7"/>
    </row>
    <row r="440" spans="2:3" x14ac:dyDescent="0.3">
      <c r="B440" s="4"/>
      <c r="C440" s="7"/>
    </row>
    <row r="441" spans="2:3" x14ac:dyDescent="0.3">
      <c r="B441" s="4"/>
      <c r="C441" s="7"/>
    </row>
    <row r="442" spans="2:3" x14ac:dyDescent="0.3">
      <c r="B442" s="4"/>
      <c r="C442" s="7"/>
    </row>
    <row r="443" spans="2:3" x14ac:dyDescent="0.3">
      <c r="B443" s="4"/>
      <c r="C443" s="7"/>
    </row>
    <row r="444" spans="2:3" x14ac:dyDescent="0.3">
      <c r="B444" s="4"/>
      <c r="C444" s="7"/>
    </row>
    <row r="445" spans="2:3" x14ac:dyDescent="0.3">
      <c r="B445" s="4"/>
      <c r="C445" s="7"/>
    </row>
    <row r="446" spans="2:3" x14ac:dyDescent="0.3">
      <c r="B446" s="4"/>
      <c r="C446" s="7"/>
    </row>
    <row r="447" spans="2:3" x14ac:dyDescent="0.3">
      <c r="B447" s="4"/>
      <c r="C447" s="7"/>
    </row>
    <row r="448" spans="2:3" x14ac:dyDescent="0.3">
      <c r="B448" s="4"/>
      <c r="C448" s="7"/>
    </row>
    <row r="449" spans="2:3" x14ac:dyDescent="0.3">
      <c r="B449" s="4"/>
      <c r="C449" s="7"/>
    </row>
    <row r="450" spans="2:3" x14ac:dyDescent="0.3">
      <c r="B450" s="4"/>
      <c r="C450" s="7"/>
    </row>
    <row r="451" spans="2:3" x14ac:dyDescent="0.3">
      <c r="B451" s="4"/>
      <c r="C451" s="7"/>
    </row>
    <row r="452" spans="2:3" x14ac:dyDescent="0.3">
      <c r="B452" s="4"/>
      <c r="C452" s="7"/>
    </row>
    <row r="453" spans="2:3" x14ac:dyDescent="0.3">
      <c r="B453" s="4"/>
      <c r="C453" s="7"/>
    </row>
    <row r="454" spans="2:3" x14ac:dyDescent="0.3">
      <c r="B454" s="4"/>
      <c r="C454" s="7"/>
    </row>
    <row r="455" spans="2:3" x14ac:dyDescent="0.3">
      <c r="B455" s="4"/>
      <c r="C455" s="7"/>
    </row>
    <row r="456" spans="2:3" x14ac:dyDescent="0.3">
      <c r="B456" s="4"/>
      <c r="C456" s="7"/>
    </row>
    <row r="457" spans="2:3" x14ac:dyDescent="0.3">
      <c r="B457" s="4"/>
      <c r="C457" s="7"/>
    </row>
    <row r="458" spans="2:3" x14ac:dyDescent="0.3">
      <c r="B458" s="4"/>
      <c r="C458" s="7"/>
    </row>
    <row r="459" spans="2:3" x14ac:dyDescent="0.3">
      <c r="B459" s="4"/>
      <c r="C459" s="7"/>
    </row>
    <row r="460" spans="2:3" x14ac:dyDescent="0.3">
      <c r="B460" s="4"/>
      <c r="C460" s="7"/>
    </row>
    <row r="461" spans="2:3" x14ac:dyDescent="0.3">
      <c r="B461" s="4"/>
      <c r="C461" s="7"/>
    </row>
    <row r="462" spans="2:3" x14ac:dyDescent="0.3">
      <c r="B462" s="4"/>
      <c r="C462" s="7"/>
    </row>
    <row r="463" spans="2:3" x14ac:dyDescent="0.3">
      <c r="B463" s="4"/>
      <c r="C463" s="7"/>
    </row>
    <row r="464" spans="2:3" x14ac:dyDescent="0.3">
      <c r="B464" s="4"/>
      <c r="C464" s="7"/>
    </row>
    <row r="465" spans="2:3" x14ac:dyDescent="0.3">
      <c r="B465" s="4"/>
      <c r="C465" s="7"/>
    </row>
    <row r="466" spans="2:3" x14ac:dyDescent="0.3">
      <c r="B466" s="4"/>
      <c r="C466" s="7"/>
    </row>
    <row r="467" spans="2:3" x14ac:dyDescent="0.3">
      <c r="B467" s="4"/>
      <c r="C467" s="7"/>
    </row>
    <row r="468" spans="2:3" x14ac:dyDescent="0.3">
      <c r="B468" s="4"/>
      <c r="C468" s="7"/>
    </row>
    <row r="469" spans="2:3" x14ac:dyDescent="0.3">
      <c r="B469" s="4"/>
      <c r="C469" s="7"/>
    </row>
    <row r="470" spans="2:3" x14ac:dyDescent="0.3">
      <c r="B470" s="4"/>
      <c r="C470" s="7"/>
    </row>
    <row r="471" spans="2:3" x14ac:dyDescent="0.3">
      <c r="B471" s="4"/>
      <c r="C471" s="7"/>
    </row>
    <row r="472" spans="2:3" x14ac:dyDescent="0.3">
      <c r="B472" s="4"/>
      <c r="C472" s="7"/>
    </row>
    <row r="473" spans="2:3" x14ac:dyDescent="0.3">
      <c r="B473" s="4"/>
      <c r="C473" s="7"/>
    </row>
    <row r="474" spans="2:3" x14ac:dyDescent="0.3">
      <c r="B474" s="4"/>
      <c r="C474" s="7"/>
    </row>
    <row r="475" spans="2:3" x14ac:dyDescent="0.3">
      <c r="B475" s="4"/>
      <c r="C475" s="7"/>
    </row>
    <row r="476" spans="2:3" x14ac:dyDescent="0.3">
      <c r="B476" s="4"/>
      <c r="C476" s="7"/>
    </row>
    <row r="477" spans="2:3" x14ac:dyDescent="0.3">
      <c r="B477" s="4"/>
      <c r="C477" s="7"/>
    </row>
    <row r="478" spans="2:3" x14ac:dyDescent="0.3">
      <c r="B478" s="4"/>
      <c r="C478" s="7"/>
    </row>
    <row r="479" spans="2:3" x14ac:dyDescent="0.3">
      <c r="B479" s="4"/>
      <c r="C479" s="7"/>
    </row>
    <row r="480" spans="2:3" x14ac:dyDescent="0.3">
      <c r="B480" s="4"/>
      <c r="C480" s="7"/>
    </row>
    <row r="481" spans="2:3" x14ac:dyDescent="0.3">
      <c r="B481" s="4"/>
      <c r="C481" s="7"/>
    </row>
    <row r="482" spans="2:3" x14ac:dyDescent="0.3">
      <c r="B482" s="4"/>
      <c r="C482" s="7"/>
    </row>
    <row r="483" spans="2:3" x14ac:dyDescent="0.3">
      <c r="B483" s="4"/>
      <c r="C483" s="7"/>
    </row>
    <row r="484" spans="2:3" x14ac:dyDescent="0.3">
      <c r="B484" s="4"/>
      <c r="C484" s="7"/>
    </row>
    <row r="485" spans="2:3" x14ac:dyDescent="0.3">
      <c r="B485" s="4"/>
      <c r="C485" s="7"/>
    </row>
    <row r="486" spans="2:3" x14ac:dyDescent="0.3">
      <c r="B486" s="4"/>
      <c r="C486" s="7"/>
    </row>
    <row r="487" spans="2:3" x14ac:dyDescent="0.3">
      <c r="B487" s="4"/>
      <c r="C487" s="7"/>
    </row>
    <row r="488" spans="2:3" x14ac:dyDescent="0.3">
      <c r="B488" s="4"/>
      <c r="C488" s="7"/>
    </row>
    <row r="489" spans="2:3" x14ac:dyDescent="0.3">
      <c r="B489" s="4"/>
      <c r="C489" s="7"/>
    </row>
    <row r="490" spans="2:3" x14ac:dyDescent="0.3">
      <c r="B490" s="4"/>
      <c r="C490" s="7"/>
    </row>
    <row r="491" spans="2:3" x14ac:dyDescent="0.3">
      <c r="B491" s="4"/>
      <c r="C491" s="7"/>
    </row>
    <row r="492" spans="2:3" x14ac:dyDescent="0.3">
      <c r="B492" s="4"/>
      <c r="C492" s="7"/>
    </row>
    <row r="493" spans="2:3" x14ac:dyDescent="0.3">
      <c r="B493" s="4"/>
      <c r="C493" s="7"/>
    </row>
    <row r="494" spans="2:3" x14ac:dyDescent="0.3">
      <c r="B494" s="4"/>
      <c r="C494" s="7"/>
    </row>
    <row r="495" spans="2:3" x14ac:dyDescent="0.3">
      <c r="B495" s="4"/>
      <c r="C495" s="7"/>
    </row>
    <row r="496" spans="2:3" x14ac:dyDescent="0.3">
      <c r="B496" s="4"/>
      <c r="C496" s="7"/>
    </row>
    <row r="497" spans="2:3" x14ac:dyDescent="0.3">
      <c r="B497" s="4"/>
      <c r="C497" s="7"/>
    </row>
    <row r="498" spans="2:3" x14ac:dyDescent="0.3">
      <c r="B498" s="4"/>
      <c r="C498" s="7"/>
    </row>
    <row r="499" spans="2:3" x14ac:dyDescent="0.3">
      <c r="B499" s="4"/>
      <c r="C499" s="7"/>
    </row>
    <row r="500" spans="2:3" x14ac:dyDescent="0.3">
      <c r="B500" s="4"/>
      <c r="C500" s="7"/>
    </row>
    <row r="501" spans="2:3" x14ac:dyDescent="0.3">
      <c r="B501" s="4"/>
      <c r="C501" s="7"/>
    </row>
    <row r="502" spans="2:3" x14ac:dyDescent="0.3">
      <c r="B502" s="4"/>
      <c r="C502" s="7"/>
    </row>
    <row r="503" spans="2:3" x14ac:dyDescent="0.3">
      <c r="B503" s="4"/>
      <c r="C503" s="7"/>
    </row>
    <row r="504" spans="2:3" x14ac:dyDescent="0.3">
      <c r="B504" s="4"/>
      <c r="C504" s="7"/>
    </row>
    <row r="505" spans="2:3" x14ac:dyDescent="0.3">
      <c r="B505" s="4"/>
      <c r="C505" s="7"/>
    </row>
    <row r="506" spans="2:3" x14ac:dyDescent="0.3">
      <c r="B506" s="4"/>
      <c r="C506" s="7"/>
    </row>
    <row r="507" spans="2:3" x14ac:dyDescent="0.3">
      <c r="B507" s="4"/>
      <c r="C507" s="7"/>
    </row>
    <row r="508" spans="2:3" x14ac:dyDescent="0.3">
      <c r="B508" s="4"/>
      <c r="C508" s="7"/>
    </row>
    <row r="509" spans="2:3" x14ac:dyDescent="0.3">
      <c r="B509" s="4"/>
      <c r="C509" s="7"/>
    </row>
    <row r="510" spans="2:3" x14ac:dyDescent="0.3">
      <c r="B510" s="4"/>
      <c r="C510" s="7"/>
    </row>
    <row r="511" spans="2:3" x14ac:dyDescent="0.3">
      <c r="B511" s="4"/>
      <c r="C511" s="7"/>
    </row>
    <row r="512" spans="2:3" x14ac:dyDescent="0.3">
      <c r="B512" s="4"/>
      <c r="C512" s="7"/>
    </row>
    <row r="513" spans="2:3" x14ac:dyDescent="0.3">
      <c r="B513" s="4"/>
      <c r="C513" s="7"/>
    </row>
    <row r="514" spans="2:3" x14ac:dyDescent="0.3">
      <c r="B514" s="4"/>
      <c r="C514" s="7"/>
    </row>
    <row r="515" spans="2:3" x14ac:dyDescent="0.3">
      <c r="B515" s="4"/>
      <c r="C515" s="7"/>
    </row>
    <row r="516" spans="2:3" x14ac:dyDescent="0.3">
      <c r="B516" s="4"/>
      <c r="C516" s="7"/>
    </row>
    <row r="517" spans="2:3" x14ac:dyDescent="0.3">
      <c r="B517" s="4"/>
      <c r="C517" s="7"/>
    </row>
    <row r="518" spans="2:3" x14ac:dyDescent="0.3">
      <c r="B518" s="4"/>
      <c r="C518" s="7"/>
    </row>
    <row r="519" spans="2:3" x14ac:dyDescent="0.3">
      <c r="B519" s="4"/>
      <c r="C519" s="7"/>
    </row>
    <row r="520" spans="2:3" x14ac:dyDescent="0.3">
      <c r="B520" s="4"/>
      <c r="C520" s="7"/>
    </row>
    <row r="521" spans="2:3" x14ac:dyDescent="0.3">
      <c r="B521" s="4"/>
      <c r="C521" s="7"/>
    </row>
    <row r="522" spans="2:3" x14ac:dyDescent="0.3">
      <c r="B522" s="4"/>
      <c r="C522" s="7"/>
    </row>
    <row r="523" spans="2:3" x14ac:dyDescent="0.3">
      <c r="B523" s="4"/>
      <c r="C523" s="7"/>
    </row>
    <row r="524" spans="2:3" x14ac:dyDescent="0.3">
      <c r="B524" s="4"/>
      <c r="C524" s="7"/>
    </row>
    <row r="525" spans="2:3" x14ac:dyDescent="0.3">
      <c r="B525" s="4"/>
      <c r="C525" s="7"/>
    </row>
    <row r="526" spans="2:3" x14ac:dyDescent="0.3">
      <c r="B526" s="4"/>
      <c r="C526" s="7"/>
    </row>
    <row r="527" spans="2:3" x14ac:dyDescent="0.3">
      <c r="B527" s="4"/>
      <c r="C527" s="7"/>
    </row>
    <row r="528" spans="2:3" x14ac:dyDescent="0.3">
      <c r="B528" s="4"/>
      <c r="C528" s="7"/>
    </row>
    <row r="529" spans="2:3" x14ac:dyDescent="0.3">
      <c r="B529" s="4"/>
      <c r="C529" s="7"/>
    </row>
    <row r="530" spans="2:3" x14ac:dyDescent="0.3">
      <c r="B530" s="4"/>
      <c r="C530" s="7"/>
    </row>
    <row r="531" spans="2:3" x14ac:dyDescent="0.3">
      <c r="B531" s="4"/>
      <c r="C531" s="7"/>
    </row>
    <row r="532" spans="2:3" x14ac:dyDescent="0.3">
      <c r="B532" s="4"/>
      <c r="C532" s="7"/>
    </row>
    <row r="533" spans="2:3" x14ac:dyDescent="0.3">
      <c r="B533" s="4"/>
      <c r="C533" s="7"/>
    </row>
    <row r="534" spans="2:3" x14ac:dyDescent="0.3">
      <c r="B534" s="4"/>
      <c r="C534" s="7"/>
    </row>
    <row r="535" spans="2:3" x14ac:dyDescent="0.3">
      <c r="B535" s="4"/>
      <c r="C535" s="7"/>
    </row>
    <row r="536" spans="2:3" x14ac:dyDescent="0.3">
      <c r="B536" s="4"/>
      <c r="C536" s="7"/>
    </row>
    <row r="537" spans="2:3" x14ac:dyDescent="0.3">
      <c r="B537" s="4"/>
      <c r="C537" s="7"/>
    </row>
    <row r="538" spans="2:3" x14ac:dyDescent="0.3">
      <c r="B538" s="4"/>
      <c r="C538" s="7"/>
    </row>
    <row r="539" spans="2:3" x14ac:dyDescent="0.3">
      <c r="B539" s="4"/>
      <c r="C539" s="7"/>
    </row>
    <row r="540" spans="2:3" x14ac:dyDescent="0.3">
      <c r="B540" s="4"/>
      <c r="C540" s="7"/>
    </row>
    <row r="541" spans="2:3" x14ac:dyDescent="0.3">
      <c r="B541" s="4"/>
      <c r="C541" s="7"/>
    </row>
    <row r="542" spans="2:3" x14ac:dyDescent="0.3">
      <c r="B542" s="4"/>
      <c r="C542" s="7"/>
    </row>
    <row r="543" spans="2:3" x14ac:dyDescent="0.3">
      <c r="B543" s="4"/>
      <c r="C543" s="7"/>
    </row>
    <row r="544" spans="2:3" x14ac:dyDescent="0.3">
      <c r="B544" s="4"/>
      <c r="C544" s="7"/>
    </row>
    <row r="545" spans="2:3" x14ac:dyDescent="0.3">
      <c r="B545" s="4"/>
      <c r="C545" s="7"/>
    </row>
    <row r="546" spans="2:3" x14ac:dyDescent="0.3">
      <c r="B546" s="4"/>
      <c r="C546" s="7"/>
    </row>
    <row r="547" spans="2:3" x14ac:dyDescent="0.3">
      <c r="B547" s="4"/>
      <c r="C547" s="7"/>
    </row>
    <row r="548" spans="2:3" x14ac:dyDescent="0.3">
      <c r="B548" s="4"/>
      <c r="C548" s="7"/>
    </row>
    <row r="549" spans="2:3" x14ac:dyDescent="0.3">
      <c r="B549" s="4"/>
      <c r="C549" s="7"/>
    </row>
    <row r="550" spans="2:3" x14ac:dyDescent="0.3">
      <c r="B550" s="4"/>
      <c r="C550" s="7"/>
    </row>
    <row r="551" spans="2:3" x14ac:dyDescent="0.3">
      <c r="B551" s="4"/>
      <c r="C551" s="7"/>
    </row>
    <row r="552" spans="2:3" x14ac:dyDescent="0.3">
      <c r="B552" s="4"/>
      <c r="C552" s="7"/>
    </row>
    <row r="553" spans="2:3" x14ac:dyDescent="0.3">
      <c r="B553" s="4"/>
      <c r="C553" s="7"/>
    </row>
    <row r="554" spans="2:3" x14ac:dyDescent="0.3">
      <c r="B554" s="4"/>
      <c r="C554" s="7"/>
    </row>
    <row r="555" spans="2:3" x14ac:dyDescent="0.3">
      <c r="B555" s="4"/>
      <c r="C555" s="7"/>
    </row>
    <row r="556" spans="2:3" x14ac:dyDescent="0.3">
      <c r="B556" s="4"/>
      <c r="C556" s="7"/>
    </row>
    <row r="557" spans="2:3" x14ac:dyDescent="0.3">
      <c r="B557" s="4"/>
      <c r="C557" s="7"/>
    </row>
    <row r="558" spans="2:3" x14ac:dyDescent="0.3">
      <c r="B558" s="4"/>
      <c r="C558" s="7"/>
    </row>
    <row r="559" spans="2:3" x14ac:dyDescent="0.3">
      <c r="B559" s="4"/>
      <c r="C559" s="7"/>
    </row>
    <row r="560" spans="2:3" x14ac:dyDescent="0.3">
      <c r="B560" s="4"/>
      <c r="C560" s="7"/>
    </row>
    <row r="561" spans="2:3" x14ac:dyDescent="0.3">
      <c r="B561" s="4"/>
      <c r="C561" s="7"/>
    </row>
    <row r="562" spans="2:3" x14ac:dyDescent="0.3">
      <c r="B562" s="4"/>
      <c r="C562" s="7"/>
    </row>
    <row r="563" spans="2:3" x14ac:dyDescent="0.3">
      <c r="B563" s="4"/>
      <c r="C563" s="7"/>
    </row>
    <row r="564" spans="2:3" x14ac:dyDescent="0.3">
      <c r="B564" s="4"/>
      <c r="C564" s="7"/>
    </row>
    <row r="565" spans="2:3" x14ac:dyDescent="0.3">
      <c r="B565" s="4"/>
      <c r="C565" s="7"/>
    </row>
    <row r="566" spans="2:3" x14ac:dyDescent="0.3">
      <c r="B566" s="4"/>
      <c r="C566" s="7"/>
    </row>
    <row r="567" spans="2:3" x14ac:dyDescent="0.3">
      <c r="B567" s="4"/>
      <c r="C567" s="7"/>
    </row>
    <row r="568" spans="2:3" x14ac:dyDescent="0.3">
      <c r="B568" s="4"/>
      <c r="C568" s="7"/>
    </row>
    <row r="569" spans="2:3" x14ac:dyDescent="0.3">
      <c r="B569" s="4"/>
      <c r="C569" s="7"/>
    </row>
    <row r="570" spans="2:3" x14ac:dyDescent="0.3">
      <c r="B570" s="4"/>
      <c r="C570" s="7"/>
    </row>
    <row r="571" spans="2:3" x14ac:dyDescent="0.3">
      <c r="B571" s="4"/>
      <c r="C571" s="7"/>
    </row>
    <row r="572" spans="2:3" x14ac:dyDescent="0.3">
      <c r="B572" s="4"/>
      <c r="C572" s="7"/>
    </row>
    <row r="573" spans="2:3" x14ac:dyDescent="0.3">
      <c r="B573" s="4"/>
      <c r="C573" s="7"/>
    </row>
    <row r="574" spans="2:3" x14ac:dyDescent="0.3">
      <c r="B574" s="4"/>
      <c r="C574" s="7"/>
    </row>
    <row r="575" spans="2:3" x14ac:dyDescent="0.3">
      <c r="B575" s="4"/>
      <c r="C575" s="7"/>
    </row>
    <row r="576" spans="2:3" x14ac:dyDescent="0.3">
      <c r="B576" s="4"/>
      <c r="C576" s="7"/>
    </row>
    <row r="577" spans="2:3" x14ac:dyDescent="0.3">
      <c r="B577" s="4"/>
      <c r="C577" s="7"/>
    </row>
    <row r="578" spans="2:3" x14ac:dyDescent="0.3">
      <c r="B578" s="4"/>
      <c r="C578" s="7"/>
    </row>
    <row r="579" spans="2:3" x14ac:dyDescent="0.3">
      <c r="B579" s="4"/>
      <c r="C579" s="7"/>
    </row>
    <row r="580" spans="2:3" x14ac:dyDescent="0.3">
      <c r="B580" s="4"/>
      <c r="C580" s="7"/>
    </row>
    <row r="581" spans="2:3" x14ac:dyDescent="0.3">
      <c r="B581" s="4"/>
      <c r="C581" s="7"/>
    </row>
    <row r="582" spans="2:3" x14ac:dyDescent="0.3">
      <c r="B582" s="4"/>
      <c r="C582" s="7"/>
    </row>
    <row r="583" spans="2:3" x14ac:dyDescent="0.3">
      <c r="B583" s="4"/>
      <c r="C583" s="7"/>
    </row>
    <row r="584" spans="2:3" x14ac:dyDescent="0.3">
      <c r="B584" s="4"/>
      <c r="C584" s="7"/>
    </row>
    <row r="585" spans="2:3" x14ac:dyDescent="0.3">
      <c r="B585" s="4"/>
      <c r="C585" s="7"/>
    </row>
    <row r="586" spans="2:3" x14ac:dyDescent="0.3">
      <c r="B586" s="4"/>
      <c r="C586" s="7"/>
    </row>
    <row r="587" spans="2:3" x14ac:dyDescent="0.3">
      <c r="B587" s="4"/>
      <c r="C587" s="7"/>
    </row>
    <row r="588" spans="2:3" x14ac:dyDescent="0.3">
      <c r="B588" s="4"/>
      <c r="C588" s="7"/>
    </row>
    <row r="589" spans="2:3" x14ac:dyDescent="0.3">
      <c r="B589" s="4"/>
      <c r="C589" s="7"/>
    </row>
    <row r="590" spans="2:3" x14ac:dyDescent="0.3">
      <c r="B590" s="4"/>
      <c r="C590" s="7"/>
    </row>
    <row r="591" spans="2:3" x14ac:dyDescent="0.3">
      <c r="B591" s="4"/>
      <c r="C591" s="7"/>
    </row>
    <row r="592" spans="2:3" x14ac:dyDescent="0.3">
      <c r="B592" s="4"/>
      <c r="C592" s="7"/>
    </row>
    <row r="593" spans="2:3" x14ac:dyDescent="0.3">
      <c r="B593" s="4"/>
      <c r="C593" s="7"/>
    </row>
    <row r="594" spans="2:3" x14ac:dyDescent="0.3">
      <c r="B594" s="4"/>
      <c r="C594" s="7"/>
    </row>
    <row r="595" spans="2:3" x14ac:dyDescent="0.3">
      <c r="B595" s="4"/>
      <c r="C595" s="7"/>
    </row>
    <row r="596" spans="2:3" x14ac:dyDescent="0.3">
      <c r="B596" s="4"/>
      <c r="C596" s="7"/>
    </row>
    <row r="597" spans="2:3" x14ac:dyDescent="0.3">
      <c r="B597" s="4"/>
      <c r="C597" s="7"/>
    </row>
    <row r="598" spans="2:3" x14ac:dyDescent="0.3">
      <c r="B598" s="4"/>
      <c r="C598" s="7"/>
    </row>
    <row r="599" spans="2:3" x14ac:dyDescent="0.3">
      <c r="B599" s="4"/>
      <c r="C599" s="7"/>
    </row>
    <row r="600" spans="2:3" x14ac:dyDescent="0.3">
      <c r="B600" s="4"/>
      <c r="C600" s="7"/>
    </row>
    <row r="601" spans="2:3" x14ac:dyDescent="0.3">
      <c r="B601" s="4"/>
      <c r="C601" s="7"/>
    </row>
    <row r="602" spans="2:3" x14ac:dyDescent="0.3">
      <c r="B602" s="4"/>
      <c r="C602" s="7"/>
    </row>
    <row r="603" spans="2:3" x14ac:dyDescent="0.3">
      <c r="B603" s="4"/>
      <c r="C603" s="7"/>
    </row>
    <row r="604" spans="2:3" x14ac:dyDescent="0.3">
      <c r="B604" s="4"/>
      <c r="C604" s="7"/>
    </row>
    <row r="605" spans="2:3" x14ac:dyDescent="0.3">
      <c r="B605" s="4"/>
      <c r="C605" s="7"/>
    </row>
    <row r="606" spans="2:3" x14ac:dyDescent="0.3">
      <c r="B606" s="4"/>
      <c r="C606" s="7"/>
    </row>
    <row r="607" spans="2:3" x14ac:dyDescent="0.3">
      <c r="B607" s="4"/>
      <c r="C607" s="7"/>
    </row>
    <row r="608" spans="2:3" x14ac:dyDescent="0.3">
      <c r="B608" s="4"/>
      <c r="C608" s="7"/>
    </row>
    <row r="609" spans="2:3" x14ac:dyDescent="0.3">
      <c r="B609" s="4"/>
      <c r="C609" s="7"/>
    </row>
    <row r="610" spans="2:3" x14ac:dyDescent="0.3">
      <c r="B610" s="4"/>
      <c r="C610" s="7"/>
    </row>
    <row r="611" spans="2:3" x14ac:dyDescent="0.3">
      <c r="B611" s="4"/>
      <c r="C611" s="7"/>
    </row>
    <row r="612" spans="2:3" x14ac:dyDescent="0.3">
      <c r="B612" s="4"/>
      <c r="C612" s="7"/>
    </row>
    <row r="613" spans="2:3" x14ac:dyDescent="0.3">
      <c r="B613" s="4"/>
      <c r="C613" s="7"/>
    </row>
    <row r="614" spans="2:3" x14ac:dyDescent="0.3">
      <c r="B614" s="4"/>
      <c r="C614" s="7"/>
    </row>
    <row r="615" spans="2:3" x14ac:dyDescent="0.3">
      <c r="B615" s="4"/>
      <c r="C615" s="7"/>
    </row>
    <row r="616" spans="2:3" x14ac:dyDescent="0.3">
      <c r="B616" s="4"/>
      <c r="C616" s="7"/>
    </row>
    <row r="617" spans="2:3" x14ac:dyDescent="0.3">
      <c r="B617" s="4"/>
      <c r="C617" s="7"/>
    </row>
    <row r="618" spans="2:3" x14ac:dyDescent="0.3">
      <c r="B618" s="4"/>
      <c r="C618" s="7"/>
    </row>
    <row r="619" spans="2:3" x14ac:dyDescent="0.3">
      <c r="B619" s="4"/>
      <c r="C619" s="7"/>
    </row>
    <row r="620" spans="2:3" x14ac:dyDescent="0.3">
      <c r="B620" s="4"/>
      <c r="C620" s="7"/>
    </row>
    <row r="621" spans="2:3" x14ac:dyDescent="0.3">
      <c r="B621" s="4"/>
      <c r="C621" s="7"/>
    </row>
    <row r="622" spans="2:3" x14ac:dyDescent="0.3">
      <c r="B622" s="4"/>
      <c r="C622" s="7"/>
    </row>
    <row r="623" spans="2:3" x14ac:dyDescent="0.3">
      <c r="B623" s="4"/>
      <c r="C623" s="7"/>
    </row>
    <row r="624" spans="2:3" x14ac:dyDescent="0.3">
      <c r="B624" s="4"/>
      <c r="C624" s="7"/>
    </row>
    <row r="625" spans="2:3" x14ac:dyDescent="0.3">
      <c r="B625" s="4"/>
      <c r="C625" s="7"/>
    </row>
    <row r="626" spans="2:3" x14ac:dyDescent="0.3">
      <c r="B626" s="4"/>
      <c r="C626" s="7"/>
    </row>
    <row r="627" spans="2:3" x14ac:dyDescent="0.3">
      <c r="B627" s="4"/>
      <c r="C627" s="7"/>
    </row>
    <row r="628" spans="2:3" x14ac:dyDescent="0.3">
      <c r="B628" s="4"/>
      <c r="C628" s="7"/>
    </row>
    <row r="629" spans="2:3" x14ac:dyDescent="0.3">
      <c r="B629" s="4"/>
      <c r="C629" s="7"/>
    </row>
    <row r="630" spans="2:3" x14ac:dyDescent="0.3">
      <c r="B630" s="4"/>
      <c r="C630" s="7"/>
    </row>
    <row r="631" spans="2:3" x14ac:dyDescent="0.3">
      <c r="B631" s="4"/>
      <c r="C631" s="7"/>
    </row>
    <row r="632" spans="2:3" x14ac:dyDescent="0.3">
      <c r="B632" s="4"/>
      <c r="C632" s="7"/>
    </row>
    <row r="633" spans="2:3" x14ac:dyDescent="0.3">
      <c r="B633" s="4"/>
      <c r="C633" s="7"/>
    </row>
    <row r="634" spans="2:3" x14ac:dyDescent="0.3">
      <c r="B634" s="4"/>
      <c r="C634" s="7"/>
    </row>
    <row r="635" spans="2:3" x14ac:dyDescent="0.3">
      <c r="B635" s="4"/>
      <c r="C635" s="7"/>
    </row>
    <row r="636" spans="2:3" x14ac:dyDescent="0.3">
      <c r="B636" s="4"/>
      <c r="C636" s="7"/>
    </row>
    <row r="637" spans="2:3" x14ac:dyDescent="0.3">
      <c r="B637" s="4"/>
      <c r="C637" s="7"/>
    </row>
    <row r="638" spans="2:3" x14ac:dyDescent="0.3">
      <c r="B638" s="4"/>
      <c r="C638" s="7"/>
    </row>
    <row r="639" spans="2:3" x14ac:dyDescent="0.3">
      <c r="B639" s="4"/>
      <c r="C639" s="7"/>
    </row>
    <row r="640" spans="2:3" x14ac:dyDescent="0.3">
      <c r="B640" s="4"/>
      <c r="C640" s="7"/>
    </row>
    <row r="641" spans="2:3" x14ac:dyDescent="0.3">
      <c r="B641" s="4"/>
      <c r="C641" s="7"/>
    </row>
    <row r="642" spans="2:3" x14ac:dyDescent="0.3">
      <c r="B642" s="4"/>
      <c r="C642" s="7"/>
    </row>
    <row r="643" spans="2:3" x14ac:dyDescent="0.3">
      <c r="B643" s="4"/>
      <c r="C643" s="7"/>
    </row>
    <row r="644" spans="2:3" x14ac:dyDescent="0.3">
      <c r="B644" s="4"/>
      <c r="C644" s="7"/>
    </row>
    <row r="645" spans="2:3" x14ac:dyDescent="0.3">
      <c r="B645" s="4"/>
      <c r="C645" s="7"/>
    </row>
    <row r="646" spans="2:3" x14ac:dyDescent="0.3">
      <c r="B646" s="4"/>
      <c r="C646" s="7"/>
    </row>
    <row r="647" spans="2:3" x14ac:dyDescent="0.3">
      <c r="B647" s="4"/>
      <c r="C647" s="7"/>
    </row>
    <row r="648" spans="2:3" x14ac:dyDescent="0.3">
      <c r="B648" s="4"/>
      <c r="C648" s="7"/>
    </row>
    <row r="649" spans="2:3" x14ac:dyDescent="0.3">
      <c r="B649" s="4"/>
      <c r="C649" s="7"/>
    </row>
    <row r="650" spans="2:3" x14ac:dyDescent="0.3">
      <c r="B650" s="4"/>
      <c r="C650" s="7"/>
    </row>
    <row r="651" spans="2:3" x14ac:dyDescent="0.3">
      <c r="B651" s="4"/>
      <c r="C651" s="7"/>
    </row>
    <row r="652" spans="2:3" x14ac:dyDescent="0.3">
      <c r="B652" s="4"/>
      <c r="C652" s="7"/>
    </row>
    <row r="653" spans="2:3" x14ac:dyDescent="0.3">
      <c r="B653" s="4"/>
      <c r="C653" s="7"/>
    </row>
    <row r="654" spans="2:3" x14ac:dyDescent="0.3">
      <c r="B654" s="4"/>
      <c r="C654" s="7"/>
    </row>
    <row r="655" spans="2:3" x14ac:dyDescent="0.3">
      <c r="B655" s="4"/>
      <c r="C655" s="7"/>
    </row>
    <row r="656" spans="2:3" x14ac:dyDescent="0.3">
      <c r="B656" s="4"/>
      <c r="C656" s="7"/>
    </row>
    <row r="657" spans="2:3" x14ac:dyDescent="0.3">
      <c r="B657" s="4"/>
      <c r="C657" s="7"/>
    </row>
    <row r="658" spans="2:3" x14ac:dyDescent="0.3">
      <c r="B658" s="4"/>
      <c r="C658" s="7"/>
    </row>
    <row r="659" spans="2:3" x14ac:dyDescent="0.3">
      <c r="B659" s="4"/>
      <c r="C659" s="7"/>
    </row>
    <row r="660" spans="2:3" x14ac:dyDescent="0.3">
      <c r="B660" s="4"/>
      <c r="C660" s="7"/>
    </row>
    <row r="661" spans="2:3" x14ac:dyDescent="0.3">
      <c r="B661" s="4"/>
      <c r="C661" s="7"/>
    </row>
    <row r="662" spans="2:3" x14ac:dyDescent="0.3">
      <c r="B662" s="4"/>
      <c r="C662" s="7"/>
    </row>
    <row r="663" spans="2:3" x14ac:dyDescent="0.3">
      <c r="B663" s="4"/>
      <c r="C663" s="7"/>
    </row>
    <row r="664" spans="2:3" x14ac:dyDescent="0.3">
      <c r="B664" s="4"/>
      <c r="C664" s="7"/>
    </row>
    <row r="665" spans="2:3" x14ac:dyDescent="0.3">
      <c r="B665" s="4"/>
      <c r="C665" s="7"/>
    </row>
    <row r="666" spans="2:3" x14ac:dyDescent="0.3">
      <c r="B666" s="4"/>
      <c r="C666" s="7"/>
    </row>
    <row r="667" spans="2:3" x14ac:dyDescent="0.3">
      <c r="B667" s="4"/>
      <c r="C667" s="7"/>
    </row>
    <row r="668" spans="2:3" x14ac:dyDescent="0.3">
      <c r="B668" s="4"/>
      <c r="C668" s="7"/>
    </row>
    <row r="669" spans="2:3" x14ac:dyDescent="0.3">
      <c r="B669" s="4"/>
      <c r="C669" s="7"/>
    </row>
    <row r="670" spans="2:3" x14ac:dyDescent="0.3">
      <c r="B670" s="4"/>
      <c r="C670" s="7"/>
    </row>
    <row r="671" spans="2:3" x14ac:dyDescent="0.3">
      <c r="B671" s="4"/>
      <c r="C671" s="7"/>
    </row>
    <row r="672" spans="2:3" x14ac:dyDescent="0.3">
      <c r="B672" s="4"/>
      <c r="C672" s="7"/>
    </row>
    <row r="673" spans="2:3" x14ac:dyDescent="0.3">
      <c r="B673" s="4"/>
      <c r="C673" s="7"/>
    </row>
    <row r="674" spans="2:3" x14ac:dyDescent="0.3">
      <c r="B674" s="4"/>
      <c r="C674" s="7"/>
    </row>
    <row r="675" spans="2:3" x14ac:dyDescent="0.3">
      <c r="B675" s="4"/>
      <c r="C675" s="7"/>
    </row>
    <row r="676" spans="2:3" x14ac:dyDescent="0.3">
      <c r="B676" s="4"/>
      <c r="C676" s="7"/>
    </row>
    <row r="677" spans="2:3" x14ac:dyDescent="0.3">
      <c r="B677" s="4"/>
      <c r="C677" s="7"/>
    </row>
    <row r="678" spans="2:3" x14ac:dyDescent="0.3">
      <c r="B678" s="4"/>
      <c r="C678" s="7"/>
    </row>
    <row r="679" spans="2:3" x14ac:dyDescent="0.3">
      <c r="B679" s="4"/>
      <c r="C679" s="7"/>
    </row>
    <row r="680" spans="2:3" x14ac:dyDescent="0.3">
      <c r="B680" s="4"/>
      <c r="C680" s="7"/>
    </row>
    <row r="681" spans="2:3" x14ac:dyDescent="0.3">
      <c r="B681" s="4"/>
      <c r="C681" s="7"/>
    </row>
    <row r="682" spans="2:3" x14ac:dyDescent="0.3">
      <c r="B682" s="4"/>
      <c r="C682" s="7"/>
    </row>
    <row r="683" spans="2:3" x14ac:dyDescent="0.3">
      <c r="B683" s="4"/>
      <c r="C683" s="7"/>
    </row>
    <row r="684" spans="2:3" x14ac:dyDescent="0.3">
      <c r="B684" s="4"/>
      <c r="C684" s="7"/>
    </row>
    <row r="685" spans="2:3" x14ac:dyDescent="0.3">
      <c r="B685" s="4"/>
      <c r="C685" s="7"/>
    </row>
    <row r="686" spans="2:3" x14ac:dyDescent="0.3">
      <c r="B686" s="4"/>
      <c r="C686" s="7"/>
    </row>
    <row r="687" spans="2:3" x14ac:dyDescent="0.3">
      <c r="B687" s="4"/>
      <c r="C687" s="7"/>
    </row>
    <row r="688" spans="2:3" x14ac:dyDescent="0.3">
      <c r="B688" s="4"/>
      <c r="C688" s="7"/>
    </row>
    <row r="689" spans="2:3" x14ac:dyDescent="0.3">
      <c r="B689" s="4"/>
      <c r="C689" s="7"/>
    </row>
    <row r="690" spans="2:3" x14ac:dyDescent="0.3">
      <c r="B690" s="4"/>
      <c r="C690" s="7"/>
    </row>
    <row r="691" spans="2:3" x14ac:dyDescent="0.3">
      <c r="B691" s="4"/>
      <c r="C691" s="7"/>
    </row>
    <row r="692" spans="2:3" x14ac:dyDescent="0.3">
      <c r="B692" s="4"/>
      <c r="C692" s="7"/>
    </row>
    <row r="693" spans="2:3" x14ac:dyDescent="0.3">
      <c r="B693" s="4"/>
      <c r="C693" s="7"/>
    </row>
    <row r="694" spans="2:3" x14ac:dyDescent="0.3">
      <c r="B694" s="4"/>
      <c r="C694" s="7"/>
    </row>
    <row r="695" spans="2:3" x14ac:dyDescent="0.3">
      <c r="B695" s="4"/>
      <c r="C695" s="7"/>
    </row>
    <row r="696" spans="2:3" x14ac:dyDescent="0.3">
      <c r="B696" s="4"/>
      <c r="C696" s="7"/>
    </row>
    <row r="697" spans="2:3" x14ac:dyDescent="0.3">
      <c r="B697" s="4"/>
      <c r="C697" s="7"/>
    </row>
    <row r="698" spans="2:3" x14ac:dyDescent="0.3">
      <c r="B698" s="4"/>
      <c r="C698" s="7"/>
    </row>
    <row r="699" spans="2:3" x14ac:dyDescent="0.3">
      <c r="B699" s="4"/>
      <c r="C699" s="7"/>
    </row>
    <row r="700" spans="2:3" x14ac:dyDescent="0.3">
      <c r="B700" s="4"/>
      <c r="C700" s="7"/>
    </row>
    <row r="701" spans="2:3" x14ac:dyDescent="0.3">
      <c r="B701" s="4"/>
      <c r="C701" s="7"/>
    </row>
    <row r="702" spans="2:3" x14ac:dyDescent="0.3">
      <c r="B702" s="4"/>
      <c r="C702" s="7"/>
    </row>
    <row r="703" spans="2:3" x14ac:dyDescent="0.3">
      <c r="B703" s="4"/>
      <c r="C703" s="7"/>
    </row>
    <row r="704" spans="2:3" x14ac:dyDescent="0.3">
      <c r="B704" s="4"/>
      <c r="C704" s="7"/>
    </row>
    <row r="705" spans="2:3" x14ac:dyDescent="0.3">
      <c r="B705" s="4"/>
      <c r="C705" s="7"/>
    </row>
    <row r="706" spans="2:3" x14ac:dyDescent="0.3">
      <c r="B706" s="4"/>
      <c r="C706" s="7"/>
    </row>
    <row r="707" spans="2:3" x14ac:dyDescent="0.3">
      <c r="B707" s="4"/>
      <c r="C707" s="7"/>
    </row>
    <row r="708" spans="2:3" x14ac:dyDescent="0.3">
      <c r="B708" s="4"/>
      <c r="C708" s="7"/>
    </row>
    <row r="709" spans="2:3" x14ac:dyDescent="0.3">
      <c r="B709" s="4"/>
      <c r="C709" s="7"/>
    </row>
    <row r="710" spans="2:3" x14ac:dyDescent="0.3">
      <c r="B710" s="4"/>
      <c r="C710" s="7"/>
    </row>
    <row r="711" spans="2:3" x14ac:dyDescent="0.3">
      <c r="B711" s="4"/>
      <c r="C711" s="7"/>
    </row>
    <row r="712" spans="2:3" x14ac:dyDescent="0.3">
      <c r="B712" s="4"/>
      <c r="C712" s="7"/>
    </row>
    <row r="713" spans="2:3" x14ac:dyDescent="0.3">
      <c r="B713" s="4"/>
      <c r="C713" s="7"/>
    </row>
    <row r="714" spans="2:3" x14ac:dyDescent="0.3">
      <c r="B714" s="4"/>
      <c r="C714" s="7"/>
    </row>
    <row r="715" spans="2:3" x14ac:dyDescent="0.3">
      <c r="B715" s="4"/>
      <c r="C715" s="7"/>
    </row>
    <row r="716" spans="2:3" x14ac:dyDescent="0.3">
      <c r="B716" s="4"/>
      <c r="C716" s="7"/>
    </row>
    <row r="717" spans="2:3" x14ac:dyDescent="0.3">
      <c r="B717" s="4"/>
      <c r="C717" s="7"/>
    </row>
    <row r="718" spans="2:3" x14ac:dyDescent="0.3">
      <c r="B718" s="4"/>
      <c r="C718" s="7"/>
    </row>
    <row r="719" spans="2:3" x14ac:dyDescent="0.3">
      <c r="B719" s="4"/>
      <c r="C719" s="7"/>
    </row>
    <row r="720" spans="2:3" x14ac:dyDescent="0.3">
      <c r="B720" s="4"/>
      <c r="C720" s="7"/>
    </row>
    <row r="721" spans="2:3" x14ac:dyDescent="0.3">
      <c r="B721" s="4"/>
      <c r="C721" s="7"/>
    </row>
    <row r="722" spans="2:3" x14ac:dyDescent="0.3">
      <c r="B722" s="4"/>
      <c r="C722" s="7"/>
    </row>
    <row r="723" spans="2:3" x14ac:dyDescent="0.3">
      <c r="B723" s="4"/>
      <c r="C723" s="7"/>
    </row>
    <row r="724" spans="2:3" x14ac:dyDescent="0.3">
      <c r="B724" s="4"/>
      <c r="C724" s="7"/>
    </row>
    <row r="725" spans="2:3" x14ac:dyDescent="0.3">
      <c r="B725" s="4"/>
      <c r="C725" s="7"/>
    </row>
    <row r="726" spans="2:3" x14ac:dyDescent="0.3">
      <c r="B726" s="4"/>
      <c r="C726" s="7"/>
    </row>
    <row r="727" spans="2:3" x14ac:dyDescent="0.3">
      <c r="B727" s="4"/>
      <c r="C727" s="7"/>
    </row>
    <row r="728" spans="2:3" x14ac:dyDescent="0.3">
      <c r="B728" s="4"/>
      <c r="C728" s="7"/>
    </row>
    <row r="729" spans="2:3" x14ac:dyDescent="0.3">
      <c r="B729" s="4"/>
      <c r="C729" s="7"/>
    </row>
    <row r="730" spans="2:3" x14ac:dyDescent="0.3">
      <c r="B730" s="4"/>
      <c r="C73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BA82-D938-4E9B-AEE6-7E9F30BC1996}">
  <dimension ref="A1:L730"/>
  <sheetViews>
    <sheetView workbookViewId="0"/>
  </sheetViews>
  <sheetFormatPr defaultColWidth="15.77734375" defaultRowHeight="14.4" x14ac:dyDescent="0.3"/>
  <cols>
    <col min="10" max="10" width="15.6640625" bestFit="1" customWidth="1"/>
  </cols>
  <sheetData>
    <row r="1" spans="1:12" x14ac:dyDescent="0.3">
      <c r="A1" s="5" t="s">
        <v>1</v>
      </c>
      <c r="B1" s="5" t="s">
        <v>28</v>
      </c>
      <c r="C1" s="5" t="s">
        <v>29</v>
      </c>
      <c r="D1" s="5" t="s">
        <v>31</v>
      </c>
      <c r="E1" s="5" t="s">
        <v>30</v>
      </c>
      <c r="F1" s="5" t="s">
        <v>26</v>
      </c>
      <c r="G1" s="5" t="s">
        <v>27</v>
      </c>
      <c r="I1" s="1"/>
      <c r="J1" s="5" t="s">
        <v>38</v>
      </c>
      <c r="K1" s="5" t="s">
        <v>22</v>
      </c>
      <c r="L1" s="5" t="s">
        <v>32</v>
      </c>
    </row>
    <row r="2" spans="1:12" x14ac:dyDescent="0.3">
      <c r="A2" vm="2">
        <v>45169</v>
      </c>
      <c r="B2" s="4" vm="3">
        <v>19253.8</v>
      </c>
      <c r="C2" s="4" vm="1471">
        <v>1292.55</v>
      </c>
      <c r="D2" s="4" vm="1472">
        <v>3336.6</v>
      </c>
      <c r="E2" s="4" vm="1473">
        <v>1099.32</v>
      </c>
      <c r="F2" s="4" vm="1474">
        <v>97.6</v>
      </c>
      <c r="G2" s="4" vm="1475">
        <v>50.35</v>
      </c>
      <c r="I2" s="1" t="s">
        <v>28</v>
      </c>
      <c r="J2" s="6"/>
      <c r="K2" s="6"/>
    </row>
    <row r="3" spans="1:12" x14ac:dyDescent="0.3">
      <c r="A3" vm="4">
        <v>45170</v>
      </c>
      <c r="B3" s="4" vm="5">
        <v>19435.3</v>
      </c>
      <c r="C3" s="4" vm="1476">
        <v>1320.55</v>
      </c>
      <c r="D3" s="4" vm="1477">
        <v>3400.4</v>
      </c>
      <c r="E3" s="4" vm="1478">
        <v>1095.7774999999999</v>
      </c>
      <c r="F3" s="4" vm="1479">
        <v>97.2</v>
      </c>
      <c r="G3" s="4" vm="1480">
        <v>50.37</v>
      </c>
      <c r="I3" s="1" t="s">
        <v>29</v>
      </c>
      <c r="J3" s="6"/>
      <c r="K3" s="6"/>
    </row>
    <row r="4" spans="1:12" x14ac:dyDescent="0.3">
      <c r="A4" vm="6">
        <v>45173</v>
      </c>
      <c r="B4" s="4" vm="7">
        <v>19528.8</v>
      </c>
      <c r="C4" s="4" vm="1481">
        <v>1328.35</v>
      </c>
      <c r="D4" s="4" vm="1482">
        <v>3434.15</v>
      </c>
      <c r="E4" s="4" vm="1483">
        <v>1086.9100000000001</v>
      </c>
      <c r="F4" s="4" vm="1484">
        <v>98.05</v>
      </c>
      <c r="G4" s="4" vm="1485">
        <v>50.44</v>
      </c>
      <c r="I4" s="1" t="s">
        <v>31</v>
      </c>
      <c r="J4" s="6"/>
      <c r="K4" s="6"/>
    </row>
    <row r="5" spans="1:12" x14ac:dyDescent="0.3">
      <c r="A5" vm="8">
        <v>45174</v>
      </c>
      <c r="B5" s="4" vm="9">
        <v>19574.900000000001</v>
      </c>
      <c r="C5" s="4" vm="1486">
        <v>1309.45</v>
      </c>
      <c r="D5" s="4" vm="1487">
        <v>3403.45</v>
      </c>
      <c r="E5" s="4" vm="1488">
        <v>1097.7225000000001</v>
      </c>
      <c r="F5" s="4" vm="1489">
        <v>98.2</v>
      </c>
      <c r="G5" s="4" vm="1475">
        <v>50.35</v>
      </c>
      <c r="I5" s="1" t="s">
        <v>30</v>
      </c>
      <c r="J5" s="6"/>
      <c r="K5" s="6"/>
    </row>
    <row r="6" spans="1:12" x14ac:dyDescent="0.3">
      <c r="A6" vm="10">
        <v>45175</v>
      </c>
      <c r="B6" s="4" vm="11">
        <v>19611.05</v>
      </c>
      <c r="C6" s="4" vm="1490">
        <v>1319.8</v>
      </c>
      <c r="D6" s="4" vm="1491">
        <v>3391.3</v>
      </c>
      <c r="E6" s="4" vm="1492">
        <v>1100.2049999999999</v>
      </c>
      <c r="F6" s="4" vm="1489">
        <v>98.2</v>
      </c>
      <c r="G6" s="4" vm="1493">
        <v>50.31</v>
      </c>
      <c r="I6" s="1" t="s">
        <v>26</v>
      </c>
      <c r="J6" s="6"/>
      <c r="K6" s="6"/>
    </row>
    <row r="7" spans="1:12" x14ac:dyDescent="0.3">
      <c r="A7" vm="12">
        <v>45176</v>
      </c>
      <c r="B7" s="4" vm="13">
        <v>19727.05</v>
      </c>
      <c r="C7" s="4" vm="1494">
        <v>1347.5</v>
      </c>
      <c r="D7" s="4" vm="1495">
        <v>3402.45</v>
      </c>
      <c r="E7" s="4" vm="1496">
        <v>1094.8150000000001</v>
      </c>
      <c r="F7" s="4" vm="1497">
        <v>100.05</v>
      </c>
      <c r="G7" s="4">
        <v>50.225000000000001</v>
      </c>
      <c r="I7" s="1" t="s">
        <v>27</v>
      </c>
      <c r="J7" s="6"/>
      <c r="K7" s="6"/>
    </row>
    <row r="8" spans="1:12" x14ac:dyDescent="0.3">
      <c r="A8" vm="14">
        <v>45177</v>
      </c>
      <c r="B8" s="4" vm="15">
        <v>19819.95</v>
      </c>
      <c r="C8" s="4" vm="1498">
        <v>1341.45</v>
      </c>
      <c r="D8" s="4" vm="1499">
        <v>3370.9</v>
      </c>
      <c r="E8" s="4" vm="1500">
        <v>1094.1624999999999</v>
      </c>
      <c r="F8" s="4" vm="1501">
        <v>99.6</v>
      </c>
      <c r="G8" s="4">
        <v>50.27</v>
      </c>
    </row>
    <row r="9" spans="1:12" x14ac:dyDescent="0.3">
      <c r="A9" vm="16">
        <v>45180</v>
      </c>
      <c r="B9" s="4" vm="17">
        <v>19996.349999999999</v>
      </c>
      <c r="C9" s="4" vm="1502">
        <v>1350.15</v>
      </c>
      <c r="D9" s="4" vm="1503">
        <v>3404.5</v>
      </c>
      <c r="E9" s="4" vm="1504">
        <v>1106.3525</v>
      </c>
      <c r="F9" s="4" vm="1505">
        <v>101.35</v>
      </c>
      <c r="G9" s="4" vm="1506">
        <v>50.17</v>
      </c>
    </row>
    <row r="10" spans="1:12" x14ac:dyDescent="0.3">
      <c r="A10" vm="18">
        <v>45181</v>
      </c>
      <c r="B10" s="4" vm="19">
        <v>19993.2</v>
      </c>
      <c r="C10" s="4" vm="1507">
        <v>1346.5</v>
      </c>
      <c r="D10" s="4" vm="1508">
        <v>3341.25</v>
      </c>
      <c r="E10" s="4" vm="1509">
        <v>1115.8875</v>
      </c>
      <c r="F10" s="4" vm="1510">
        <v>98.75</v>
      </c>
      <c r="G10" s="4" vm="1511">
        <v>50.21</v>
      </c>
    </row>
    <row r="11" spans="1:12" x14ac:dyDescent="0.3">
      <c r="A11" vm="20">
        <v>45182</v>
      </c>
      <c r="B11" s="4" vm="21">
        <v>20070</v>
      </c>
      <c r="C11" s="4" vm="1512">
        <v>1345.5</v>
      </c>
      <c r="D11" s="4" vm="1513">
        <v>3320.3</v>
      </c>
      <c r="E11" s="4" vm="1514">
        <v>1108.99</v>
      </c>
      <c r="F11" s="4" vm="1515">
        <v>97.9</v>
      </c>
      <c r="G11" s="4" vm="1516">
        <v>50.16</v>
      </c>
    </row>
    <row r="12" spans="1:12" x14ac:dyDescent="0.3">
      <c r="A12" vm="22">
        <v>45183</v>
      </c>
      <c r="B12" s="4" vm="23">
        <v>20103.099999999999</v>
      </c>
      <c r="C12" s="4" vm="1517">
        <v>1352.75</v>
      </c>
      <c r="D12" s="4" vm="1518">
        <v>3381.4</v>
      </c>
      <c r="E12" s="4" vm="1519">
        <v>1123.885</v>
      </c>
      <c r="F12" s="4" vm="1520">
        <v>99.45</v>
      </c>
      <c r="G12" s="4" vm="1521">
        <v>50.02</v>
      </c>
    </row>
    <row r="13" spans="1:12" x14ac:dyDescent="0.3">
      <c r="A13" vm="24">
        <v>45184</v>
      </c>
      <c r="B13" s="4" vm="25">
        <v>20192.349999999999</v>
      </c>
      <c r="C13" s="4" vm="1522">
        <v>1372.65</v>
      </c>
      <c r="D13" s="4" vm="1523">
        <v>3427.2</v>
      </c>
      <c r="E13" s="4" vm="1524">
        <v>1131.115</v>
      </c>
      <c r="F13" s="4" vm="1525">
        <v>102.95</v>
      </c>
      <c r="G13" s="4" vm="1526">
        <v>49.88</v>
      </c>
    </row>
    <row r="14" spans="1:12" x14ac:dyDescent="0.3">
      <c r="A14" vm="26">
        <v>45187</v>
      </c>
      <c r="B14" s="4" vm="27">
        <v>20133.3</v>
      </c>
      <c r="C14" s="4" vm="1527">
        <v>1373.7</v>
      </c>
      <c r="D14" s="4" vm="1528">
        <v>3431.75</v>
      </c>
      <c r="E14" s="4" vm="1529">
        <v>1140.97</v>
      </c>
      <c r="F14" s="4" vm="1530">
        <v>102.15</v>
      </c>
      <c r="G14" s="4" vm="1526">
        <v>49.88</v>
      </c>
    </row>
    <row r="15" spans="1:12" x14ac:dyDescent="0.3">
      <c r="A15" vm="28">
        <v>45189</v>
      </c>
      <c r="B15" s="4" vm="29">
        <v>19901.400000000001</v>
      </c>
      <c r="C15" s="4" vm="1531">
        <v>1345.2</v>
      </c>
      <c r="D15" s="4" vm="1532">
        <v>3441.2</v>
      </c>
      <c r="E15" s="4" vm="1533">
        <v>1134.0125</v>
      </c>
      <c r="F15" s="4" vm="1534">
        <v>100</v>
      </c>
      <c r="G15" s="4" vm="1535">
        <v>50.12</v>
      </c>
    </row>
    <row r="16" spans="1:12" x14ac:dyDescent="0.3">
      <c r="A16" vm="30">
        <v>45190</v>
      </c>
      <c r="B16" s="4" vm="31">
        <v>19742.349999999999</v>
      </c>
      <c r="C16" s="4" vm="1536">
        <v>1334.2</v>
      </c>
      <c r="D16" s="4" vm="1537">
        <v>3435.85</v>
      </c>
      <c r="E16" s="4" vm="1538">
        <v>1126.675</v>
      </c>
      <c r="F16" s="4" vm="1539">
        <v>99.15</v>
      </c>
      <c r="G16" s="4" vm="1485">
        <v>50.44</v>
      </c>
    </row>
    <row r="17" spans="1:7" x14ac:dyDescent="0.3">
      <c r="A17" vm="32">
        <v>45191</v>
      </c>
      <c r="B17" s="4" vm="33">
        <v>19674.25</v>
      </c>
      <c r="C17" s="4" vm="1540">
        <v>1318.85</v>
      </c>
      <c r="D17" s="4" vm="1541">
        <v>3409.45</v>
      </c>
      <c r="E17" s="4" vm="1542">
        <v>1126.625</v>
      </c>
      <c r="F17" s="4" vm="1543">
        <v>99.9</v>
      </c>
      <c r="G17" s="4" vm="1544">
        <v>50.38</v>
      </c>
    </row>
    <row r="18" spans="1:7" x14ac:dyDescent="0.3">
      <c r="A18" vm="34">
        <v>45194</v>
      </c>
      <c r="B18" s="4" vm="35">
        <v>19674.55</v>
      </c>
      <c r="C18" s="4" vm="1545">
        <v>1294.1500000000001</v>
      </c>
      <c r="D18" s="4" vm="1546">
        <v>3386.65</v>
      </c>
      <c r="E18" s="4" vm="1547">
        <v>1131.9375</v>
      </c>
      <c r="F18" s="4" vm="1548">
        <v>98.45</v>
      </c>
      <c r="G18" s="4" vm="1549">
        <v>50.27</v>
      </c>
    </row>
    <row r="19" spans="1:7" x14ac:dyDescent="0.3">
      <c r="A19" vm="36">
        <v>45195</v>
      </c>
      <c r="B19" s="4" vm="37">
        <v>19664.7</v>
      </c>
      <c r="C19" s="4" vm="1550">
        <v>1289.7</v>
      </c>
      <c r="D19" s="4" vm="1551">
        <v>3472.15</v>
      </c>
      <c r="E19" s="4" vm="1552">
        <v>1150.2774999999999</v>
      </c>
      <c r="F19" s="4" vm="1543">
        <v>99.9</v>
      </c>
      <c r="G19" s="4" vm="1553">
        <v>50.22</v>
      </c>
    </row>
    <row r="20" spans="1:7" x14ac:dyDescent="0.3">
      <c r="A20" vm="38">
        <v>45196</v>
      </c>
      <c r="B20" s="4" vm="39">
        <v>19716.45</v>
      </c>
      <c r="C20" s="4" vm="1554">
        <v>1301</v>
      </c>
      <c r="D20" s="4" vm="1555">
        <v>3479.7</v>
      </c>
      <c r="E20" s="4" vm="1556">
        <v>1143.6500000000001</v>
      </c>
      <c r="F20" s="4" vm="1557">
        <v>100.1</v>
      </c>
      <c r="G20" s="4" vm="1553">
        <v>50.22</v>
      </c>
    </row>
    <row r="21" spans="1:7" x14ac:dyDescent="0.3">
      <c r="A21" vm="40">
        <v>45197</v>
      </c>
      <c r="B21" s="4" vm="41">
        <v>19523.55</v>
      </c>
      <c r="C21" s="4" vm="1558">
        <v>1289.4000000000001</v>
      </c>
      <c r="D21" s="4" vm="1559">
        <v>3440.25</v>
      </c>
      <c r="E21" s="4" vm="1560">
        <v>1126.9224999999999</v>
      </c>
      <c r="F21" s="4" vm="1561">
        <v>99.95</v>
      </c>
      <c r="G21" s="4" vm="1521">
        <v>50.02</v>
      </c>
    </row>
    <row r="22" spans="1:7" x14ac:dyDescent="0.3">
      <c r="A22" vm="42">
        <v>45198</v>
      </c>
      <c r="B22" s="4" vm="43">
        <v>19638.3</v>
      </c>
      <c r="C22" s="4" vm="1562">
        <v>1305.4000000000001</v>
      </c>
      <c r="D22" s="4" vm="1563">
        <v>3446.95</v>
      </c>
      <c r="E22" s="4" vm="1564">
        <v>1125.345</v>
      </c>
      <c r="F22" s="4" vm="1565">
        <v>101.5</v>
      </c>
      <c r="G22" s="4" vm="1566">
        <v>49.7</v>
      </c>
    </row>
    <row r="23" spans="1:7" x14ac:dyDescent="0.3">
      <c r="A23" vm="44">
        <v>45202</v>
      </c>
      <c r="B23" s="4" vm="45">
        <v>19528.75</v>
      </c>
      <c r="C23" s="4" vm="1567">
        <v>1292.45</v>
      </c>
      <c r="D23" s="4" vm="1568">
        <v>3351.4</v>
      </c>
      <c r="E23" s="4" vm="1569">
        <v>1115.7625</v>
      </c>
      <c r="F23" s="4" vm="1570">
        <v>105.3</v>
      </c>
      <c r="G23" s="4" vm="1571">
        <v>49.37</v>
      </c>
    </row>
    <row r="24" spans="1:7" x14ac:dyDescent="0.3">
      <c r="A24" vm="46">
        <v>45203</v>
      </c>
      <c r="B24" s="4" vm="47">
        <v>19436.099999999999</v>
      </c>
      <c r="C24" s="4" vm="1572">
        <v>1270.55</v>
      </c>
      <c r="D24" s="4" vm="1573">
        <v>3400.9</v>
      </c>
      <c r="E24" s="4" vm="1574">
        <v>1149.31</v>
      </c>
      <c r="F24" s="4" vm="1575">
        <v>100.75</v>
      </c>
      <c r="G24" s="4" vm="1576">
        <v>49.29</v>
      </c>
    </row>
    <row r="25" spans="1:7" x14ac:dyDescent="0.3">
      <c r="A25" vm="48">
        <v>45204</v>
      </c>
      <c r="B25" s="4" vm="49">
        <v>19545.75</v>
      </c>
      <c r="C25" s="4" vm="1577">
        <v>1274.45</v>
      </c>
      <c r="D25" s="4" vm="1578">
        <v>3443.6</v>
      </c>
      <c r="E25" s="4" vm="1579">
        <v>1145.9349999999999</v>
      </c>
      <c r="F25" s="4" vm="1580">
        <v>105.4</v>
      </c>
      <c r="G25" s="4" vm="1581">
        <v>48.83</v>
      </c>
    </row>
    <row r="26" spans="1:7" x14ac:dyDescent="0.3">
      <c r="A26" vm="50">
        <v>45205</v>
      </c>
      <c r="B26" s="4" vm="51">
        <v>19653.5</v>
      </c>
      <c r="C26" s="4" vm="1582">
        <v>1282.95</v>
      </c>
      <c r="D26" s="4" vm="1583">
        <v>3450.4</v>
      </c>
      <c r="E26" s="4" vm="1584">
        <v>1145.6125</v>
      </c>
      <c r="F26" s="4" vm="1585">
        <v>104.45</v>
      </c>
      <c r="G26" s="4" vm="1586">
        <v>48.36</v>
      </c>
    </row>
    <row r="27" spans="1:7" x14ac:dyDescent="0.3">
      <c r="A27" vm="52">
        <v>45208</v>
      </c>
      <c r="B27" s="4" vm="53">
        <v>19512.349999999999</v>
      </c>
      <c r="C27" s="4" vm="1587">
        <v>1277.25</v>
      </c>
      <c r="D27" s="4" vm="1588">
        <v>3445.6</v>
      </c>
      <c r="E27" s="4" vm="1589">
        <v>1144.0925</v>
      </c>
      <c r="F27" s="4" vm="1590">
        <v>103.9</v>
      </c>
      <c r="G27" s="4" vm="1591">
        <v>48.25</v>
      </c>
    </row>
    <row r="28" spans="1:7" x14ac:dyDescent="0.3">
      <c r="A28" vm="54">
        <v>45209</v>
      </c>
      <c r="B28" s="4" vm="55">
        <v>19689.849999999999</v>
      </c>
      <c r="C28" s="4" vm="1592">
        <v>1302.05</v>
      </c>
      <c r="D28" s="4" vm="1593">
        <v>3458.75</v>
      </c>
      <c r="E28" s="4" vm="1594">
        <v>1148.4024999999999</v>
      </c>
      <c r="F28" s="4" vm="1595">
        <v>106.05</v>
      </c>
      <c r="G28" s="4" vm="1596">
        <v>48.38</v>
      </c>
    </row>
    <row r="29" spans="1:7" x14ac:dyDescent="0.3">
      <c r="A29" vm="56">
        <v>45210</v>
      </c>
      <c r="B29" s="4" vm="57">
        <v>19811.349999999999</v>
      </c>
      <c r="C29" s="4" vm="1597">
        <v>1309.3499999999999</v>
      </c>
      <c r="D29" s="4" vm="1598">
        <v>3486.6</v>
      </c>
      <c r="E29" s="4" vm="1599">
        <v>1160.1025</v>
      </c>
      <c r="F29" s="4" vm="1600">
        <v>109</v>
      </c>
      <c r="G29" s="4" vm="1601">
        <v>48.88</v>
      </c>
    </row>
    <row r="30" spans="1:7" x14ac:dyDescent="0.3">
      <c r="A30" vm="58">
        <v>45211</v>
      </c>
      <c r="B30" s="4" vm="59">
        <v>19794</v>
      </c>
      <c r="C30" s="4" vm="1602">
        <v>1313.65</v>
      </c>
      <c r="D30" s="4" vm="1603">
        <v>3494.2</v>
      </c>
      <c r="E30" s="4" vm="1604">
        <v>1153.7574999999999</v>
      </c>
      <c r="F30" s="4" vm="1605">
        <v>109.85</v>
      </c>
      <c r="G30" s="4" vm="1606">
        <v>48.93</v>
      </c>
    </row>
    <row r="31" spans="1:7" x14ac:dyDescent="0.3">
      <c r="A31" vm="60">
        <v>45212</v>
      </c>
      <c r="B31" s="4" vm="61">
        <v>19751.05</v>
      </c>
      <c r="C31" s="4" vm="1607">
        <v>1316.45</v>
      </c>
      <c r="D31" s="4" vm="1608">
        <v>3476.4</v>
      </c>
      <c r="E31" s="4" vm="1609">
        <v>1177.7175</v>
      </c>
      <c r="F31" s="4" vm="1610">
        <v>111</v>
      </c>
      <c r="G31" s="4" vm="1611">
        <v>49.17</v>
      </c>
    </row>
    <row r="32" spans="1:7" x14ac:dyDescent="0.3">
      <c r="A32" vm="62">
        <v>45215</v>
      </c>
      <c r="B32" s="4" vm="63">
        <v>19731.75</v>
      </c>
      <c r="C32" s="4" vm="1612">
        <v>1322.2</v>
      </c>
      <c r="D32" s="4" vm="1598">
        <v>3486.6</v>
      </c>
      <c r="E32" s="4" vm="1613">
        <v>1155.4275</v>
      </c>
      <c r="F32" s="4" vm="1614">
        <v>111.5</v>
      </c>
      <c r="G32" s="4" vm="1615">
        <v>49.39</v>
      </c>
    </row>
    <row r="33" spans="1:7" x14ac:dyDescent="0.3">
      <c r="A33" vm="64">
        <v>45216</v>
      </c>
      <c r="B33" s="4" vm="65">
        <v>19811.5</v>
      </c>
      <c r="C33" s="4" vm="1616">
        <v>1348.35</v>
      </c>
      <c r="D33" s="4" vm="1617">
        <v>3500.85</v>
      </c>
      <c r="E33" s="4" vm="1618">
        <v>1166.2650000000001</v>
      </c>
      <c r="F33" s="4" vm="1619">
        <v>113.85</v>
      </c>
      <c r="G33" s="4" vm="1620">
        <v>49.49</v>
      </c>
    </row>
    <row r="34" spans="1:7" x14ac:dyDescent="0.3">
      <c r="A34" vm="66">
        <v>45217</v>
      </c>
      <c r="B34" s="4" vm="67">
        <v>19671.099999999999</v>
      </c>
      <c r="C34" s="4" vm="1621">
        <v>1356.35</v>
      </c>
      <c r="D34" s="4" vm="1622">
        <v>3496.1</v>
      </c>
      <c r="E34" s="4" vm="1623">
        <v>1163.1475</v>
      </c>
      <c r="F34" s="4" vm="1624">
        <v>113.2</v>
      </c>
      <c r="G34" s="4" vm="1625">
        <v>50.25</v>
      </c>
    </row>
    <row r="35" spans="1:7" x14ac:dyDescent="0.3">
      <c r="A35" vm="68">
        <v>45218</v>
      </c>
      <c r="B35" s="4" vm="69">
        <v>19624.7</v>
      </c>
      <c r="C35" s="4" vm="1626">
        <v>1348.15</v>
      </c>
      <c r="D35" s="4" vm="1627">
        <v>3501.2</v>
      </c>
      <c r="E35" s="4" vm="1628">
        <v>1206.6175000000001</v>
      </c>
      <c r="F35" s="4" vm="1629">
        <v>111.65</v>
      </c>
      <c r="G35" s="4" vm="1493">
        <v>50.31</v>
      </c>
    </row>
    <row r="36" spans="1:7" x14ac:dyDescent="0.3">
      <c r="A36" vm="70">
        <v>45219</v>
      </c>
      <c r="B36" s="4" vm="71">
        <v>19542.650000000001</v>
      </c>
      <c r="C36" s="4" vm="1630">
        <v>1362.65</v>
      </c>
      <c r="D36" s="4" vm="1631">
        <v>3480.9</v>
      </c>
      <c r="E36" s="4" vm="1632">
        <v>1213.9849999999999</v>
      </c>
      <c r="F36" s="4" vm="1633">
        <v>113.35</v>
      </c>
      <c r="G36" s="4" vm="1634">
        <v>50.78</v>
      </c>
    </row>
    <row r="37" spans="1:7" x14ac:dyDescent="0.3">
      <c r="A37" vm="72">
        <v>45222</v>
      </c>
      <c r="B37" s="4" vm="73">
        <v>19281.75</v>
      </c>
      <c r="C37" s="4" vm="1635">
        <v>1338.4</v>
      </c>
      <c r="D37" s="4" vm="1636">
        <v>3446.35</v>
      </c>
      <c r="E37" s="4" vm="1637">
        <v>1209.8875</v>
      </c>
      <c r="F37" s="4" vm="1638">
        <v>108.9</v>
      </c>
      <c r="G37" s="4" vm="1639">
        <v>50.91</v>
      </c>
    </row>
    <row r="38" spans="1:7" x14ac:dyDescent="0.3">
      <c r="A38" vm="74">
        <v>45224</v>
      </c>
      <c r="B38" s="4" vm="75">
        <v>19122.150000000001</v>
      </c>
      <c r="C38" s="4" vm="1640">
        <v>1314.15</v>
      </c>
      <c r="D38" s="4" vm="1641">
        <v>3384.4</v>
      </c>
      <c r="E38" s="4" vm="1642">
        <v>1213.135</v>
      </c>
      <c r="F38" s="4" vm="1643">
        <v>108.25</v>
      </c>
      <c r="G38" s="4" vm="1644">
        <v>51.59</v>
      </c>
    </row>
    <row r="39" spans="1:7" x14ac:dyDescent="0.3">
      <c r="A39" vm="76">
        <v>45225</v>
      </c>
      <c r="B39" s="4" vm="77">
        <v>18857.25</v>
      </c>
      <c r="C39" s="4" vm="1645">
        <v>1305.5999999999999</v>
      </c>
      <c r="D39" s="4" vm="1646">
        <v>3326.8</v>
      </c>
      <c r="E39" s="4" vm="1647">
        <v>1177.28</v>
      </c>
      <c r="F39" s="4" vm="1648">
        <v>106.45</v>
      </c>
      <c r="G39" s="4" vm="1649">
        <v>51.54</v>
      </c>
    </row>
    <row r="40" spans="1:7" x14ac:dyDescent="0.3">
      <c r="A40" vm="78">
        <v>45226</v>
      </c>
      <c r="B40" s="4" vm="79">
        <v>19047.25</v>
      </c>
      <c r="C40" s="4" vm="1650">
        <v>1302.9000000000001</v>
      </c>
      <c r="D40" s="4" vm="1651">
        <v>3394.85</v>
      </c>
      <c r="E40" s="4" vm="1652">
        <v>1202.8475000000001</v>
      </c>
      <c r="F40" s="4" vm="1653">
        <v>105.65</v>
      </c>
      <c r="G40" s="4" vm="1654">
        <v>51.41</v>
      </c>
    </row>
    <row r="41" spans="1:7" x14ac:dyDescent="0.3">
      <c r="A41" vm="80">
        <v>45229</v>
      </c>
      <c r="B41" s="4" vm="81">
        <v>19140.900000000001</v>
      </c>
      <c r="C41" s="4" vm="1655">
        <v>1326.2</v>
      </c>
      <c r="D41" s="4" vm="1656">
        <v>3357.65</v>
      </c>
      <c r="E41" s="4" vm="1657">
        <v>1208.585</v>
      </c>
      <c r="F41" s="4" vm="1658">
        <v>107.7</v>
      </c>
      <c r="G41" s="4" vm="1659">
        <v>51.83</v>
      </c>
    </row>
    <row r="42" spans="1:7" x14ac:dyDescent="0.3">
      <c r="A42" vm="82">
        <v>45230</v>
      </c>
      <c r="B42" s="4" vm="83">
        <v>19079.599999999999</v>
      </c>
      <c r="C42" s="4" vm="1660">
        <v>1367.85</v>
      </c>
      <c r="D42" s="4" vm="1661">
        <v>3295.55</v>
      </c>
      <c r="E42" s="4" vm="1662">
        <v>1211.74</v>
      </c>
      <c r="F42" s="4" vm="1663">
        <v>105.1</v>
      </c>
      <c r="G42" s="4" vm="1664">
        <v>51.64</v>
      </c>
    </row>
    <row r="43" spans="1:7" x14ac:dyDescent="0.3">
      <c r="A43" vm="84">
        <v>45231</v>
      </c>
      <c r="B43" s="4" vm="85">
        <v>18989.150000000001</v>
      </c>
      <c r="C43" s="4" vm="1665">
        <v>1336.05</v>
      </c>
      <c r="D43" s="4" vm="1666">
        <v>3282.25</v>
      </c>
      <c r="E43" s="4" vm="1667">
        <v>1193.635</v>
      </c>
      <c r="F43" s="4" vm="1668">
        <v>103.7</v>
      </c>
      <c r="G43" s="4" vm="1669">
        <v>52.02</v>
      </c>
    </row>
    <row r="44" spans="1:7" x14ac:dyDescent="0.3">
      <c r="A44" vm="86">
        <v>45232</v>
      </c>
      <c r="B44" s="4" vm="87">
        <v>19133.25</v>
      </c>
      <c r="C44" s="4" vm="1670">
        <v>1343.5</v>
      </c>
      <c r="D44" s="4" vm="1671">
        <v>3338.3</v>
      </c>
      <c r="E44" s="4" vm="1672">
        <v>1205.5899999999999</v>
      </c>
      <c r="F44" s="4" vm="1673">
        <v>107.55</v>
      </c>
      <c r="G44" s="4" vm="1674">
        <v>52.06</v>
      </c>
    </row>
    <row r="45" spans="1:7" x14ac:dyDescent="0.3">
      <c r="A45" vm="88">
        <v>45233</v>
      </c>
      <c r="B45" s="4" vm="89">
        <v>19230.599999999999</v>
      </c>
      <c r="C45" s="4" vm="1675">
        <v>1329.35</v>
      </c>
      <c r="D45" s="4" vm="1676">
        <v>3428</v>
      </c>
      <c r="E45" s="4" vm="1677">
        <v>1199.9525000000001</v>
      </c>
      <c r="F45" s="4" vm="1678">
        <v>116.5</v>
      </c>
      <c r="G45" s="4" vm="1679">
        <v>51.76</v>
      </c>
    </row>
    <row r="46" spans="1:7" x14ac:dyDescent="0.3">
      <c r="A46" vm="90">
        <v>45236</v>
      </c>
      <c r="B46" s="4" vm="91">
        <v>19411.75</v>
      </c>
      <c r="C46" s="4" vm="1680">
        <v>1331.85</v>
      </c>
      <c r="D46" s="4" vm="1681">
        <v>3510.95</v>
      </c>
      <c r="E46" s="4" vm="1682">
        <v>1214.4775</v>
      </c>
      <c r="F46" s="4" vm="1683">
        <v>123.3</v>
      </c>
      <c r="G46" s="4" vm="1684">
        <v>51.85</v>
      </c>
    </row>
    <row r="47" spans="1:7" x14ac:dyDescent="0.3">
      <c r="A47" vm="92">
        <v>45237</v>
      </c>
      <c r="B47" s="4" vm="93">
        <v>19406.7</v>
      </c>
      <c r="C47" s="4" vm="1685">
        <v>1340.85</v>
      </c>
      <c r="D47" s="4" vm="1686">
        <v>3509.05</v>
      </c>
      <c r="E47" s="4" vm="1687">
        <v>1218.4749999999999</v>
      </c>
      <c r="F47" s="4" vm="1688">
        <v>121.3</v>
      </c>
      <c r="G47" s="4" vm="1689">
        <v>51.8</v>
      </c>
    </row>
    <row r="48" spans="1:7" x14ac:dyDescent="0.3">
      <c r="A48" vm="94">
        <v>45238</v>
      </c>
      <c r="B48" s="4" vm="95">
        <v>19443.5</v>
      </c>
      <c r="C48" s="4" vm="1512">
        <v>1345.5</v>
      </c>
      <c r="D48" s="4" vm="1690">
        <v>3550.3</v>
      </c>
      <c r="E48" s="4" vm="1691">
        <v>1214.0775000000001</v>
      </c>
      <c r="F48" s="4" vm="1692">
        <v>125.15</v>
      </c>
      <c r="G48" s="4" vm="1693">
        <v>51.75</v>
      </c>
    </row>
    <row r="49" spans="1:7" x14ac:dyDescent="0.3">
      <c r="A49" vm="96">
        <v>45239</v>
      </c>
      <c r="B49" s="4" vm="97">
        <v>19395.3</v>
      </c>
      <c r="C49" s="4" vm="1694">
        <v>1350.7</v>
      </c>
      <c r="D49" s="4" vm="1695">
        <v>3541.9</v>
      </c>
      <c r="E49" s="4" vm="1696">
        <v>1211.3375000000001</v>
      </c>
      <c r="F49" s="4" vm="1697">
        <v>121.85</v>
      </c>
      <c r="G49" s="4" vm="1698">
        <v>51.36</v>
      </c>
    </row>
    <row r="50" spans="1:7" x14ac:dyDescent="0.3">
      <c r="A50" vm="98">
        <v>45240</v>
      </c>
      <c r="B50" s="4" vm="99">
        <v>19425.349999999999</v>
      </c>
      <c r="C50" s="4" vm="1699">
        <v>1355.4</v>
      </c>
      <c r="D50" s="4" vm="1700">
        <v>3540.75</v>
      </c>
      <c r="E50" s="4" vm="1701">
        <v>1206.8599999999999</v>
      </c>
      <c r="F50" s="4" vm="1688">
        <v>121.3</v>
      </c>
      <c r="G50" s="4" vm="1702">
        <v>51.4</v>
      </c>
    </row>
    <row r="51" spans="1:7" x14ac:dyDescent="0.3">
      <c r="A51" vm="100">
        <v>45242</v>
      </c>
      <c r="B51" s="4" vm="101">
        <v>19525.55</v>
      </c>
      <c r="C51" s="4" vm="1703">
        <v>1358.85</v>
      </c>
      <c r="D51" s="4" vm="1704">
        <v>3579.3</v>
      </c>
      <c r="E51" s="4" vm="1705">
        <v>1214.1675</v>
      </c>
      <c r="F51" s="4" vm="1706">
        <v>123.25</v>
      </c>
      <c r="G51" s="4" vm="1707">
        <v>50.94</v>
      </c>
    </row>
    <row r="52" spans="1:7" x14ac:dyDescent="0.3">
      <c r="A52" vm="102">
        <v>45243</v>
      </c>
      <c r="B52" s="4" vm="103">
        <v>19443.55</v>
      </c>
      <c r="C52" s="4" vm="1481">
        <v>1328.35</v>
      </c>
      <c r="D52" s="4" vm="1708">
        <v>3645.4</v>
      </c>
      <c r="E52" s="4" vm="1709">
        <v>1204.2925</v>
      </c>
      <c r="F52" s="4" vm="1710">
        <v>122.2</v>
      </c>
      <c r="G52" s="4" vm="1711">
        <v>51.31</v>
      </c>
    </row>
    <row r="53" spans="1:7" x14ac:dyDescent="0.3">
      <c r="A53" vm="104">
        <v>45245</v>
      </c>
      <c r="B53" s="4" vm="105">
        <v>19675.45</v>
      </c>
      <c r="C53" s="4" vm="1712">
        <v>1357.1</v>
      </c>
      <c r="D53" s="4" vm="1713">
        <v>3848.3</v>
      </c>
      <c r="E53" s="4" vm="1714">
        <v>1208.7025000000001</v>
      </c>
      <c r="F53" s="4" vm="1715">
        <v>120.25</v>
      </c>
      <c r="G53" s="4" vm="1716">
        <v>50.93</v>
      </c>
    </row>
    <row r="54" spans="1:7" x14ac:dyDescent="0.3">
      <c r="A54" vm="106">
        <v>45246</v>
      </c>
      <c r="B54" s="4" vm="107">
        <v>19765.2</v>
      </c>
      <c r="C54" s="4" vm="1717">
        <v>1359.95</v>
      </c>
      <c r="D54" s="4" vm="1718">
        <v>3836.75</v>
      </c>
      <c r="E54" s="4" vm="1719">
        <v>1204.145</v>
      </c>
      <c r="F54" s="4" vm="1697">
        <v>121.85</v>
      </c>
      <c r="G54" s="4" vm="1720">
        <v>51.46</v>
      </c>
    </row>
    <row r="55" spans="1:7" x14ac:dyDescent="0.3">
      <c r="A55" vm="108">
        <v>45247</v>
      </c>
      <c r="B55" s="4" vm="109">
        <v>19731.8</v>
      </c>
      <c r="C55" s="4" vm="1721">
        <v>1413.95</v>
      </c>
      <c r="D55" s="4" vm="1722">
        <v>3865.3</v>
      </c>
      <c r="E55" s="4" vm="1723">
        <v>1218.6524999999999</v>
      </c>
      <c r="F55" s="4" vm="1710">
        <v>122.2</v>
      </c>
      <c r="G55" s="4" vm="1724">
        <v>51.39</v>
      </c>
    </row>
    <row r="56" spans="1:7" x14ac:dyDescent="0.3">
      <c r="A56" vm="110">
        <v>45250</v>
      </c>
      <c r="B56" s="4" vm="111">
        <v>19694</v>
      </c>
      <c r="C56" s="4" vm="1725">
        <v>1385.3</v>
      </c>
      <c r="D56" s="4" vm="1726">
        <v>3846.45</v>
      </c>
      <c r="E56" s="4" vm="1727">
        <v>1215.1275000000001</v>
      </c>
      <c r="F56" s="4" vm="1728">
        <v>118.15</v>
      </c>
      <c r="G56" s="4" vm="1729">
        <v>51.86</v>
      </c>
    </row>
    <row r="57" spans="1:7" x14ac:dyDescent="0.3">
      <c r="A57" vm="112">
        <v>45251</v>
      </c>
      <c r="B57" s="4" vm="113">
        <v>19783.400000000001</v>
      </c>
      <c r="C57" s="4" vm="1730">
        <v>1423.65</v>
      </c>
      <c r="D57" s="4" vm="1731">
        <v>3844.2</v>
      </c>
      <c r="E57" s="4" vm="1732">
        <v>1218.6724999999999</v>
      </c>
      <c r="F57" s="4" vm="1678">
        <v>116.5</v>
      </c>
      <c r="G57" s="4" vm="1733">
        <v>51.66</v>
      </c>
    </row>
    <row r="58" spans="1:7" x14ac:dyDescent="0.3">
      <c r="A58" vm="114">
        <v>45252</v>
      </c>
      <c r="B58" s="4" vm="115">
        <v>19811.849999999999</v>
      </c>
      <c r="C58" s="4" vm="1734">
        <v>1430.1</v>
      </c>
      <c r="D58" s="4" vm="1735">
        <v>3833.8</v>
      </c>
      <c r="E58" s="4" vm="1736">
        <v>1217.5425</v>
      </c>
      <c r="F58" s="4" vm="1737">
        <v>115.3</v>
      </c>
      <c r="G58" s="4" vm="1738">
        <v>51.88</v>
      </c>
    </row>
    <row r="59" spans="1:7" x14ac:dyDescent="0.3">
      <c r="A59" vm="116">
        <v>45253</v>
      </c>
      <c r="B59" s="4" vm="117">
        <v>19802</v>
      </c>
      <c r="C59" s="4" vm="1739">
        <v>1410.95</v>
      </c>
      <c r="D59" s="4" vm="1740">
        <v>3883.8</v>
      </c>
      <c r="E59" s="4" vm="1741">
        <v>1219.665</v>
      </c>
      <c r="F59" s="4" vm="1742">
        <v>112.95</v>
      </c>
      <c r="G59" s="4" vm="1743">
        <v>52.17</v>
      </c>
    </row>
    <row r="60" spans="1:7" x14ac:dyDescent="0.3">
      <c r="A60" vm="118">
        <v>45254</v>
      </c>
      <c r="B60" s="4" vm="119">
        <v>19794.7</v>
      </c>
      <c r="C60" s="4" vm="1744">
        <v>1409.7</v>
      </c>
      <c r="D60" s="4" vm="1745">
        <v>3849.05</v>
      </c>
      <c r="E60" s="4" vm="1746">
        <v>1206.9475</v>
      </c>
      <c r="F60" s="4" vm="1747">
        <v>113.25</v>
      </c>
      <c r="G60" s="4" vm="1669">
        <v>52.02</v>
      </c>
    </row>
    <row r="61" spans="1:7" x14ac:dyDescent="0.3">
      <c r="A61" vm="120">
        <v>45258</v>
      </c>
      <c r="B61" s="4" vm="121">
        <v>19889.7</v>
      </c>
      <c r="C61" s="4" vm="1748">
        <v>1412.45</v>
      </c>
      <c r="D61" s="4" vm="1749">
        <v>3826.7</v>
      </c>
      <c r="E61" s="4" vm="1750">
        <v>1210.93</v>
      </c>
      <c r="F61" s="4" vm="1751">
        <v>113.8</v>
      </c>
      <c r="G61" s="4" vm="1752">
        <v>52.15</v>
      </c>
    </row>
    <row r="62" spans="1:7" x14ac:dyDescent="0.3">
      <c r="A62" vm="122">
        <v>45259</v>
      </c>
      <c r="B62" s="4" vm="123">
        <v>20096.599999999999</v>
      </c>
      <c r="C62" s="4" vm="1753">
        <v>1407.85</v>
      </c>
      <c r="D62" s="4" vm="1754">
        <v>3812.25</v>
      </c>
      <c r="E62" s="4" vm="1755">
        <v>1203.375</v>
      </c>
      <c r="F62" s="4" vm="1756">
        <v>116.6</v>
      </c>
      <c r="G62" s="4" vm="1757">
        <v>52.3</v>
      </c>
    </row>
    <row r="63" spans="1:7" x14ac:dyDescent="0.3">
      <c r="A63" vm="124">
        <v>45260</v>
      </c>
      <c r="B63" s="4" vm="125">
        <v>20133.150000000001</v>
      </c>
      <c r="C63" s="4" vm="1758">
        <v>1435.25</v>
      </c>
      <c r="D63" s="4" vm="1759">
        <v>3896.9</v>
      </c>
      <c r="E63" s="4" vm="1760">
        <v>1211.8074999999999</v>
      </c>
      <c r="F63" s="4" vm="1761">
        <v>118.55</v>
      </c>
      <c r="G63" s="4" vm="1762">
        <v>53.05</v>
      </c>
    </row>
    <row r="64" spans="1:7" x14ac:dyDescent="0.3">
      <c r="A64" vm="126">
        <v>45261</v>
      </c>
      <c r="B64" s="4" vm="127">
        <v>20267.900000000001</v>
      </c>
      <c r="C64" s="4" vm="1730">
        <v>1423.65</v>
      </c>
      <c r="D64" s="4" vm="1763">
        <v>3891.2</v>
      </c>
      <c r="E64" s="4" vm="1764">
        <v>1216.93</v>
      </c>
      <c r="F64" s="4" vm="1765">
        <v>116.3</v>
      </c>
      <c r="G64" s="4" vm="1766">
        <v>53.15</v>
      </c>
    </row>
    <row r="65" spans="1:7" x14ac:dyDescent="0.3">
      <c r="A65" vm="128">
        <v>45264</v>
      </c>
      <c r="B65" s="4" vm="129">
        <v>20686.8</v>
      </c>
      <c r="C65" s="4" vm="1767">
        <v>1454</v>
      </c>
      <c r="D65" s="4" vm="1768">
        <v>4180.3500000000004</v>
      </c>
      <c r="E65" s="4" vm="1769">
        <v>1220.1400000000001</v>
      </c>
      <c r="F65" s="4" vm="1770">
        <v>117.4</v>
      </c>
      <c r="G65" s="4" vm="1771">
        <v>53.29</v>
      </c>
    </row>
    <row r="66" spans="1:7" x14ac:dyDescent="0.3">
      <c r="A66" vm="130">
        <v>45265</v>
      </c>
      <c r="B66" s="4" vm="131">
        <v>20855.099999999999</v>
      </c>
      <c r="C66" s="4" vm="1772">
        <v>1460.95</v>
      </c>
      <c r="D66" s="4" vm="1773">
        <v>4136.5</v>
      </c>
      <c r="E66" s="4" vm="1774">
        <v>1230.4449999999999</v>
      </c>
      <c r="F66" s="4" vm="1775">
        <v>116.75</v>
      </c>
      <c r="G66" s="4" vm="1776">
        <v>53.72</v>
      </c>
    </row>
    <row r="67" spans="1:7" x14ac:dyDescent="0.3">
      <c r="A67" vm="132">
        <v>45266</v>
      </c>
      <c r="B67" s="4" vm="133">
        <v>20937.7</v>
      </c>
      <c r="C67" s="4" vm="1777">
        <v>1450.7</v>
      </c>
      <c r="D67" s="4" vm="1778">
        <v>4047</v>
      </c>
      <c r="E67" s="4" vm="1779">
        <v>1248.425</v>
      </c>
      <c r="F67" s="4" vm="1780">
        <v>118.9</v>
      </c>
      <c r="G67" s="4" vm="1781">
        <v>52.94</v>
      </c>
    </row>
    <row r="68" spans="1:7" x14ac:dyDescent="0.3">
      <c r="A68" vm="134">
        <v>45267</v>
      </c>
      <c r="B68" s="4" vm="135">
        <v>20901.150000000001</v>
      </c>
      <c r="C68" s="4" vm="1782">
        <v>1455.75</v>
      </c>
      <c r="D68" s="4" vm="1783">
        <v>4091</v>
      </c>
      <c r="E68" s="4" vm="1784">
        <v>1248.7625</v>
      </c>
      <c r="F68" s="4" vm="1785">
        <v>121.7</v>
      </c>
      <c r="G68" s="4" vm="1786">
        <v>52.83</v>
      </c>
    </row>
    <row r="69" spans="1:7" x14ac:dyDescent="0.3">
      <c r="A69" vm="136">
        <v>45268</v>
      </c>
      <c r="B69" s="4" vm="137">
        <v>20969.400000000001</v>
      </c>
      <c r="C69" s="4" vm="1787">
        <v>1465.2</v>
      </c>
      <c r="D69" s="4" vm="1788">
        <v>4055</v>
      </c>
      <c r="E69" s="4" vm="1789">
        <v>1239.48</v>
      </c>
      <c r="F69" s="4" vm="1790">
        <v>119.95</v>
      </c>
      <c r="G69" s="4" vm="1791">
        <v>53.03</v>
      </c>
    </row>
    <row r="70" spans="1:7" x14ac:dyDescent="0.3">
      <c r="A70" vm="138">
        <v>45271</v>
      </c>
      <c r="B70" s="4" vm="139">
        <v>20997.1</v>
      </c>
      <c r="C70" s="4" vm="1792">
        <v>1460.6</v>
      </c>
      <c r="D70" s="4" vm="1793">
        <v>4025.65</v>
      </c>
      <c r="E70" s="4" vm="1794">
        <v>1252.1724999999999</v>
      </c>
      <c r="F70" s="4" vm="1795">
        <v>118.45</v>
      </c>
      <c r="G70" s="4" vm="1781">
        <v>52.94</v>
      </c>
    </row>
    <row r="71" spans="1:7" x14ac:dyDescent="0.3">
      <c r="A71" vm="140">
        <v>45272</v>
      </c>
      <c r="B71" s="4" vm="141">
        <v>20906.400000000001</v>
      </c>
      <c r="C71" s="4" vm="1796">
        <v>1481.45</v>
      </c>
      <c r="D71" s="4" vm="1797">
        <v>3951.75</v>
      </c>
      <c r="E71" s="4" vm="1798">
        <v>1247.3575000000001</v>
      </c>
      <c r="F71" s="4" vm="1775">
        <v>116.75</v>
      </c>
      <c r="G71" s="4" vm="1669">
        <v>52.02</v>
      </c>
    </row>
    <row r="72" spans="1:7" x14ac:dyDescent="0.3">
      <c r="A72" vm="142">
        <v>45273</v>
      </c>
      <c r="B72" s="4" vm="143">
        <v>20926.349999999999</v>
      </c>
      <c r="C72" s="4" vm="1799">
        <v>1466.8</v>
      </c>
      <c r="D72" s="4" vm="1800">
        <v>4032.75</v>
      </c>
      <c r="E72" s="4" vm="1801">
        <v>1252.22</v>
      </c>
      <c r="F72" s="4" vm="1802">
        <v>120</v>
      </c>
      <c r="G72" s="4" vm="1684">
        <v>51.85</v>
      </c>
    </row>
    <row r="73" spans="1:7" x14ac:dyDescent="0.3">
      <c r="A73" vm="144">
        <v>45274</v>
      </c>
      <c r="B73" s="4" vm="145">
        <v>21182.7</v>
      </c>
      <c r="C73" s="4" vm="1803">
        <v>1469.85</v>
      </c>
      <c r="D73" s="4" vm="1804">
        <v>4086.15</v>
      </c>
      <c r="E73" s="4" vm="1805">
        <v>1239.665</v>
      </c>
      <c r="F73" s="4" vm="1806">
        <v>124.15</v>
      </c>
      <c r="G73" s="4" vm="1659">
        <v>51.83</v>
      </c>
    </row>
    <row r="74" spans="1:7" x14ac:dyDescent="0.3">
      <c r="A74" vm="146">
        <v>45275</v>
      </c>
      <c r="B74" s="4" vm="147">
        <v>21456.65</v>
      </c>
      <c r="C74" s="4" vm="1807">
        <v>1452.5</v>
      </c>
      <c r="D74" s="4" vm="1808">
        <v>4059.9</v>
      </c>
      <c r="E74" s="4" vm="1809">
        <v>1218.32</v>
      </c>
      <c r="F74" s="4" vm="1810">
        <v>123.6</v>
      </c>
      <c r="G74" s="4" vm="1811">
        <v>52.8</v>
      </c>
    </row>
    <row r="75" spans="1:7" x14ac:dyDescent="0.3">
      <c r="A75" vm="148">
        <v>45278</v>
      </c>
      <c r="B75" s="4" vm="149">
        <v>21418.65</v>
      </c>
      <c r="C75" s="4" vm="1812">
        <v>1446.95</v>
      </c>
      <c r="D75" s="4" vm="1813">
        <v>4085.5</v>
      </c>
      <c r="E75" s="4" vm="1814">
        <v>1217.7125000000001</v>
      </c>
      <c r="F75" s="4" vm="1815">
        <v>128.55000000000001</v>
      </c>
      <c r="G75" s="4" vm="1816">
        <v>52.81</v>
      </c>
    </row>
    <row r="76" spans="1:7" x14ac:dyDescent="0.3">
      <c r="A76" vm="150">
        <v>45279</v>
      </c>
      <c r="B76" s="4" vm="151">
        <v>21453.1</v>
      </c>
      <c r="C76" s="4" vm="1817">
        <v>1424.55</v>
      </c>
      <c r="D76" s="4" vm="1818">
        <v>4039.65</v>
      </c>
      <c r="E76" s="4" vm="1819">
        <v>1274.4849999999999</v>
      </c>
      <c r="F76" s="4" vm="1820">
        <v>130.25</v>
      </c>
      <c r="G76" s="4" vm="1821">
        <v>52.49</v>
      </c>
    </row>
    <row r="77" spans="1:7" x14ac:dyDescent="0.3">
      <c r="A77" vm="152">
        <v>45280</v>
      </c>
      <c r="B77" s="4" vm="153">
        <v>21150.15</v>
      </c>
      <c r="C77" s="4" vm="1822">
        <v>1409.25</v>
      </c>
      <c r="D77" s="4" vm="1823">
        <v>3912.4</v>
      </c>
      <c r="E77" s="4" vm="1824">
        <v>1254.8875</v>
      </c>
      <c r="F77" s="4" vm="1825">
        <v>124.75</v>
      </c>
      <c r="G77" s="4" vm="1826">
        <v>52.59</v>
      </c>
    </row>
    <row r="78" spans="1:7" x14ac:dyDescent="0.3">
      <c r="A78" vm="154">
        <v>45281</v>
      </c>
      <c r="B78" s="4" vm="155">
        <v>21255.05</v>
      </c>
      <c r="C78" s="4" vm="1827">
        <v>1403.75</v>
      </c>
      <c r="D78" s="4" vm="1828">
        <v>3957.95</v>
      </c>
      <c r="E78" s="4" vm="1829">
        <v>1255.7925</v>
      </c>
      <c r="F78" s="4" vm="1830">
        <v>127.35</v>
      </c>
      <c r="G78" s="4" vm="1786">
        <v>52.83</v>
      </c>
    </row>
    <row r="79" spans="1:7" x14ac:dyDescent="0.3">
      <c r="A79" vm="156">
        <v>45282</v>
      </c>
      <c r="B79" s="4" vm="157">
        <v>21349.4</v>
      </c>
      <c r="C79" s="4" vm="1831">
        <v>1394.3</v>
      </c>
      <c r="D79" s="4" vm="1832">
        <v>4006.05</v>
      </c>
      <c r="E79" s="4" vm="1833">
        <v>1268.4224999999999</v>
      </c>
      <c r="F79" s="4" vm="1834">
        <v>128.5</v>
      </c>
      <c r="G79" s="4" vm="1835">
        <v>52.86</v>
      </c>
    </row>
    <row r="80" spans="1:7" x14ac:dyDescent="0.3">
      <c r="A80" vm="158">
        <v>45286</v>
      </c>
      <c r="B80" s="4" vm="159">
        <v>21441.35</v>
      </c>
      <c r="C80" s="4" vm="1836">
        <v>1395.3</v>
      </c>
      <c r="D80" s="4" vm="1837">
        <v>4040.4</v>
      </c>
      <c r="E80" s="4" vm="1838">
        <v>1278.1025</v>
      </c>
      <c r="F80" s="4" vm="1839">
        <v>125</v>
      </c>
      <c r="G80" s="4" vm="1840">
        <v>53.19</v>
      </c>
    </row>
    <row r="81" spans="1:7" x14ac:dyDescent="0.3">
      <c r="A81" vm="160">
        <v>45287</v>
      </c>
      <c r="B81" s="4" vm="161">
        <v>21654.75</v>
      </c>
      <c r="C81" s="4" vm="1841">
        <v>1421.35</v>
      </c>
      <c r="D81" s="4" vm="1842">
        <v>4120</v>
      </c>
      <c r="E81" s="4" vm="1843">
        <v>1286.0225</v>
      </c>
      <c r="F81" s="4" vm="1844">
        <v>127.05</v>
      </c>
      <c r="G81" s="4" vm="1845">
        <v>53.46</v>
      </c>
    </row>
    <row r="82" spans="1:7" x14ac:dyDescent="0.3">
      <c r="A82" vm="162">
        <v>45288</v>
      </c>
      <c r="B82" s="4" vm="163">
        <v>21778.7</v>
      </c>
      <c r="C82" s="4" vm="1846">
        <v>1435.3</v>
      </c>
      <c r="D82" s="4" vm="1847">
        <v>4091.9</v>
      </c>
      <c r="E82" s="4" vm="1848">
        <v>1312.4949999999999</v>
      </c>
      <c r="F82" s="4" vm="1849">
        <v>123.2</v>
      </c>
      <c r="G82" s="4" vm="1850">
        <v>53.63</v>
      </c>
    </row>
    <row r="83" spans="1:7" x14ac:dyDescent="0.3">
      <c r="A83" vm="164">
        <v>45289</v>
      </c>
      <c r="B83" s="4" vm="165">
        <v>21731.4</v>
      </c>
      <c r="C83" s="4" vm="1851">
        <v>1432.6</v>
      </c>
      <c r="D83" s="4" vm="1852">
        <v>4143.5</v>
      </c>
      <c r="E83" s="4" vm="1853">
        <v>1329.0150000000001</v>
      </c>
      <c r="F83" s="4" vm="1854">
        <v>123.7</v>
      </c>
      <c r="G83" s="4" vm="1855">
        <v>53.84</v>
      </c>
    </row>
    <row r="84" spans="1:7" x14ac:dyDescent="0.3">
      <c r="A84" vm="166">
        <v>45292</v>
      </c>
      <c r="B84" s="4" vm="167">
        <v>21741.9</v>
      </c>
      <c r="C84" s="4" vm="1856">
        <v>1432.1</v>
      </c>
      <c r="D84" s="4" vm="1857">
        <v>4038.35</v>
      </c>
      <c r="E84" s="4" vm="1858">
        <v>1368.62</v>
      </c>
      <c r="F84" s="4" vm="1859">
        <v>124.5</v>
      </c>
      <c r="G84" s="4" vm="1860">
        <v>53.66</v>
      </c>
    </row>
    <row r="85" spans="1:7" x14ac:dyDescent="0.3">
      <c r="A85" vm="168">
        <v>45293</v>
      </c>
      <c r="B85" s="4" vm="169">
        <v>21665.8</v>
      </c>
      <c r="C85" s="4" vm="1861">
        <v>1437.65</v>
      </c>
      <c r="D85" s="4" vm="1862">
        <v>3892.5</v>
      </c>
      <c r="E85" s="4" vm="1863">
        <v>1361.1575</v>
      </c>
      <c r="F85" s="4" vm="1864">
        <v>128.69999999999999</v>
      </c>
      <c r="G85" s="4" vm="1865">
        <v>53.74</v>
      </c>
    </row>
    <row r="86" spans="1:7" x14ac:dyDescent="0.3">
      <c r="A86" vm="170">
        <v>45294</v>
      </c>
      <c r="B86" s="4" vm="171">
        <v>21517.35</v>
      </c>
      <c r="C86" s="4" vm="1866">
        <v>1422.7</v>
      </c>
      <c r="D86" s="4" vm="1867">
        <v>3887.6</v>
      </c>
      <c r="E86" s="4" vm="1868">
        <v>1331.76</v>
      </c>
      <c r="F86" s="4" vm="1869">
        <v>127.55</v>
      </c>
      <c r="G86" s="4" vm="1870">
        <v>54.01</v>
      </c>
    </row>
    <row r="87" spans="1:7" x14ac:dyDescent="0.3">
      <c r="A87" vm="172">
        <v>45295</v>
      </c>
      <c r="B87" s="4" vm="173">
        <v>21658.6</v>
      </c>
      <c r="C87" s="4" vm="1871">
        <v>1431.6</v>
      </c>
      <c r="D87" s="4" vm="1872">
        <v>3861</v>
      </c>
      <c r="E87" s="4" vm="1873">
        <v>1355.82</v>
      </c>
      <c r="F87" s="4" vm="1874">
        <v>129.75</v>
      </c>
      <c r="G87" s="4" vm="1875">
        <v>53.53</v>
      </c>
    </row>
    <row r="88" spans="1:7" x14ac:dyDescent="0.3">
      <c r="A88" vm="174">
        <v>45296</v>
      </c>
      <c r="B88" s="4" vm="175">
        <v>21710.799999999999</v>
      </c>
      <c r="C88" s="4" vm="1876">
        <v>1454.15</v>
      </c>
      <c r="D88" s="4" vm="1877">
        <v>3877.05</v>
      </c>
      <c r="E88" s="4" vm="1878">
        <v>1333.2</v>
      </c>
      <c r="F88" s="4" vm="1879">
        <v>133.30000000000001</v>
      </c>
      <c r="G88" s="4" vm="1771">
        <v>53.29</v>
      </c>
    </row>
    <row r="89" spans="1:7" x14ac:dyDescent="0.3">
      <c r="A89" vm="176">
        <v>45299</v>
      </c>
      <c r="B89" s="4" vm="177">
        <v>21513</v>
      </c>
      <c r="C89" s="4" vm="1880">
        <v>1421.05</v>
      </c>
      <c r="D89" s="4" vm="1881">
        <v>3884.25</v>
      </c>
      <c r="E89" s="4" vm="1882">
        <v>1309.6500000000001</v>
      </c>
      <c r="F89" s="4" vm="1883">
        <v>132.85</v>
      </c>
      <c r="G89" s="4" vm="1884">
        <v>53.14</v>
      </c>
    </row>
    <row r="90" spans="1:7" x14ac:dyDescent="0.3">
      <c r="A90" vm="178">
        <v>45300</v>
      </c>
      <c r="B90" s="4" vm="179">
        <v>21544.85</v>
      </c>
      <c r="C90" s="4" vm="1885">
        <v>1449.35</v>
      </c>
      <c r="D90" s="4" vm="1886">
        <v>3870.45</v>
      </c>
      <c r="E90" s="4" vm="1887">
        <v>1296.3</v>
      </c>
      <c r="F90" s="4" vm="1888">
        <v>134.30000000000001</v>
      </c>
      <c r="G90" s="4" vm="1889">
        <v>52.85</v>
      </c>
    </row>
    <row r="91" spans="1:7" x14ac:dyDescent="0.3">
      <c r="A91" vm="180">
        <v>45301</v>
      </c>
      <c r="B91" s="4" vm="181">
        <v>21618.7</v>
      </c>
      <c r="C91" s="4" vm="1890">
        <v>1451.45</v>
      </c>
      <c r="D91" s="4" vm="1891">
        <v>3842.55</v>
      </c>
      <c r="E91" s="4" vm="1892">
        <v>1289.05</v>
      </c>
      <c r="F91" s="4" vm="1893">
        <v>134.65</v>
      </c>
      <c r="G91" s="4" vm="1894">
        <v>53.02</v>
      </c>
    </row>
    <row r="92" spans="1:7" x14ac:dyDescent="0.3">
      <c r="A92" vm="182">
        <v>45302</v>
      </c>
      <c r="B92" s="4" vm="183">
        <v>21647.200000000001</v>
      </c>
      <c r="C92" s="4" vm="1895">
        <v>1427.8</v>
      </c>
      <c r="D92" s="4" vm="1896">
        <v>3888.8</v>
      </c>
      <c r="E92" s="4" vm="1897">
        <v>1278.5999999999999</v>
      </c>
      <c r="F92" s="4" vm="1898">
        <v>138.35</v>
      </c>
      <c r="G92" s="4" vm="1899">
        <v>52.92</v>
      </c>
    </row>
    <row r="93" spans="1:7" x14ac:dyDescent="0.3">
      <c r="A93" vm="184">
        <v>45303</v>
      </c>
      <c r="B93" s="4" vm="185">
        <v>21894.55</v>
      </c>
      <c r="C93" s="4" vm="1846">
        <v>1435.3</v>
      </c>
      <c r="D93" s="4" vm="1900">
        <v>3870.85</v>
      </c>
      <c r="E93" s="4" vm="1901">
        <v>1274.8</v>
      </c>
      <c r="F93" s="4" vm="1902">
        <v>139.55000000000001</v>
      </c>
      <c r="G93" s="4" vm="1903">
        <v>52.84</v>
      </c>
    </row>
    <row r="94" spans="1:7" x14ac:dyDescent="0.3">
      <c r="A94" vm="186">
        <v>45306</v>
      </c>
      <c r="B94" s="4" vm="187">
        <v>22097.45</v>
      </c>
      <c r="C94" s="4" vm="1904">
        <v>1430.05</v>
      </c>
      <c r="D94" s="4" vm="1905">
        <v>3832.1</v>
      </c>
      <c r="E94" s="4" vm="1906">
        <v>1273.7750000000001</v>
      </c>
      <c r="F94" s="4" vm="1907">
        <v>133.4</v>
      </c>
      <c r="G94" s="4" vm="1908">
        <v>52.99</v>
      </c>
    </row>
    <row r="95" spans="1:7" x14ac:dyDescent="0.3">
      <c r="A95" vm="188">
        <v>45307</v>
      </c>
      <c r="B95" s="4" vm="189">
        <v>22032.3</v>
      </c>
      <c r="C95" s="4" vm="1909">
        <v>1408.8</v>
      </c>
      <c r="D95" s="4" vm="1910">
        <v>3792.3</v>
      </c>
      <c r="E95" s="4" vm="1911">
        <v>1271.0250000000001</v>
      </c>
      <c r="F95" s="4" vm="1912">
        <v>133.55000000000001</v>
      </c>
      <c r="G95" s="4" vm="1913">
        <v>53.25</v>
      </c>
    </row>
    <row r="96" spans="1:7" x14ac:dyDescent="0.3">
      <c r="A96" vm="190">
        <v>45308</v>
      </c>
      <c r="B96" s="4" vm="191">
        <v>21571.95</v>
      </c>
      <c r="C96" s="4" vm="1914">
        <v>1421.15</v>
      </c>
      <c r="D96" s="4" vm="1915">
        <v>3751.1</v>
      </c>
      <c r="E96" s="4" vm="1916">
        <v>1271.55</v>
      </c>
      <c r="F96" s="4" vm="1917">
        <v>127.4</v>
      </c>
      <c r="G96" s="4" vm="1762">
        <v>53.05</v>
      </c>
    </row>
    <row r="97" spans="1:7" x14ac:dyDescent="0.3">
      <c r="A97" vm="192">
        <v>45309</v>
      </c>
      <c r="B97" s="4" vm="193">
        <v>21462.25</v>
      </c>
      <c r="C97" s="4" vm="1918">
        <v>1404.9</v>
      </c>
      <c r="D97" s="4" vm="1919">
        <v>3691.15</v>
      </c>
      <c r="E97" s="4" vm="1920">
        <v>1251</v>
      </c>
      <c r="F97" s="4" vm="1921">
        <v>129.44999999999999</v>
      </c>
      <c r="G97" s="4" vm="1922">
        <v>52.67</v>
      </c>
    </row>
    <row r="98" spans="1:7" x14ac:dyDescent="0.3">
      <c r="A98" vm="194">
        <v>45310</v>
      </c>
      <c r="B98" s="4" vm="195">
        <v>21622.400000000001</v>
      </c>
      <c r="C98" s="4" vm="1923">
        <v>1440.6</v>
      </c>
      <c r="D98" s="4" vm="1924">
        <v>3699.45</v>
      </c>
      <c r="E98" s="4" vm="1925">
        <v>1257.075</v>
      </c>
      <c r="F98" s="4" vm="1926">
        <v>135.05000000000001</v>
      </c>
      <c r="G98" s="4" vm="1821">
        <v>52.49</v>
      </c>
    </row>
    <row r="99" spans="1:7" x14ac:dyDescent="0.3">
      <c r="A99" vm="196">
        <v>45311</v>
      </c>
      <c r="B99" s="4" vm="197">
        <v>21571.8</v>
      </c>
      <c r="C99" s="4" vm="1927">
        <v>1442.2</v>
      </c>
      <c r="D99" s="4" vm="1928">
        <v>3697.6</v>
      </c>
      <c r="E99" s="4" vm="1929">
        <v>1239.9749999999999</v>
      </c>
      <c r="F99" s="4" vm="1930">
        <v>133.1</v>
      </c>
      <c r="G99" s="4" vm="1903">
        <v>52.84</v>
      </c>
    </row>
    <row r="100" spans="1:7" x14ac:dyDescent="0.3">
      <c r="A100" vm="198">
        <v>45314</v>
      </c>
      <c r="B100" s="4" vm="199">
        <v>21238.799999999999</v>
      </c>
      <c r="C100" s="4" vm="1931">
        <v>1375.5</v>
      </c>
      <c r="D100" s="4" vm="1932">
        <v>3616.7</v>
      </c>
      <c r="E100" s="4" vm="1933">
        <v>1231.45</v>
      </c>
      <c r="F100" s="4" vm="1934">
        <v>130.1</v>
      </c>
      <c r="G100" s="4" vm="1835">
        <v>52.86</v>
      </c>
    </row>
    <row r="101" spans="1:7" x14ac:dyDescent="0.3">
      <c r="A101" vm="200">
        <v>45315</v>
      </c>
      <c r="B101" s="4" vm="201">
        <v>21453.95</v>
      </c>
      <c r="C101" s="4" vm="1935">
        <v>1410.55</v>
      </c>
      <c r="D101" s="4" vm="1936">
        <v>3635</v>
      </c>
      <c r="E101" s="4" vm="1937">
        <v>1256.9749999999999</v>
      </c>
      <c r="F101" s="4" vm="1938">
        <v>136.19999999999999</v>
      </c>
      <c r="G101" s="4" vm="1835">
        <v>52.86</v>
      </c>
    </row>
    <row r="102" spans="1:7" x14ac:dyDescent="0.3">
      <c r="A102" vm="202">
        <v>45316</v>
      </c>
      <c r="B102" s="4" vm="203">
        <v>21352.6</v>
      </c>
      <c r="C102" s="4" vm="1939">
        <v>1380.9</v>
      </c>
      <c r="D102" s="4" vm="1940">
        <v>3616.45</v>
      </c>
      <c r="E102" s="4" vm="1941">
        <v>1241.075</v>
      </c>
      <c r="F102" s="4" vm="1942">
        <v>136.15</v>
      </c>
      <c r="G102" s="4" vm="1943">
        <v>52.91</v>
      </c>
    </row>
    <row r="103" spans="1:7" x14ac:dyDescent="0.3">
      <c r="A103" vm="204">
        <v>45320</v>
      </c>
      <c r="B103" s="4" vm="205">
        <v>21737.599999999999</v>
      </c>
      <c r="C103" s="4" vm="1944">
        <v>1418.4</v>
      </c>
      <c r="D103" s="4" vm="1945">
        <v>3669.05</v>
      </c>
      <c r="E103" s="4" vm="1946">
        <v>1249.2750000000001</v>
      </c>
      <c r="F103" s="4" vm="1947">
        <v>135.55000000000001</v>
      </c>
      <c r="G103" s="4" vm="1948">
        <v>52.72</v>
      </c>
    </row>
    <row r="104" spans="1:7" x14ac:dyDescent="0.3">
      <c r="A104" vm="206">
        <v>45321</v>
      </c>
      <c r="B104" s="4" vm="207">
        <v>21522.1</v>
      </c>
      <c r="C104" s="4" vm="1949">
        <v>1399</v>
      </c>
      <c r="D104" s="4" vm="1950">
        <v>3704.75</v>
      </c>
      <c r="E104" s="4" vm="1951">
        <v>1246.0250000000001</v>
      </c>
      <c r="F104" s="4" vm="1952">
        <v>137.19999999999999</v>
      </c>
      <c r="G104" s="4" vm="1953">
        <v>52.97</v>
      </c>
    </row>
    <row r="105" spans="1:7" x14ac:dyDescent="0.3">
      <c r="A105" vm="208">
        <v>45322</v>
      </c>
      <c r="B105" s="4" vm="209">
        <v>21725.7</v>
      </c>
      <c r="C105" s="4" vm="1954">
        <v>1401.15</v>
      </c>
      <c r="D105" s="4" vm="1955">
        <v>3839.6</v>
      </c>
      <c r="E105" s="4" vm="1956">
        <v>1253</v>
      </c>
      <c r="F105" s="4" vm="1902">
        <v>139.55000000000001</v>
      </c>
      <c r="G105" s="4" vm="1957">
        <v>53.13</v>
      </c>
    </row>
    <row r="106" spans="1:7" x14ac:dyDescent="0.3">
      <c r="A106" vm="210">
        <v>45323</v>
      </c>
      <c r="B106" s="4" vm="211">
        <v>21697.45</v>
      </c>
      <c r="C106" s="4" vm="1958">
        <v>1432.75</v>
      </c>
      <c r="D106" s="4" vm="1959">
        <v>3933.2</v>
      </c>
      <c r="E106" s="4" vm="1960">
        <v>1233.9000000000001</v>
      </c>
      <c r="F106" s="4" vm="1961">
        <v>140.55000000000001</v>
      </c>
      <c r="G106" s="4" vm="1962">
        <v>53.35</v>
      </c>
    </row>
    <row r="107" spans="1:7" x14ac:dyDescent="0.3">
      <c r="A107" vm="212">
        <v>45324</v>
      </c>
      <c r="B107" s="4" vm="213">
        <v>21853.8</v>
      </c>
      <c r="C107" s="4" vm="1963">
        <v>1435.45</v>
      </c>
      <c r="D107" s="4" vm="1964">
        <v>3825.55</v>
      </c>
      <c r="E107" s="4" vm="1965">
        <v>1240.7</v>
      </c>
      <c r="F107" s="4" vm="1966">
        <v>143.80000000000001</v>
      </c>
      <c r="G107" s="4" vm="1845">
        <v>53.46</v>
      </c>
    </row>
    <row r="108" spans="1:7" x14ac:dyDescent="0.3">
      <c r="A108" vm="214">
        <v>45327</v>
      </c>
      <c r="B108" s="4" vm="215">
        <v>21771.7</v>
      </c>
      <c r="C108" s="4" vm="1967">
        <v>1419.85</v>
      </c>
      <c r="D108" s="4" vm="1968">
        <v>3889.95</v>
      </c>
      <c r="E108" s="4" vm="1969">
        <v>1231.3499999999999</v>
      </c>
      <c r="F108" s="4" vm="1970">
        <v>140.25</v>
      </c>
      <c r="G108" s="4" vm="1971">
        <v>53.58</v>
      </c>
    </row>
    <row r="109" spans="1:7" x14ac:dyDescent="0.3">
      <c r="A109" vm="216">
        <v>45328</v>
      </c>
      <c r="B109" s="4" vm="217">
        <v>21929.4</v>
      </c>
      <c r="C109" s="4" vm="1972">
        <v>1464</v>
      </c>
      <c r="D109" s="4" vm="1973">
        <v>3944.6</v>
      </c>
      <c r="E109" s="4" vm="1974">
        <v>1228.325</v>
      </c>
      <c r="F109" s="4" vm="1975">
        <v>139.94999999999999</v>
      </c>
      <c r="G109" s="4" vm="1976">
        <v>52.98</v>
      </c>
    </row>
    <row r="110" spans="1:7" x14ac:dyDescent="0.3">
      <c r="A110" vm="218">
        <v>45329</v>
      </c>
      <c r="B110" s="4" vm="219">
        <v>21930.5</v>
      </c>
      <c r="C110" s="4" vm="1977">
        <v>1469.45</v>
      </c>
      <c r="D110" s="4" vm="1978">
        <v>3927.65</v>
      </c>
      <c r="E110" s="4" vm="1979">
        <v>1249.8</v>
      </c>
      <c r="F110" s="4" vm="1980">
        <v>140.4</v>
      </c>
      <c r="G110" s="4" vm="1781">
        <v>52.94</v>
      </c>
    </row>
    <row r="111" spans="1:7" x14ac:dyDescent="0.3">
      <c r="A111" vm="220">
        <v>45330</v>
      </c>
      <c r="B111" s="4" vm="221">
        <v>21717.95</v>
      </c>
      <c r="C111" s="4" vm="1981">
        <v>1459.05</v>
      </c>
      <c r="D111" s="4" vm="1982">
        <v>3807.3</v>
      </c>
      <c r="E111" s="4" vm="1983">
        <v>1211.5250000000001</v>
      </c>
      <c r="F111" s="4" vm="1984">
        <v>144.1</v>
      </c>
      <c r="G111" s="4" vm="1985">
        <v>53.21</v>
      </c>
    </row>
    <row r="112" spans="1:7" x14ac:dyDescent="0.3">
      <c r="A112" vm="222">
        <v>45331</v>
      </c>
      <c r="B112" s="4" vm="223">
        <v>21782.5</v>
      </c>
      <c r="C112" s="4" vm="1986">
        <v>1439.7</v>
      </c>
      <c r="D112" s="4" vm="1987">
        <v>3840.95</v>
      </c>
      <c r="E112" s="4" vm="1988">
        <v>1225.05</v>
      </c>
      <c r="F112" s="4" vm="1989">
        <v>149.44999999999999</v>
      </c>
      <c r="G112" s="4" vm="1762">
        <v>53.05</v>
      </c>
    </row>
    <row r="113" spans="1:7" x14ac:dyDescent="0.3">
      <c r="A113" vm="224">
        <v>45334</v>
      </c>
      <c r="B113" s="4" vm="225">
        <v>21616.05</v>
      </c>
      <c r="C113" s="4" vm="1990">
        <v>1436</v>
      </c>
      <c r="D113" s="4" vm="1991">
        <v>3871.85</v>
      </c>
      <c r="E113" s="4" vm="1992">
        <v>1229.5250000000001</v>
      </c>
      <c r="F113" s="4" vm="1993">
        <v>153.80000000000001</v>
      </c>
      <c r="G113" s="4" vm="1762">
        <v>53.05</v>
      </c>
    </row>
    <row r="114" spans="1:7" x14ac:dyDescent="0.3">
      <c r="A114" vm="226">
        <v>45335</v>
      </c>
      <c r="B114" s="4" vm="227">
        <v>21743.25</v>
      </c>
      <c r="C114" s="4" vm="1994">
        <v>1467.6</v>
      </c>
      <c r="D114" s="4" vm="1995">
        <v>3854.2</v>
      </c>
      <c r="E114" s="4" vm="1996">
        <v>1228.675</v>
      </c>
      <c r="F114" s="4" vm="1997">
        <v>154.75</v>
      </c>
      <c r="G114" s="4" vm="1998">
        <v>52.79</v>
      </c>
    </row>
    <row r="115" spans="1:7" x14ac:dyDescent="0.3">
      <c r="A115" vm="228">
        <v>45336</v>
      </c>
      <c r="B115" s="4" vm="229">
        <v>21840.05</v>
      </c>
      <c r="C115" s="4" vm="1999">
        <v>1453.7</v>
      </c>
      <c r="D115" s="4" vm="2000">
        <v>3901.55</v>
      </c>
      <c r="E115" s="4" vm="2001">
        <v>1243.5</v>
      </c>
      <c r="F115" s="4" vm="2002">
        <v>152.25</v>
      </c>
      <c r="G115" s="4" vm="1816">
        <v>52.81</v>
      </c>
    </row>
    <row r="116" spans="1:7" x14ac:dyDescent="0.3">
      <c r="A116" vm="230">
        <v>45337</v>
      </c>
      <c r="B116" s="4" vm="231">
        <v>21910.75</v>
      </c>
      <c r="C116" s="4" vm="2003">
        <v>1453.35</v>
      </c>
      <c r="D116" s="4" vm="2004">
        <v>3916.55</v>
      </c>
      <c r="E116" s="4" vm="2005">
        <v>1226.7750000000001</v>
      </c>
      <c r="F116" s="4" vm="2006">
        <v>154.85</v>
      </c>
      <c r="G116" s="4" vm="2007">
        <v>52.1</v>
      </c>
    </row>
    <row r="117" spans="1:7" x14ac:dyDescent="0.3">
      <c r="A117" vm="232">
        <v>45338</v>
      </c>
      <c r="B117" s="4" vm="233">
        <v>22040.7</v>
      </c>
      <c r="C117" s="4" vm="2008">
        <v>1508.45</v>
      </c>
      <c r="D117" s="4" vm="2009">
        <v>3928.65</v>
      </c>
      <c r="E117" s="4" vm="2010">
        <v>1243.825</v>
      </c>
      <c r="F117" s="4" vm="2011">
        <v>156.69999999999999</v>
      </c>
      <c r="G117" s="4" vm="1743">
        <v>52.17</v>
      </c>
    </row>
    <row r="118" spans="1:7" x14ac:dyDescent="0.3">
      <c r="A118" vm="234">
        <v>45341</v>
      </c>
      <c r="B118" s="4" vm="235">
        <v>22122.25</v>
      </c>
      <c r="C118" s="4" vm="2012">
        <v>1488.85</v>
      </c>
      <c r="D118" s="4" vm="2013">
        <v>3902.85</v>
      </c>
      <c r="E118" s="4" vm="2014">
        <v>1256.625</v>
      </c>
      <c r="F118" s="4" vm="2015">
        <v>157.5</v>
      </c>
      <c r="G118" s="4" vm="2016">
        <v>52.35</v>
      </c>
    </row>
    <row r="119" spans="1:7" x14ac:dyDescent="0.3">
      <c r="A119" vm="236">
        <v>45342</v>
      </c>
      <c r="B119" s="4" vm="237">
        <v>22196.95</v>
      </c>
      <c r="C119" s="4" vm="2017">
        <v>1513.55</v>
      </c>
      <c r="D119" s="4" vm="2018">
        <v>3828.1</v>
      </c>
      <c r="E119" s="4" vm="2019">
        <v>1269.7</v>
      </c>
      <c r="F119" s="4" vm="2020">
        <v>161.05000000000001</v>
      </c>
      <c r="G119" s="4" vm="2021">
        <v>52.64</v>
      </c>
    </row>
    <row r="120" spans="1:7" x14ac:dyDescent="0.3">
      <c r="A120" vm="238">
        <v>45343</v>
      </c>
      <c r="B120" s="4" vm="239">
        <v>22055.05</v>
      </c>
      <c r="C120" s="4" vm="2022">
        <v>1501.7</v>
      </c>
      <c r="D120" s="4" vm="2023">
        <v>3836.35</v>
      </c>
      <c r="E120" s="4" vm="2024">
        <v>1271.8</v>
      </c>
      <c r="F120" s="4" vm="2025">
        <v>158.65</v>
      </c>
      <c r="G120" s="4" vm="2026">
        <v>52.56</v>
      </c>
    </row>
    <row r="121" spans="1:7" x14ac:dyDescent="0.3">
      <c r="A121" vm="240">
        <v>45344</v>
      </c>
      <c r="B121" s="4" vm="241">
        <v>22217.45</v>
      </c>
      <c r="C121" s="4" vm="2027">
        <v>1509.65</v>
      </c>
      <c r="D121" s="4" vm="2028">
        <v>3951.4</v>
      </c>
      <c r="E121" s="4" vm="2029">
        <v>1281.575</v>
      </c>
      <c r="F121" s="4" vm="2030">
        <v>162.1</v>
      </c>
      <c r="G121" s="4" vm="2021">
        <v>52.64</v>
      </c>
    </row>
    <row r="122" spans="1:7" x14ac:dyDescent="0.3">
      <c r="A122" vm="242">
        <v>45345</v>
      </c>
      <c r="B122" s="4" vm="243">
        <v>22212.7</v>
      </c>
      <c r="C122" s="4" vm="2031">
        <v>1529.15</v>
      </c>
      <c r="D122" s="4" vm="2032">
        <v>3927.05</v>
      </c>
      <c r="E122" s="4" vm="2033">
        <v>1289.5</v>
      </c>
      <c r="F122" s="4" vm="2034">
        <v>164.05</v>
      </c>
      <c r="G122" s="4" vm="1948">
        <v>52.72</v>
      </c>
    </row>
    <row r="123" spans="1:7" x14ac:dyDescent="0.3">
      <c r="A123" vm="244">
        <v>45348</v>
      </c>
      <c r="B123" s="4" vm="245">
        <v>22122.05</v>
      </c>
      <c r="C123" s="4" vm="2035">
        <v>1549.15</v>
      </c>
      <c r="D123" s="4" vm="2036">
        <v>3952.95</v>
      </c>
      <c r="E123" s="4" vm="2037">
        <v>1291.95</v>
      </c>
      <c r="F123" s="4" vm="2038">
        <v>164.2</v>
      </c>
      <c r="G123" s="4" vm="2039">
        <v>52.44</v>
      </c>
    </row>
    <row r="124" spans="1:7" x14ac:dyDescent="0.3">
      <c r="A124" vm="246">
        <v>45349</v>
      </c>
      <c r="B124" s="4" vm="247">
        <v>22198.35</v>
      </c>
      <c r="C124" s="4" vm="2040">
        <v>1542.7</v>
      </c>
      <c r="D124" s="4" vm="2041">
        <v>4002.75</v>
      </c>
      <c r="E124" s="4" vm="2042">
        <v>1299.3499999999999</v>
      </c>
      <c r="F124" s="4" vm="2043">
        <v>161.30000000000001</v>
      </c>
      <c r="G124" s="4" vm="2044">
        <v>52.71</v>
      </c>
    </row>
    <row r="125" spans="1:7" x14ac:dyDescent="0.3">
      <c r="A125" vm="248">
        <v>45350</v>
      </c>
      <c r="B125" s="4" vm="249">
        <v>21951.15</v>
      </c>
      <c r="C125" s="4" vm="2045">
        <v>1540.2</v>
      </c>
      <c r="D125" s="4" vm="2046">
        <v>3863.75</v>
      </c>
      <c r="E125" s="4" vm="2047">
        <v>1285.45</v>
      </c>
      <c r="F125" s="4" vm="2048">
        <v>159.35</v>
      </c>
      <c r="G125" s="4" vm="1998">
        <v>52.79</v>
      </c>
    </row>
    <row r="126" spans="1:7" x14ac:dyDescent="0.3">
      <c r="A126" vm="250">
        <v>45351</v>
      </c>
      <c r="B126" s="4" vm="251">
        <v>21982.799999999999</v>
      </c>
      <c r="C126" s="4" vm="2049">
        <v>1552.55</v>
      </c>
      <c r="D126" s="4" vm="2050">
        <v>3792.4</v>
      </c>
      <c r="E126" s="4" vm="2051">
        <v>1298.0999999999999</v>
      </c>
      <c r="F126" s="4" vm="2052">
        <v>165.45</v>
      </c>
      <c r="G126" s="4" vm="2053">
        <v>52.6</v>
      </c>
    </row>
    <row r="127" spans="1:7" x14ac:dyDescent="0.3">
      <c r="A127" vm="252">
        <v>45352</v>
      </c>
      <c r="B127" s="4" vm="253">
        <v>22338.75</v>
      </c>
      <c r="C127" s="4" vm="2054">
        <v>1542.15</v>
      </c>
      <c r="D127" s="4" vm="2055">
        <v>3843.55</v>
      </c>
      <c r="E127" s="4" vm="2056">
        <v>1300.7249999999999</v>
      </c>
      <c r="F127" s="4" vm="2057">
        <v>166.5</v>
      </c>
      <c r="G127" s="4" vm="2058">
        <v>52.78</v>
      </c>
    </row>
    <row r="128" spans="1:7" x14ac:dyDescent="0.3">
      <c r="A128" vm="254">
        <v>45353</v>
      </c>
      <c r="B128" s="4" vm="255">
        <v>22378.400000000001</v>
      </c>
      <c r="C128" s="4" vm="2059">
        <v>1546.8</v>
      </c>
      <c r="D128" s="4" vm="2060">
        <v>3860.35</v>
      </c>
      <c r="E128" s="4" vm="2061">
        <v>1297.45</v>
      </c>
      <c r="F128" s="4" vm="2062">
        <v>167.65</v>
      </c>
      <c r="G128" s="4" vm="2063">
        <v>52.9</v>
      </c>
    </row>
    <row r="129" spans="1:7" x14ac:dyDescent="0.3">
      <c r="A129" vm="256">
        <v>45355</v>
      </c>
      <c r="B129" s="4" vm="257">
        <v>22405.599999999999</v>
      </c>
      <c r="C129" s="4" vm="2064">
        <v>1517.95</v>
      </c>
      <c r="D129" s="4" vm="2065">
        <v>3751.45</v>
      </c>
      <c r="E129" s="4" vm="2066">
        <v>1294.55</v>
      </c>
      <c r="F129" s="4" vm="2067">
        <v>169.8</v>
      </c>
      <c r="G129" s="4" vm="2068">
        <v>53.56</v>
      </c>
    </row>
    <row r="130" spans="1:7" x14ac:dyDescent="0.3">
      <c r="A130" vm="258">
        <v>45356</v>
      </c>
      <c r="B130" s="4" vm="259">
        <v>22356.3</v>
      </c>
      <c r="C130" s="4" vm="2069">
        <v>1491.25</v>
      </c>
      <c r="D130" s="4" vm="2070">
        <v>3791.9</v>
      </c>
      <c r="E130" s="4" vm="2071">
        <v>1269.325</v>
      </c>
      <c r="F130" s="4" vm="2072">
        <v>165.85</v>
      </c>
      <c r="G130" s="4" vm="2073">
        <v>53.89</v>
      </c>
    </row>
    <row r="131" spans="1:7" x14ac:dyDescent="0.3">
      <c r="A131" vm="260">
        <v>45357</v>
      </c>
      <c r="B131" s="4" vm="261">
        <v>22474.05</v>
      </c>
      <c r="C131" s="4" vm="2074">
        <v>1520.4</v>
      </c>
      <c r="D131" s="4" vm="2075">
        <v>3793.2</v>
      </c>
      <c r="E131" s="4" vm="2076">
        <v>1266.5250000000001</v>
      </c>
      <c r="F131" s="4" vm="2077">
        <v>161.55000000000001</v>
      </c>
      <c r="G131" s="4" vm="2078">
        <v>54.62</v>
      </c>
    </row>
    <row r="132" spans="1:7" x14ac:dyDescent="0.3">
      <c r="A132" vm="262">
        <v>45358</v>
      </c>
      <c r="B132" s="4" vm="263">
        <v>22493.55</v>
      </c>
      <c r="C132" s="4" vm="2079">
        <v>1510.4</v>
      </c>
      <c r="D132" s="4" vm="2080">
        <v>3785.25</v>
      </c>
      <c r="E132" s="4" vm="2081">
        <v>1280.4749999999999</v>
      </c>
      <c r="F132" s="4" vm="2082">
        <v>160</v>
      </c>
      <c r="G132" s="4" vm="2083">
        <v>54.72</v>
      </c>
    </row>
    <row r="133" spans="1:7" x14ac:dyDescent="0.3">
      <c r="A133" vm="264">
        <v>45362</v>
      </c>
      <c r="B133" s="4" vm="265">
        <v>22332.65</v>
      </c>
      <c r="C133" s="4" vm="2084">
        <v>1532.1</v>
      </c>
      <c r="D133" s="4" vm="2085">
        <v>3783.9</v>
      </c>
      <c r="E133" s="4" vm="2086">
        <v>1305.75</v>
      </c>
      <c r="F133" s="4" vm="2006">
        <v>154.85</v>
      </c>
      <c r="G133" s="4" vm="2087">
        <v>55.44</v>
      </c>
    </row>
    <row r="134" spans="1:7" x14ac:dyDescent="0.3">
      <c r="A134" vm="266">
        <v>45363</v>
      </c>
      <c r="B134" s="4" vm="267">
        <v>22335.7</v>
      </c>
      <c r="C134" s="4" vm="2088">
        <v>1516.4</v>
      </c>
      <c r="D134" s="4" vm="2089">
        <v>3810.75</v>
      </c>
      <c r="E134" s="4" vm="2090">
        <v>1295.075</v>
      </c>
      <c r="F134" s="4" vm="2091">
        <v>156.9</v>
      </c>
      <c r="G134" s="4" vm="2092">
        <v>56.01</v>
      </c>
    </row>
    <row r="135" spans="1:7" x14ac:dyDescent="0.3">
      <c r="A135" vm="268">
        <v>45364</v>
      </c>
      <c r="B135" s="4" vm="269">
        <v>21997.7</v>
      </c>
      <c r="C135" s="4" vm="2093">
        <v>1487.35</v>
      </c>
      <c r="D135" s="4" vm="2094">
        <v>3735.55</v>
      </c>
      <c r="E135" s="4" vm="2095">
        <v>1291.4749999999999</v>
      </c>
      <c r="F135" s="4" vm="2096">
        <v>148.65</v>
      </c>
      <c r="G135" s="4" vm="2097">
        <v>55.94</v>
      </c>
    </row>
    <row r="136" spans="1:7" x14ac:dyDescent="0.3">
      <c r="A136" vm="270">
        <v>45365</v>
      </c>
      <c r="B136" s="4" vm="271">
        <v>22146.65</v>
      </c>
      <c r="C136" s="4" vm="2098">
        <v>1505.85</v>
      </c>
      <c r="D136" s="4" vm="2099">
        <v>3772.65</v>
      </c>
      <c r="E136" s="4" vm="2100">
        <v>1306.375</v>
      </c>
      <c r="F136" s="4" vm="2101">
        <v>152.75</v>
      </c>
      <c r="G136" s="4" vm="2102">
        <v>55.47</v>
      </c>
    </row>
    <row r="137" spans="1:7" x14ac:dyDescent="0.3">
      <c r="A137" vm="272">
        <v>45366</v>
      </c>
      <c r="B137" s="4" vm="273">
        <v>22023.35</v>
      </c>
      <c r="C137" s="4" vm="2103">
        <v>1500</v>
      </c>
      <c r="D137" s="4" vm="2104">
        <v>3745.65</v>
      </c>
      <c r="E137" s="4" vm="2105">
        <v>1301.825</v>
      </c>
      <c r="F137" s="4" vm="2106">
        <v>160.05000000000001</v>
      </c>
      <c r="G137" s="4" vm="2107">
        <v>55.84</v>
      </c>
    </row>
    <row r="138" spans="1:7" x14ac:dyDescent="0.3">
      <c r="A138" vm="274">
        <v>45369</v>
      </c>
      <c r="B138" s="4" vm="275">
        <v>22055.7</v>
      </c>
      <c r="C138" s="4" vm="2108">
        <v>1489.7</v>
      </c>
      <c r="D138" s="4" vm="2109">
        <v>3699.7</v>
      </c>
      <c r="E138" s="4" vm="2110">
        <v>1290.175</v>
      </c>
      <c r="F138" s="4" vm="2111">
        <v>158.25</v>
      </c>
      <c r="G138" s="4" vm="2112">
        <v>55.73</v>
      </c>
    </row>
    <row r="139" spans="1:7" x14ac:dyDescent="0.3">
      <c r="A139" vm="276">
        <v>45370</v>
      </c>
      <c r="B139" s="4" vm="277">
        <v>21817.45</v>
      </c>
      <c r="C139" s="4" vm="2113">
        <v>1461.35</v>
      </c>
      <c r="D139" s="4" vm="2114">
        <v>3716.85</v>
      </c>
      <c r="E139" s="4" vm="2115">
        <v>1248.0250000000001</v>
      </c>
      <c r="F139" s="4" vm="2116">
        <v>157.94999999999999</v>
      </c>
      <c r="G139" s="4" vm="2117">
        <v>55.5</v>
      </c>
    </row>
    <row r="140" spans="1:7" x14ac:dyDescent="0.3">
      <c r="A140" vm="278">
        <v>45371</v>
      </c>
      <c r="B140" s="4" vm="279">
        <v>21839.1</v>
      </c>
      <c r="C140" s="4" vm="2118">
        <v>1458.4</v>
      </c>
      <c r="D140" s="4" vm="2119">
        <v>3873.6</v>
      </c>
      <c r="E140" s="4" vm="2120">
        <v>1275.125</v>
      </c>
      <c r="F140" s="4" vm="2121">
        <v>165.6</v>
      </c>
      <c r="G140" s="4" vm="2122">
        <v>55.61</v>
      </c>
    </row>
    <row r="141" spans="1:7" x14ac:dyDescent="0.3">
      <c r="A141" vm="280">
        <v>45372</v>
      </c>
      <c r="B141" s="4" vm="281">
        <v>22011.95</v>
      </c>
      <c r="C141" s="4" vm="2123">
        <v>1468.05</v>
      </c>
      <c r="D141" s="4" vm="2124">
        <v>3918.95</v>
      </c>
      <c r="E141" s="4" vm="2125">
        <v>1276.825</v>
      </c>
      <c r="F141" s="4" vm="2126">
        <v>169.65</v>
      </c>
      <c r="G141" s="4" vm="2127">
        <v>55.72</v>
      </c>
    </row>
    <row r="142" spans="1:7" x14ac:dyDescent="0.3">
      <c r="A142" vm="282">
        <v>45373</v>
      </c>
      <c r="B142" s="4" vm="283">
        <v>22096.75</v>
      </c>
      <c r="C142" s="4" vm="2128">
        <v>1501.1</v>
      </c>
      <c r="D142" s="4" vm="2129">
        <v>3988.4</v>
      </c>
      <c r="E142" s="4" vm="2130">
        <v>1286.7</v>
      </c>
      <c r="F142" s="4" vm="2131">
        <v>174.2</v>
      </c>
      <c r="G142" s="4" vm="2132">
        <v>56.7</v>
      </c>
    </row>
    <row r="143" spans="1:7" x14ac:dyDescent="0.3">
      <c r="A143" vm="284">
        <v>45377</v>
      </c>
      <c r="B143" s="4" vm="285">
        <v>22004.7</v>
      </c>
      <c r="C143" s="4" vm="2133">
        <v>1486.4</v>
      </c>
      <c r="D143" s="4" vm="2134">
        <v>3911.1</v>
      </c>
      <c r="E143" s="4" vm="2135">
        <v>1293.05</v>
      </c>
      <c r="F143" s="4" vm="2136">
        <v>182.6</v>
      </c>
      <c r="G143" s="4" vm="2137">
        <v>55.99</v>
      </c>
    </row>
    <row r="144" spans="1:7" x14ac:dyDescent="0.3">
      <c r="A144" vm="286">
        <v>45378</v>
      </c>
      <c r="B144" s="4" vm="287">
        <v>22123.65</v>
      </c>
      <c r="C144" s="4" vm="2138">
        <v>1479.55</v>
      </c>
      <c r="D144" s="4" vm="2139">
        <v>3913.8</v>
      </c>
      <c r="E144" s="4" vm="2140">
        <v>1283.2249999999999</v>
      </c>
      <c r="F144" s="4" vm="2141">
        <v>179.45</v>
      </c>
      <c r="G144" s="4" vm="2142">
        <v>56.3</v>
      </c>
    </row>
    <row r="145" spans="1:7" x14ac:dyDescent="0.3">
      <c r="A145" vm="288">
        <v>45379</v>
      </c>
      <c r="B145" s="4" vm="289">
        <v>22326.9</v>
      </c>
      <c r="C145" s="4" vm="2143">
        <v>1500.25</v>
      </c>
      <c r="D145" s="4" vm="2144">
        <v>4019.3</v>
      </c>
      <c r="E145" s="4" vm="2145">
        <v>1311.175</v>
      </c>
      <c r="F145" s="4" vm="2146">
        <v>182.1</v>
      </c>
      <c r="G145" s="4" vm="2147">
        <v>56.22</v>
      </c>
    </row>
    <row r="146" spans="1:7" x14ac:dyDescent="0.3">
      <c r="A146" vm="290">
        <v>45383</v>
      </c>
      <c r="B146" s="4" vm="291">
        <v>22462</v>
      </c>
      <c r="C146" s="4" vm="2148">
        <v>1489.95</v>
      </c>
      <c r="D146" s="4" vm="2149">
        <v>3946.65</v>
      </c>
      <c r="E146" s="4" vm="2150">
        <v>1292.8</v>
      </c>
      <c r="F146" s="4" vm="2151">
        <v>184.5</v>
      </c>
      <c r="G146" s="4" vm="2152">
        <v>56.61</v>
      </c>
    </row>
    <row r="147" spans="1:7" x14ac:dyDescent="0.3">
      <c r="A147" vm="292">
        <v>45384</v>
      </c>
      <c r="B147" s="4" vm="293">
        <v>22453.3</v>
      </c>
      <c r="C147" s="4" vm="2153">
        <v>1470.6</v>
      </c>
      <c r="D147" s="4" vm="2154">
        <v>3922.2</v>
      </c>
      <c r="E147" s="4" vm="2155">
        <v>1311.65</v>
      </c>
      <c r="F147" s="4" vm="2156">
        <v>183.1</v>
      </c>
      <c r="G147" s="4" vm="2157">
        <v>58.32</v>
      </c>
    </row>
    <row r="148" spans="1:7" x14ac:dyDescent="0.3">
      <c r="A148" vm="294">
        <v>45385</v>
      </c>
      <c r="B148" s="4" vm="295">
        <v>22434.65</v>
      </c>
      <c r="C148" s="4" vm="2158">
        <v>1460.8</v>
      </c>
      <c r="D148" s="4" vm="2159">
        <v>3934.2</v>
      </c>
      <c r="E148" s="4" vm="2160">
        <v>1276.9749999999999</v>
      </c>
      <c r="F148" s="4" vm="2161">
        <v>178.3</v>
      </c>
      <c r="G148" s="4" vm="2162">
        <v>58.64</v>
      </c>
    </row>
    <row r="149" spans="1:7" x14ac:dyDescent="0.3">
      <c r="A149" vm="296">
        <v>45386</v>
      </c>
      <c r="B149" s="4" vm="297">
        <v>22514.65</v>
      </c>
      <c r="C149" s="4" vm="2163">
        <v>1463.75</v>
      </c>
      <c r="D149" s="4" vm="2164">
        <v>4014.3</v>
      </c>
      <c r="E149" s="4" vm="1901">
        <v>1274.8</v>
      </c>
      <c r="F149" s="4" vm="2165">
        <v>187</v>
      </c>
      <c r="G149" s="4" vm="2166">
        <v>58.77</v>
      </c>
    </row>
    <row r="150" spans="1:7" x14ac:dyDescent="0.3">
      <c r="A150" vm="298">
        <v>45387</v>
      </c>
      <c r="B150" s="4" vm="299">
        <v>22513.7</v>
      </c>
      <c r="C150" s="4" vm="2167">
        <v>1485.3</v>
      </c>
      <c r="D150" s="4" vm="2168">
        <v>4031.25</v>
      </c>
      <c r="E150" s="4" vm="2169">
        <v>1268.825</v>
      </c>
      <c r="F150" s="4" vm="2170">
        <v>190.5</v>
      </c>
      <c r="G150" s="4" vm="2171">
        <v>59.18</v>
      </c>
    </row>
    <row r="151" spans="1:7" x14ac:dyDescent="0.3">
      <c r="A151" vm="300">
        <v>45390</v>
      </c>
      <c r="B151" s="4" vm="301">
        <v>22666.3</v>
      </c>
      <c r="C151" s="4" vm="2172">
        <v>1518.8</v>
      </c>
      <c r="D151" s="4" vm="2173">
        <v>4205.75</v>
      </c>
      <c r="E151" s="4" vm="2174">
        <v>1249.0250000000001</v>
      </c>
      <c r="F151" s="4" vm="2175">
        <v>191.8</v>
      </c>
      <c r="G151" s="4" vm="2176">
        <v>59.03</v>
      </c>
    </row>
    <row r="152" spans="1:7" x14ac:dyDescent="0.3">
      <c r="A152" vm="302">
        <v>45391</v>
      </c>
      <c r="B152" s="4" vm="303">
        <v>22642.75</v>
      </c>
      <c r="C152" s="4" vm="2177">
        <v>1510.55</v>
      </c>
      <c r="D152" s="4" vm="2178">
        <v>4248.6499999999996</v>
      </c>
      <c r="E152" s="4" vm="2179">
        <v>1251.4000000000001</v>
      </c>
      <c r="F152" s="4" vm="2180">
        <v>193.7</v>
      </c>
      <c r="G152" s="4" vm="2181">
        <v>60.21</v>
      </c>
    </row>
    <row r="153" spans="1:7" x14ac:dyDescent="0.3">
      <c r="A153" vm="304">
        <v>45392</v>
      </c>
      <c r="B153" s="4" vm="305">
        <v>22753.8</v>
      </c>
      <c r="C153" s="4" vm="2182">
        <v>1503.35</v>
      </c>
      <c r="D153" s="4" vm="2183">
        <v>4315.1000000000004</v>
      </c>
      <c r="E153" s="4" vm="2184">
        <v>1263.8</v>
      </c>
      <c r="F153" s="4" vm="2185">
        <v>196.9</v>
      </c>
      <c r="G153" s="4" vm="2186">
        <v>60.55</v>
      </c>
    </row>
    <row r="154" spans="1:7" x14ac:dyDescent="0.3">
      <c r="A154" vm="306">
        <v>45394</v>
      </c>
      <c r="B154" s="4" vm="307">
        <v>22519.4</v>
      </c>
      <c r="C154" s="4" vm="2187">
        <v>1493.15</v>
      </c>
      <c r="D154" s="4" vm="2188">
        <v>4302.25</v>
      </c>
      <c r="E154" s="4" vm="2189">
        <v>1268.0999999999999</v>
      </c>
      <c r="F154" s="4" vm="2190">
        <v>192.1</v>
      </c>
      <c r="G154" s="4" vm="2191">
        <v>60.62</v>
      </c>
    </row>
    <row r="155" spans="1:7" x14ac:dyDescent="0.3">
      <c r="A155" vm="308">
        <v>45397</v>
      </c>
      <c r="B155" s="4" vm="309">
        <v>22272.5</v>
      </c>
      <c r="C155" s="4" vm="2192">
        <v>1466.9</v>
      </c>
      <c r="D155" s="4" vm="2193">
        <v>4219.3500000000004</v>
      </c>
      <c r="E155" s="4" vm="2125">
        <v>1276.825</v>
      </c>
      <c r="F155" s="4" vm="2194">
        <v>188.3</v>
      </c>
      <c r="G155" s="4" vm="2195">
        <v>61.91</v>
      </c>
    </row>
    <row r="156" spans="1:7" x14ac:dyDescent="0.3">
      <c r="A156" vm="310">
        <v>45398</v>
      </c>
      <c r="B156" s="4" vm="311">
        <v>22147.9</v>
      </c>
      <c r="C156" s="4" vm="2196">
        <v>1462.75</v>
      </c>
      <c r="D156" s="4" vm="2197">
        <v>4355.7</v>
      </c>
      <c r="E156" s="4" vm="2198">
        <v>1273.05</v>
      </c>
      <c r="F156" s="4" vm="2199">
        <v>186.45</v>
      </c>
      <c r="G156" s="4" vm="2200">
        <v>61.23</v>
      </c>
    </row>
    <row r="157" spans="1:7" x14ac:dyDescent="0.3">
      <c r="A157" vm="312">
        <v>45400</v>
      </c>
      <c r="B157" s="4" vm="313">
        <v>21995.85</v>
      </c>
      <c r="C157" s="4" vm="2201">
        <v>1456.95</v>
      </c>
      <c r="D157" s="4" vm="2202">
        <v>4351.2</v>
      </c>
      <c r="E157" s="4" vm="2203">
        <v>1231.2750000000001</v>
      </c>
      <c r="F157" s="4" vm="2204">
        <v>185.2</v>
      </c>
      <c r="G157" s="4" vm="2205">
        <v>61.89</v>
      </c>
    </row>
    <row r="158" spans="1:7" x14ac:dyDescent="0.3">
      <c r="A158" vm="314">
        <v>45401</v>
      </c>
      <c r="B158" s="4" vm="315">
        <v>22147</v>
      </c>
      <c r="C158" s="4" vm="2206">
        <v>1447.55</v>
      </c>
      <c r="D158" s="4" vm="2207">
        <v>4344.1499999999996</v>
      </c>
      <c r="E158" s="4" vm="2208">
        <v>1218.8499999999999</v>
      </c>
      <c r="F158" s="4" vm="2209">
        <v>189.2</v>
      </c>
      <c r="G158" s="4" vm="2210">
        <v>61.96</v>
      </c>
    </row>
    <row r="159" spans="1:7" x14ac:dyDescent="0.3">
      <c r="A159" vm="316">
        <v>45404</v>
      </c>
      <c r="B159" s="4" vm="317">
        <v>22336.400000000001</v>
      </c>
      <c r="C159" s="4" vm="2211">
        <v>1475.4</v>
      </c>
      <c r="D159" s="4" vm="2212">
        <v>4466.95</v>
      </c>
      <c r="E159" s="4" vm="2213">
        <v>1229.3499999999999</v>
      </c>
      <c r="F159" s="4" vm="2214">
        <v>193.35</v>
      </c>
      <c r="G159" s="4" vm="2215">
        <v>62.24</v>
      </c>
    </row>
    <row r="160" spans="1:7" x14ac:dyDescent="0.3">
      <c r="A160" vm="318">
        <v>45405</v>
      </c>
      <c r="B160" s="4" vm="319">
        <v>22368</v>
      </c>
      <c r="C160" s="4" vm="1803">
        <v>1469.85</v>
      </c>
      <c r="D160" s="4" vm="2216">
        <v>4520.1499999999996</v>
      </c>
      <c r="E160" s="4" vm="2217">
        <v>1250.625</v>
      </c>
      <c r="F160" s="4" vm="2218">
        <v>187.45</v>
      </c>
      <c r="G160" s="4" vm="2219">
        <v>61.74</v>
      </c>
    </row>
    <row r="161" spans="1:7" x14ac:dyDescent="0.3">
      <c r="A161" vm="320">
        <v>45406</v>
      </c>
      <c r="B161" s="4" vm="321">
        <v>22402.400000000001</v>
      </c>
      <c r="C161" s="4" vm="2220">
        <v>1460.05</v>
      </c>
      <c r="D161" s="4" vm="2221">
        <v>4530.7</v>
      </c>
      <c r="E161" s="4" vm="2222">
        <v>1250.075</v>
      </c>
      <c r="F161" s="4" vm="2223">
        <v>184.4</v>
      </c>
      <c r="G161" s="4" vm="2224">
        <v>60.25</v>
      </c>
    </row>
    <row r="162" spans="1:7" x14ac:dyDescent="0.3">
      <c r="A162" vm="322">
        <v>45407</v>
      </c>
      <c r="B162" s="4" vm="323">
        <v>22570.35</v>
      </c>
      <c r="C162" s="4" vm="2225">
        <v>1444.45</v>
      </c>
      <c r="D162" s="4" vm="2226">
        <v>4615.2</v>
      </c>
      <c r="E162" s="4" vm="2227">
        <v>1281.325</v>
      </c>
      <c r="F162" s="4" vm="2228">
        <v>184.7</v>
      </c>
      <c r="G162" s="4" vm="2229">
        <v>60.73</v>
      </c>
    </row>
    <row r="163" spans="1:7" x14ac:dyDescent="0.3">
      <c r="A163" vm="324">
        <v>45408</v>
      </c>
      <c r="B163" s="4" vm="325">
        <v>22419.95</v>
      </c>
      <c r="C163" s="4" vm="2230">
        <v>1415.25</v>
      </c>
      <c r="D163" s="4" vm="2231">
        <v>4601</v>
      </c>
      <c r="E163" s="4" vm="2232">
        <v>1241.375</v>
      </c>
      <c r="F163" s="4" vm="2233">
        <v>188.1</v>
      </c>
      <c r="G163" s="4" vm="2234">
        <v>60.86</v>
      </c>
    </row>
    <row r="164" spans="1:7" x14ac:dyDescent="0.3">
      <c r="A164" vm="326">
        <v>45411</v>
      </c>
      <c r="B164" s="4" vm="327">
        <v>22643.4</v>
      </c>
      <c r="C164" s="4" vm="2235">
        <v>1422.35</v>
      </c>
      <c r="D164" s="4" vm="2236">
        <v>4571.8500000000004</v>
      </c>
      <c r="E164" s="4" vm="2237">
        <v>1254.9000000000001</v>
      </c>
      <c r="F164" s="4" vm="2238">
        <v>193.6</v>
      </c>
      <c r="G164" s="4" vm="2239">
        <v>61.33</v>
      </c>
    </row>
    <row r="165" spans="1:7" x14ac:dyDescent="0.3">
      <c r="A165" vm="328">
        <v>45412</v>
      </c>
      <c r="B165" s="4" vm="329">
        <v>22604.85</v>
      </c>
      <c r="C165" s="4" vm="2240">
        <v>1436.55</v>
      </c>
      <c r="D165" s="4" vm="2241">
        <v>4597.3999999999996</v>
      </c>
      <c r="E165" s="4" vm="2242">
        <v>1253.7</v>
      </c>
      <c r="F165" s="4" vm="2243">
        <v>193.15</v>
      </c>
      <c r="G165" s="4" vm="2244">
        <v>61.3</v>
      </c>
    </row>
    <row r="166" spans="1:7" x14ac:dyDescent="0.3">
      <c r="A166" vm="330">
        <v>45414</v>
      </c>
      <c r="B166" s="4" vm="331">
        <v>22648.2</v>
      </c>
      <c r="C166" s="4" vm="2245">
        <v>1460.9</v>
      </c>
      <c r="D166" s="4" vm="2246">
        <v>4602.3999999999996</v>
      </c>
      <c r="E166" s="4" vm="2247">
        <v>1256.1500000000001</v>
      </c>
      <c r="F166" s="4" vm="2248">
        <v>195.45</v>
      </c>
      <c r="G166" s="4" vm="2249">
        <v>60.88</v>
      </c>
    </row>
    <row r="167" spans="1:7" x14ac:dyDescent="0.3">
      <c r="A167" vm="332">
        <v>45415</v>
      </c>
      <c r="B167" s="4" vm="333">
        <v>22475.85</v>
      </c>
      <c r="C167" s="4" vm="2250">
        <v>1443.25</v>
      </c>
      <c r="D167" s="4" vm="2251">
        <v>4599.25</v>
      </c>
      <c r="E167" s="4" vm="2252">
        <v>1228.05</v>
      </c>
      <c r="F167" s="4" vm="2253">
        <v>197.25</v>
      </c>
      <c r="G167" s="4" vm="2254">
        <v>60.85</v>
      </c>
    </row>
    <row r="168" spans="1:7" x14ac:dyDescent="0.3">
      <c r="A168" vm="334">
        <v>45418</v>
      </c>
      <c r="B168" s="4" vm="335">
        <v>22442.7</v>
      </c>
      <c r="C168" s="4" vm="1923">
        <v>1440.6</v>
      </c>
      <c r="D168" s="4" vm="2255">
        <v>4599</v>
      </c>
      <c r="E168" s="4" vm="2256">
        <v>1228.7</v>
      </c>
      <c r="F168" s="4" vm="2257">
        <v>195.7</v>
      </c>
      <c r="G168" s="4" vm="2258">
        <v>60.48</v>
      </c>
    </row>
    <row r="169" spans="1:7" x14ac:dyDescent="0.3">
      <c r="A169" vm="336">
        <v>45419</v>
      </c>
      <c r="B169" s="4" vm="337">
        <v>22302.5</v>
      </c>
      <c r="C169" s="4" vm="2259">
        <v>1450.15</v>
      </c>
      <c r="D169" s="4" vm="2260">
        <v>4622.3999999999996</v>
      </c>
      <c r="E169" s="4" vm="2261">
        <v>1254.325</v>
      </c>
      <c r="F169" s="4" vm="2262">
        <v>191.45</v>
      </c>
      <c r="G169" s="4" vm="2263">
        <v>60.72</v>
      </c>
    </row>
    <row r="170" spans="1:7" x14ac:dyDescent="0.3">
      <c r="A170" vm="338">
        <v>45420</v>
      </c>
      <c r="B170" s="4" vm="337">
        <v>22302.5</v>
      </c>
      <c r="C170" s="4" vm="2264">
        <v>1426.75</v>
      </c>
      <c r="D170" s="4" vm="2265">
        <v>4600.1000000000004</v>
      </c>
      <c r="E170" s="4" vm="2266">
        <v>1269.5</v>
      </c>
      <c r="F170" s="4" vm="2248">
        <v>195.45</v>
      </c>
      <c r="G170" s="4" vm="2267">
        <v>60.68</v>
      </c>
    </row>
    <row r="171" spans="1:7" x14ac:dyDescent="0.3">
      <c r="A171" vm="339">
        <v>45421</v>
      </c>
      <c r="B171" s="4" vm="340">
        <v>21957.5</v>
      </c>
      <c r="C171" s="4" vm="2268">
        <v>1422.4</v>
      </c>
      <c r="D171" s="4" vm="2269">
        <v>4568.05</v>
      </c>
      <c r="E171" s="4" vm="2270">
        <v>1256.7249999999999</v>
      </c>
      <c r="F171" s="4" vm="2271">
        <v>195.25</v>
      </c>
      <c r="G171" s="4" vm="2272">
        <v>60.5</v>
      </c>
    </row>
    <row r="172" spans="1:7" x14ac:dyDescent="0.3">
      <c r="A172" vm="341">
        <v>45422</v>
      </c>
      <c r="B172" s="4" vm="342">
        <v>22055.200000000001</v>
      </c>
      <c r="C172" s="4" vm="2273">
        <v>1431.95</v>
      </c>
      <c r="D172" s="4" vm="2274">
        <v>4657.8500000000004</v>
      </c>
      <c r="E172" s="4" vm="2275">
        <v>1266.5999999999999</v>
      </c>
      <c r="F172" s="4" vm="2276">
        <v>201.3</v>
      </c>
      <c r="G172" s="4" vm="2277">
        <v>60.42</v>
      </c>
    </row>
    <row r="173" spans="1:7" x14ac:dyDescent="0.3">
      <c r="A173" vm="343">
        <v>45425</v>
      </c>
      <c r="B173" s="4" vm="344">
        <v>22104.05</v>
      </c>
      <c r="C173" s="4" vm="2278">
        <v>1425.1</v>
      </c>
      <c r="D173" s="4" vm="2279">
        <v>4657.45</v>
      </c>
      <c r="E173" s="4" vm="2280">
        <v>1258.125</v>
      </c>
      <c r="F173" s="4" vm="2281">
        <v>194.3</v>
      </c>
      <c r="G173" s="4" vm="2282">
        <v>61.92</v>
      </c>
    </row>
    <row r="174" spans="1:7" x14ac:dyDescent="0.3">
      <c r="A174" vm="345">
        <v>45426</v>
      </c>
      <c r="B174" s="4" vm="346">
        <v>22217.85</v>
      </c>
      <c r="C174" s="4" vm="2283">
        <v>1432.85</v>
      </c>
      <c r="D174" s="4" vm="2284">
        <v>4730.55</v>
      </c>
      <c r="E174" s="4" vm="2285">
        <v>1243.675</v>
      </c>
      <c r="F174" s="4" vm="2286">
        <v>187.3</v>
      </c>
      <c r="G174" s="4" vm="2287">
        <v>61.15</v>
      </c>
    </row>
    <row r="175" spans="1:7" x14ac:dyDescent="0.3">
      <c r="A175" vm="347">
        <v>45427</v>
      </c>
      <c r="B175" s="4" vm="348">
        <v>22200.55</v>
      </c>
      <c r="C175" s="4" vm="1734">
        <v>1430.1</v>
      </c>
      <c r="D175" s="4" vm="2288">
        <v>4649.3500000000004</v>
      </c>
      <c r="E175" s="4" vm="2289">
        <v>1232.5</v>
      </c>
      <c r="F175" s="4" vm="2290">
        <v>192</v>
      </c>
      <c r="G175" s="4" vm="2291">
        <v>61.19</v>
      </c>
    </row>
    <row r="176" spans="1:7" x14ac:dyDescent="0.3">
      <c r="A176" vm="349">
        <v>45428</v>
      </c>
      <c r="B176" s="4" vm="350">
        <v>22403.85</v>
      </c>
      <c r="C176" s="4" vm="2292">
        <v>1452.2</v>
      </c>
      <c r="D176" s="4" vm="2293">
        <v>4681.75</v>
      </c>
      <c r="E176" s="4" vm="2294">
        <v>1234.175</v>
      </c>
      <c r="F176" s="4" vm="2295">
        <v>195.2</v>
      </c>
      <c r="G176" s="4" vm="2296">
        <v>61.71</v>
      </c>
    </row>
    <row r="177" spans="1:7" x14ac:dyDescent="0.3">
      <c r="A177" vm="351">
        <v>45429</v>
      </c>
      <c r="B177" s="4" vm="352">
        <v>22466.1</v>
      </c>
      <c r="C177" s="4" vm="2297">
        <v>1434.2</v>
      </c>
      <c r="D177" s="4" vm="2298">
        <v>4693.8999999999996</v>
      </c>
      <c r="E177" s="4" vm="2299">
        <v>1222.75</v>
      </c>
      <c r="F177" s="4" vm="2300">
        <v>194.85</v>
      </c>
      <c r="G177" s="4" vm="2301">
        <v>62</v>
      </c>
    </row>
    <row r="178" spans="1:7" x14ac:dyDescent="0.3">
      <c r="A178" vm="353">
        <v>45430</v>
      </c>
      <c r="B178" s="4" vm="354">
        <v>22502</v>
      </c>
      <c r="C178" s="4" vm="2302">
        <v>1439.85</v>
      </c>
      <c r="D178" s="4" vm="2303">
        <v>4684.3999999999996</v>
      </c>
      <c r="E178" s="4" vm="2304">
        <v>1252.2</v>
      </c>
      <c r="F178" s="4" vm="2305">
        <v>194.4</v>
      </c>
      <c r="G178" s="4" vm="2210">
        <v>61.96</v>
      </c>
    </row>
    <row r="179" spans="1:7" x14ac:dyDescent="0.3">
      <c r="A179" vm="355">
        <v>45433</v>
      </c>
      <c r="B179" s="4" vm="356">
        <v>22529.05</v>
      </c>
      <c r="C179" s="4" vm="2306">
        <v>1429.65</v>
      </c>
      <c r="D179" s="4" vm="2307">
        <v>4672.95</v>
      </c>
      <c r="E179" s="4" vm="2308">
        <v>1230.4000000000001</v>
      </c>
      <c r="F179" s="4" vm="2309">
        <v>189.1</v>
      </c>
      <c r="G179" s="4" vm="2310">
        <v>62.63</v>
      </c>
    </row>
    <row r="180" spans="1:7" x14ac:dyDescent="0.3">
      <c r="A180" vm="357">
        <v>45434</v>
      </c>
      <c r="B180" s="4" vm="358">
        <v>22597.8</v>
      </c>
      <c r="C180" s="4" vm="2311">
        <v>1427.4</v>
      </c>
      <c r="D180" s="4" vm="2312">
        <v>4695.45</v>
      </c>
      <c r="E180" s="4" vm="2313">
        <v>1234.575</v>
      </c>
      <c r="F180" s="4" vm="2314">
        <v>185.5</v>
      </c>
      <c r="G180" s="4" vm="2315">
        <v>62.68</v>
      </c>
    </row>
    <row r="181" spans="1:7" x14ac:dyDescent="0.3">
      <c r="A181" vm="359">
        <v>45435</v>
      </c>
      <c r="B181" s="4" vm="360">
        <v>22967.65</v>
      </c>
      <c r="C181" s="4" vm="2316">
        <v>1446.8</v>
      </c>
      <c r="D181" s="4" vm="2317">
        <v>4852.8500000000004</v>
      </c>
      <c r="E181" s="4" vm="2318">
        <v>1237.075</v>
      </c>
      <c r="F181" s="4" vm="2319">
        <v>186.8</v>
      </c>
      <c r="G181" s="4" vm="2320">
        <v>61.62</v>
      </c>
    </row>
    <row r="182" spans="1:7" x14ac:dyDescent="0.3">
      <c r="A182" vm="361">
        <v>45436</v>
      </c>
      <c r="B182" s="4" vm="362">
        <v>22957.1</v>
      </c>
      <c r="C182" s="4" vm="2321">
        <v>1436.25</v>
      </c>
      <c r="D182" s="4" vm="2322">
        <v>4880.95</v>
      </c>
      <c r="E182" s="4" vm="2323">
        <v>1233.875</v>
      </c>
      <c r="F182" s="4" vm="2324">
        <v>182.9</v>
      </c>
      <c r="G182" s="4" vm="2325">
        <v>60.89</v>
      </c>
    </row>
    <row r="183" spans="1:7" x14ac:dyDescent="0.3">
      <c r="A183" vm="363">
        <v>45439</v>
      </c>
      <c r="B183" s="4" vm="364">
        <v>22932.45</v>
      </c>
      <c r="C183" s="4" vm="2326">
        <v>1410.2</v>
      </c>
      <c r="D183" s="4" vm="2327">
        <v>4793.3</v>
      </c>
      <c r="E183" s="4" vm="2328">
        <v>1229.95</v>
      </c>
      <c r="F183" s="4" vm="2329">
        <v>183.65</v>
      </c>
      <c r="G183" s="4" vm="2330">
        <v>61</v>
      </c>
    </row>
    <row r="184" spans="1:7" x14ac:dyDescent="0.3">
      <c r="A184" vm="365">
        <v>45440</v>
      </c>
      <c r="B184" s="4" vm="366">
        <v>22888.15</v>
      </c>
      <c r="C184" s="4" vm="2331">
        <v>1450.75</v>
      </c>
      <c r="D184" s="4" vm="2332">
        <v>4770.95</v>
      </c>
      <c r="E184" s="4" vm="2333">
        <v>1225.8499999999999</v>
      </c>
      <c r="F184" s="4" vm="2334">
        <v>181.6</v>
      </c>
      <c r="G184" s="4" vm="2335">
        <v>61.12</v>
      </c>
    </row>
    <row r="185" spans="1:7" x14ac:dyDescent="0.3">
      <c r="A185" vm="367">
        <v>45441</v>
      </c>
      <c r="B185" s="4" vm="368">
        <v>22704.7</v>
      </c>
      <c r="C185" s="4" vm="2336">
        <v>1412.8</v>
      </c>
      <c r="D185" s="4" vm="2337">
        <v>4745.3999999999996</v>
      </c>
      <c r="E185" s="4" vm="2338">
        <v>1238.0999999999999</v>
      </c>
      <c r="F185" s="4" vm="2339">
        <v>183.35</v>
      </c>
      <c r="G185" s="4" vm="2340">
        <v>61.2</v>
      </c>
    </row>
    <row r="186" spans="1:7" x14ac:dyDescent="0.3">
      <c r="A186" vm="369">
        <v>45442</v>
      </c>
      <c r="B186" s="4" vm="370">
        <v>22488.65</v>
      </c>
      <c r="C186" s="4" vm="2341">
        <v>1380.05</v>
      </c>
      <c r="D186" s="4" vm="2342">
        <v>4742.95</v>
      </c>
      <c r="E186" s="4" vm="2343">
        <v>1202.4000000000001</v>
      </c>
      <c r="F186" s="4" vm="2344">
        <v>180.6</v>
      </c>
      <c r="G186" s="4" vm="2345">
        <v>60.74</v>
      </c>
    </row>
    <row r="187" spans="1:7" x14ac:dyDescent="0.3">
      <c r="A187" vm="371">
        <v>45443</v>
      </c>
      <c r="B187" s="4" vm="372">
        <v>22530.7</v>
      </c>
      <c r="C187" s="4" vm="2346">
        <v>1386.4</v>
      </c>
      <c r="D187" s="4" vm="2347">
        <v>4733.45</v>
      </c>
      <c r="E187" s="4" vm="2348">
        <v>1177.45</v>
      </c>
      <c r="F187" s="4" vm="2349">
        <v>179.15</v>
      </c>
      <c r="G187" s="4" vm="2350">
        <v>61.29</v>
      </c>
    </row>
    <row r="188" spans="1:7" x14ac:dyDescent="0.3">
      <c r="A188" vm="373">
        <v>45446</v>
      </c>
      <c r="B188" s="4" vm="374">
        <v>23263.9</v>
      </c>
      <c r="C188" s="4" vm="2351">
        <v>1391.5</v>
      </c>
      <c r="D188" s="4" vm="2352">
        <v>4670.8500000000004</v>
      </c>
      <c r="E188" s="4" vm="2353">
        <v>1177.5250000000001</v>
      </c>
      <c r="F188" s="4" vm="2354">
        <v>175.45</v>
      </c>
      <c r="G188" s="4" vm="2355">
        <v>60.59</v>
      </c>
    </row>
    <row r="189" spans="1:7" x14ac:dyDescent="0.3">
      <c r="A189" vm="375">
        <v>45447</v>
      </c>
      <c r="B189" s="4" vm="376">
        <v>21884.5</v>
      </c>
      <c r="C189" s="4" vm="2356">
        <v>1338.85</v>
      </c>
      <c r="D189" s="4" vm="2357">
        <v>4495.3999999999996</v>
      </c>
      <c r="E189" s="4" vm="2358">
        <v>1213.875</v>
      </c>
      <c r="F189" s="4" vm="2359">
        <v>172</v>
      </c>
      <c r="G189" s="4" vm="2360">
        <v>60.56</v>
      </c>
    </row>
    <row r="190" spans="1:7" x14ac:dyDescent="0.3">
      <c r="A190" vm="377">
        <v>45448</v>
      </c>
      <c r="B190" s="4" vm="378">
        <v>22620.35</v>
      </c>
      <c r="C190" s="4" vm="2361">
        <v>1390.1</v>
      </c>
      <c r="D190" s="4" vm="2362">
        <v>4579</v>
      </c>
      <c r="E190" s="4" vm="2363">
        <v>1254.925</v>
      </c>
      <c r="F190" s="4" vm="2364">
        <v>183.8</v>
      </c>
      <c r="G190" s="4" vm="2267">
        <v>60.68</v>
      </c>
    </row>
    <row r="191" spans="1:7" x14ac:dyDescent="0.3">
      <c r="A191" vm="379">
        <v>45449</v>
      </c>
      <c r="B191" s="4" vm="380">
        <v>22821.4</v>
      </c>
      <c r="C191" s="4" vm="2365">
        <v>1442.85</v>
      </c>
      <c r="D191" s="4" vm="2366">
        <v>4719.75</v>
      </c>
      <c r="E191" s="4" vm="2367">
        <v>1235.7</v>
      </c>
      <c r="F191" s="4" vm="2329">
        <v>183.65</v>
      </c>
      <c r="G191" s="4" vm="2368">
        <v>61.45</v>
      </c>
    </row>
    <row r="192" spans="1:7" x14ac:dyDescent="0.3">
      <c r="A192" vm="381">
        <v>45450</v>
      </c>
      <c r="B192" s="4" vm="382">
        <v>23290.15</v>
      </c>
      <c r="C192" s="4" vm="2369">
        <v>1425.85</v>
      </c>
      <c r="D192" s="4" vm="2370">
        <v>4762</v>
      </c>
      <c r="E192" s="4" vm="2371">
        <v>1251.2249999999999</v>
      </c>
      <c r="F192" s="4" vm="2372">
        <v>184</v>
      </c>
      <c r="G192" s="4" vm="2373">
        <v>61.09</v>
      </c>
    </row>
    <row r="193" spans="1:7" x14ac:dyDescent="0.3">
      <c r="A193" vm="383">
        <v>45453</v>
      </c>
      <c r="B193" s="4" vm="384">
        <v>23259.200000000001</v>
      </c>
      <c r="C193" s="4" vm="2374">
        <v>1432.3</v>
      </c>
      <c r="D193" s="4" vm="2375">
        <v>4782.75</v>
      </c>
      <c r="E193" s="4" vm="2376">
        <v>1274.0999999999999</v>
      </c>
      <c r="F193" s="4" vm="2377">
        <v>182.16</v>
      </c>
      <c r="G193" s="4" vm="2378">
        <v>60.13</v>
      </c>
    </row>
    <row r="194" spans="1:7" x14ac:dyDescent="0.3">
      <c r="A194" vm="385">
        <v>45454</v>
      </c>
      <c r="B194" s="4" vm="386">
        <v>23264.85</v>
      </c>
      <c r="C194" s="4" vm="2379">
        <v>1428.05</v>
      </c>
      <c r="D194" s="4" vm="2380">
        <v>4758.6499999999996</v>
      </c>
      <c r="E194" s="4" vm="2381">
        <v>1270.9749999999999</v>
      </c>
      <c r="F194" s="4" vm="2382">
        <v>184.02</v>
      </c>
      <c r="G194" s="4" vm="2277">
        <v>60.42</v>
      </c>
    </row>
    <row r="195" spans="1:7" x14ac:dyDescent="0.3">
      <c r="A195" vm="387">
        <v>45455</v>
      </c>
      <c r="B195" s="4" vm="388">
        <v>23322.95</v>
      </c>
      <c r="C195" s="4" vm="2383">
        <v>1452.7</v>
      </c>
      <c r="D195" s="4" vm="2384">
        <v>4850.6499999999996</v>
      </c>
      <c r="E195" s="4" vm="2385">
        <v>1268.6500000000001</v>
      </c>
      <c r="F195" s="4" vm="2386">
        <v>179.65</v>
      </c>
      <c r="G195" s="4" vm="2355">
        <v>60.59</v>
      </c>
    </row>
    <row r="196" spans="1:7" x14ac:dyDescent="0.3">
      <c r="A196" vm="389">
        <v>45456</v>
      </c>
      <c r="B196" s="4" vm="390">
        <v>23398.9</v>
      </c>
      <c r="C196" s="4" vm="2387">
        <v>1449.9</v>
      </c>
      <c r="D196" s="4" vm="2388">
        <v>4801.5</v>
      </c>
      <c r="E196" s="4" vm="2389">
        <v>1275.875</v>
      </c>
      <c r="F196" s="4" vm="2390">
        <v>184.94</v>
      </c>
      <c r="G196" s="4" vm="2355">
        <v>60.59</v>
      </c>
    </row>
    <row r="197" spans="1:7" x14ac:dyDescent="0.3">
      <c r="A197" vm="391">
        <v>45457</v>
      </c>
      <c r="B197" s="4" vm="392">
        <v>23465.599999999999</v>
      </c>
      <c r="C197" s="4" vm="2391">
        <v>1469.9</v>
      </c>
      <c r="D197" s="4" vm="2392">
        <v>4935.1000000000004</v>
      </c>
      <c r="E197" s="4" vm="2393">
        <v>1271.25</v>
      </c>
      <c r="F197" s="4" vm="2394">
        <v>186.24</v>
      </c>
      <c r="G197" s="4" vm="2395">
        <v>60.6</v>
      </c>
    </row>
    <row r="198" spans="1:7" x14ac:dyDescent="0.3">
      <c r="A198" vm="393">
        <v>45461</v>
      </c>
      <c r="B198" s="4" vm="394">
        <v>23557.9</v>
      </c>
      <c r="C198" s="4" vm="2396">
        <v>1473.55</v>
      </c>
      <c r="D198" s="4" vm="2397">
        <v>4936.1000000000004</v>
      </c>
      <c r="E198" s="4" vm="2398">
        <v>1275.175</v>
      </c>
      <c r="F198" s="4" vm="2399">
        <v>188.61</v>
      </c>
      <c r="G198" s="4" vm="2400">
        <v>60.33</v>
      </c>
    </row>
    <row r="199" spans="1:7" x14ac:dyDescent="0.3">
      <c r="A199" vm="395">
        <v>45462</v>
      </c>
      <c r="B199" s="4" vm="396">
        <v>23516</v>
      </c>
      <c r="C199" s="4" vm="2401">
        <v>1449.2</v>
      </c>
      <c r="D199" s="4" vm="2402">
        <v>4880.75</v>
      </c>
      <c r="E199" s="4" vm="2403">
        <v>1263.0250000000001</v>
      </c>
      <c r="F199" s="4" vm="2404">
        <v>198.49</v>
      </c>
      <c r="G199" s="4" vm="2405">
        <v>60.71</v>
      </c>
    </row>
    <row r="200" spans="1:7" x14ac:dyDescent="0.3">
      <c r="A200" vm="397">
        <v>45463</v>
      </c>
      <c r="B200" s="4" vm="398">
        <v>23567</v>
      </c>
      <c r="C200" s="4" vm="2406">
        <v>1455.5</v>
      </c>
      <c r="D200" s="4" vm="2407">
        <v>4876.8999999999996</v>
      </c>
      <c r="E200" s="4" vm="2408">
        <v>1269.875</v>
      </c>
      <c r="F200" s="4" vm="2409">
        <v>197.05</v>
      </c>
      <c r="G200" s="4" vm="2410">
        <v>61.03</v>
      </c>
    </row>
    <row r="201" spans="1:7" x14ac:dyDescent="0.3">
      <c r="A201" vm="399">
        <v>45464</v>
      </c>
      <c r="B201" s="4" vm="400">
        <v>23501.1</v>
      </c>
      <c r="C201" s="4" vm="2411">
        <v>1464.15</v>
      </c>
      <c r="D201" s="4" vm="2412">
        <v>4845.5</v>
      </c>
      <c r="E201" s="4" vm="2413">
        <v>1249.2</v>
      </c>
      <c r="F201" s="4" vm="2414">
        <v>193.95</v>
      </c>
      <c r="G201" s="4" vm="2415">
        <v>61.53</v>
      </c>
    </row>
    <row r="202" spans="1:7" x14ac:dyDescent="0.3">
      <c r="A202" vm="401">
        <v>45467</v>
      </c>
      <c r="B202" s="4" vm="402">
        <v>23537.85</v>
      </c>
      <c r="C202" s="4" vm="2416">
        <v>1452.75</v>
      </c>
      <c r="D202" s="4" vm="2417">
        <v>4870.8999999999996</v>
      </c>
      <c r="E202" s="4" vm="2418">
        <v>1265.0250000000001</v>
      </c>
      <c r="F202" s="4" vm="2419">
        <v>198.92</v>
      </c>
      <c r="G202" s="4" vm="2191">
        <v>60.62</v>
      </c>
    </row>
    <row r="203" spans="1:7" x14ac:dyDescent="0.3">
      <c r="A203" vm="403">
        <v>45468</v>
      </c>
      <c r="B203" s="4" vm="404">
        <v>23721.3</v>
      </c>
      <c r="C203" s="4" vm="2420">
        <v>1462</v>
      </c>
      <c r="D203" s="4" vm="2421">
        <v>4775.05</v>
      </c>
      <c r="E203" s="4" vm="2422">
        <v>1257.7249999999999</v>
      </c>
      <c r="F203" s="4" vm="2423">
        <v>202.27</v>
      </c>
      <c r="G203" s="4" vm="2424">
        <v>60.75</v>
      </c>
    </row>
    <row r="204" spans="1:7" x14ac:dyDescent="0.3">
      <c r="A204" vm="405">
        <v>45469</v>
      </c>
      <c r="B204" s="4" vm="406">
        <v>23868.799999999999</v>
      </c>
      <c r="C204" s="4" vm="2425">
        <v>1450.9</v>
      </c>
      <c r="D204" s="4" vm="2426">
        <v>4739.7</v>
      </c>
      <c r="E204" s="4" vm="2427">
        <v>1267.125</v>
      </c>
      <c r="F204" s="4" vm="2253">
        <v>197.25</v>
      </c>
      <c r="G204" s="4" vm="2428">
        <v>60.46</v>
      </c>
    </row>
    <row r="205" spans="1:7" x14ac:dyDescent="0.3">
      <c r="A205" vm="407">
        <v>45470</v>
      </c>
      <c r="B205" s="4" vm="408">
        <v>24044.5</v>
      </c>
      <c r="C205" s="4" vm="2429">
        <v>1463.45</v>
      </c>
      <c r="D205" s="4" vm="2430">
        <v>4713.8</v>
      </c>
      <c r="E205" s="4" vm="2431">
        <v>1266.875</v>
      </c>
      <c r="F205" s="4" vm="2432">
        <v>200.15</v>
      </c>
      <c r="G205" s="4" vm="2433">
        <v>60.32</v>
      </c>
    </row>
    <row r="206" spans="1:7" x14ac:dyDescent="0.3">
      <c r="A206" vm="409">
        <v>45471</v>
      </c>
      <c r="B206" s="4" vm="410">
        <v>24010.6</v>
      </c>
      <c r="C206" s="4" vm="2434">
        <v>1491.95</v>
      </c>
      <c r="D206" s="4" vm="2307">
        <v>4672.95</v>
      </c>
      <c r="E206" s="4" vm="2435">
        <v>1275.825</v>
      </c>
      <c r="F206" s="4" vm="2436">
        <v>200.56</v>
      </c>
      <c r="G206" s="4" vm="2437">
        <v>60.63</v>
      </c>
    </row>
    <row r="207" spans="1:7" x14ac:dyDescent="0.3">
      <c r="A207" vm="411">
        <v>45474</v>
      </c>
      <c r="B207" s="4" vm="412">
        <v>24141.95</v>
      </c>
      <c r="C207" s="4" vm="2438">
        <v>1501.85</v>
      </c>
      <c r="D207" s="4" vm="2439">
        <v>4635.55</v>
      </c>
      <c r="E207" s="4" vm="2440">
        <v>1284.05</v>
      </c>
      <c r="F207" s="4" vm="2441">
        <v>203.97</v>
      </c>
      <c r="G207" s="4" vm="2186">
        <v>60.55</v>
      </c>
    </row>
    <row r="208" spans="1:7" x14ac:dyDescent="0.3">
      <c r="A208" vm="413">
        <v>45475</v>
      </c>
      <c r="B208" s="4" vm="414">
        <v>24123.85</v>
      </c>
      <c r="C208" s="4" vm="2442">
        <v>1494.9</v>
      </c>
      <c r="D208" s="4" vm="2443">
        <v>4625.75</v>
      </c>
      <c r="E208" s="4" vm="2444">
        <v>1272.2249999999999</v>
      </c>
      <c r="F208" s="4" vm="2445">
        <v>209.09</v>
      </c>
      <c r="G208" s="4" vm="2263">
        <v>60.72</v>
      </c>
    </row>
    <row r="209" spans="1:7" x14ac:dyDescent="0.3">
      <c r="A209" vm="415">
        <v>45476</v>
      </c>
      <c r="B209" s="4" vm="416">
        <v>24286.5</v>
      </c>
      <c r="C209" s="4" vm="2446">
        <v>1496.35</v>
      </c>
      <c r="D209" s="4" vm="2447">
        <v>4692.3</v>
      </c>
      <c r="E209" s="4" vm="2448">
        <v>1275.75</v>
      </c>
      <c r="F209" s="4" vm="2449">
        <v>208.44</v>
      </c>
      <c r="G209" s="4" vm="2450">
        <v>61.07</v>
      </c>
    </row>
    <row r="210" spans="1:7" x14ac:dyDescent="0.3">
      <c r="A210" vm="417">
        <v>45477</v>
      </c>
      <c r="B210" s="4" vm="418">
        <v>24302.15</v>
      </c>
      <c r="C210" s="4" vm="2451">
        <v>1507.75</v>
      </c>
      <c r="D210" s="4" vm="2452">
        <v>4689.5</v>
      </c>
      <c r="E210" s="4" vm="2453">
        <v>1272.575</v>
      </c>
      <c r="F210" s="4" vm="2454">
        <v>207.44</v>
      </c>
      <c r="G210" s="4" vm="2350">
        <v>61.29</v>
      </c>
    </row>
    <row r="211" spans="1:7" x14ac:dyDescent="0.3">
      <c r="A211" vm="419">
        <v>45478</v>
      </c>
      <c r="B211" s="4" vm="420">
        <v>24323.85</v>
      </c>
      <c r="C211" s="4" vm="2455">
        <v>1529.4</v>
      </c>
      <c r="D211" s="4" vm="2456">
        <v>4737.3</v>
      </c>
      <c r="E211" s="4" vm="2457">
        <v>1287.075</v>
      </c>
      <c r="F211" s="4" vm="2458">
        <v>207.57</v>
      </c>
      <c r="G211" s="4" vm="2459">
        <v>61.48</v>
      </c>
    </row>
    <row r="212" spans="1:7" x14ac:dyDescent="0.3">
      <c r="A212" vm="421">
        <v>45481</v>
      </c>
      <c r="B212" s="4" vm="422">
        <v>24320.55</v>
      </c>
      <c r="C212" s="4" vm="2460">
        <v>1514.95</v>
      </c>
      <c r="D212" s="4" vm="2461">
        <v>4754.45</v>
      </c>
      <c r="E212" s="4" vm="2462">
        <v>1301.7</v>
      </c>
      <c r="F212" s="4" vm="2463">
        <v>207.93</v>
      </c>
      <c r="G212" s="4" vm="2464">
        <v>61.57</v>
      </c>
    </row>
    <row r="213" spans="1:7" x14ac:dyDescent="0.3">
      <c r="A213" vm="423">
        <v>45482</v>
      </c>
      <c r="B213" s="4" vm="424">
        <v>24433.200000000001</v>
      </c>
      <c r="C213" s="4" vm="2465">
        <v>1524.75</v>
      </c>
      <c r="D213" s="4" vm="2466">
        <v>4828.7</v>
      </c>
      <c r="E213" s="4" vm="2467">
        <v>1316.55</v>
      </c>
      <c r="F213" s="4" vm="2468">
        <v>212.56</v>
      </c>
      <c r="G213" s="4" vm="2469">
        <v>61.38</v>
      </c>
    </row>
    <row r="214" spans="1:7" x14ac:dyDescent="0.3">
      <c r="A214" vm="425">
        <v>45483</v>
      </c>
      <c r="B214" s="4" vm="426">
        <v>24324.45</v>
      </c>
      <c r="C214" s="4" vm="2470">
        <v>1558.8</v>
      </c>
      <c r="D214" s="4" vm="2471">
        <v>4849.1499999999996</v>
      </c>
      <c r="E214" s="4" vm="2472">
        <v>1308.2249999999999</v>
      </c>
      <c r="F214" s="4" vm="2473">
        <v>211.37</v>
      </c>
      <c r="G214" s="4" vm="2474">
        <v>61.54</v>
      </c>
    </row>
    <row r="215" spans="1:7" x14ac:dyDescent="0.3">
      <c r="A215" vm="427">
        <v>45484</v>
      </c>
      <c r="B215" s="4" vm="428">
        <v>24315.95</v>
      </c>
      <c r="C215" s="4" vm="2470">
        <v>1558.8</v>
      </c>
      <c r="D215" s="4" vm="2475">
        <v>4828.6499999999996</v>
      </c>
      <c r="E215" s="4" vm="2476">
        <v>1296.5999999999999</v>
      </c>
      <c r="F215" s="4" vm="2477">
        <v>217.14</v>
      </c>
      <c r="G215" s="4" vm="2478">
        <v>61.68</v>
      </c>
    </row>
    <row r="216" spans="1:7" x14ac:dyDescent="0.3">
      <c r="A216" vm="429">
        <v>45485</v>
      </c>
      <c r="B216" s="4" vm="430">
        <v>24502.15</v>
      </c>
      <c r="C216" s="4" vm="2479">
        <v>1562.85</v>
      </c>
      <c r="D216" s="4" vm="2480">
        <v>4860.7</v>
      </c>
      <c r="E216" s="4" vm="2481">
        <v>1304.5</v>
      </c>
      <c r="F216" s="4" vm="2482">
        <v>222.47</v>
      </c>
      <c r="G216" s="4" vm="2205">
        <v>61.89</v>
      </c>
    </row>
    <row r="217" spans="1:7" x14ac:dyDescent="0.3">
      <c r="A217" vm="431">
        <v>45488</v>
      </c>
      <c r="B217" s="4" vm="432">
        <v>24586.7</v>
      </c>
      <c r="C217" s="4" vm="2483">
        <v>1613.45</v>
      </c>
      <c r="D217" s="4" vm="2484">
        <v>4881.3500000000004</v>
      </c>
      <c r="E217" s="4" vm="2485">
        <v>1302.55</v>
      </c>
      <c r="F217" s="4" vm="2486">
        <v>229.15</v>
      </c>
      <c r="G217" s="4" vm="2282">
        <v>61.92</v>
      </c>
    </row>
    <row r="218" spans="1:7" x14ac:dyDescent="0.3">
      <c r="A218" vm="433">
        <v>45489</v>
      </c>
      <c r="B218" s="4" vm="434">
        <v>24613</v>
      </c>
      <c r="C218" s="4" vm="2487">
        <v>1621.35</v>
      </c>
      <c r="D218" s="4" vm="2488">
        <v>4916.1000000000004</v>
      </c>
      <c r="E218" s="4" vm="2489">
        <v>1303.6500000000001</v>
      </c>
      <c r="F218" s="4" vm="2490">
        <v>217.49</v>
      </c>
      <c r="G218" s="4" vm="2491">
        <v>62.44</v>
      </c>
    </row>
    <row r="219" spans="1:7" x14ac:dyDescent="0.3">
      <c r="A219" vm="435">
        <v>45491</v>
      </c>
      <c r="B219" s="4" vm="436">
        <v>24800.85</v>
      </c>
      <c r="C219" s="4" vm="2492">
        <v>1659.8</v>
      </c>
      <c r="D219" s="4" vm="2493">
        <v>4941.1000000000004</v>
      </c>
      <c r="E219" s="4" vm="2494">
        <v>1313.5250000000001</v>
      </c>
      <c r="F219" s="4" vm="2495">
        <v>220.62</v>
      </c>
      <c r="G219" s="4" vm="2496">
        <v>62.91</v>
      </c>
    </row>
    <row r="220" spans="1:7" x14ac:dyDescent="0.3">
      <c r="A220" vm="437">
        <v>45492</v>
      </c>
      <c r="B220" s="4" vm="438">
        <v>24530.9</v>
      </c>
      <c r="C220" s="4" vm="2497">
        <v>1647.7</v>
      </c>
      <c r="D220" s="4" vm="2498">
        <v>4850.7</v>
      </c>
      <c r="E220" s="4" vm="2499">
        <v>1298.925</v>
      </c>
      <c r="F220" s="4" vm="2500">
        <v>218.89</v>
      </c>
      <c r="G220" s="4" vm="2501">
        <v>62.41</v>
      </c>
    </row>
    <row r="221" spans="1:7" x14ac:dyDescent="0.3">
      <c r="A221" vm="439">
        <v>45495</v>
      </c>
      <c r="B221" s="4" vm="440">
        <v>24509.25</v>
      </c>
      <c r="C221" s="4" vm="2502">
        <v>1621.15</v>
      </c>
      <c r="D221" s="4" vm="2503">
        <v>4857.3500000000004</v>
      </c>
      <c r="E221" s="4" vm="2504">
        <v>1293.6500000000001</v>
      </c>
      <c r="F221" s="4" vm="2505">
        <v>221.66</v>
      </c>
      <c r="G221" s="4" vm="2506">
        <v>62.08</v>
      </c>
    </row>
    <row r="222" spans="1:7" x14ac:dyDescent="0.3">
      <c r="A222" vm="441">
        <v>45496</v>
      </c>
      <c r="B222" s="4" vm="442">
        <v>24479.05</v>
      </c>
      <c r="C222" s="4" vm="2507">
        <v>1594.85</v>
      </c>
      <c r="D222" s="4" vm="2508">
        <v>4919.55</v>
      </c>
      <c r="E222" s="4" vm="2509">
        <v>1290.7750000000001</v>
      </c>
      <c r="F222" s="4" vm="2510">
        <v>217.91</v>
      </c>
      <c r="G222" s="4" vm="2511">
        <v>60.16</v>
      </c>
    </row>
    <row r="223" spans="1:7" x14ac:dyDescent="0.3">
      <c r="A223" vm="443">
        <v>45497</v>
      </c>
      <c r="B223" s="4" vm="444">
        <v>24413.5</v>
      </c>
      <c r="C223" s="4" vm="2512">
        <v>1632.95</v>
      </c>
      <c r="D223" s="4" vm="2513">
        <v>4915.3500000000004</v>
      </c>
      <c r="E223" s="4" vm="2514">
        <v>1270.7</v>
      </c>
      <c r="F223" s="4" vm="2515">
        <v>223.49</v>
      </c>
      <c r="G223" s="4" vm="2516">
        <v>59.6</v>
      </c>
    </row>
    <row r="224" spans="1:7" x14ac:dyDescent="0.3">
      <c r="A224" vm="445">
        <v>45498</v>
      </c>
      <c r="B224" s="4" vm="446">
        <v>24406.1</v>
      </c>
      <c r="C224" s="4" vm="2517">
        <v>1695.4</v>
      </c>
      <c r="D224" s="4" vm="2518">
        <v>4900.6499999999996</v>
      </c>
      <c r="E224" s="4" vm="2519">
        <v>1240.325</v>
      </c>
      <c r="F224" s="4" vm="2520">
        <v>219.31</v>
      </c>
      <c r="G224" s="4" vm="2521">
        <v>59.37</v>
      </c>
    </row>
    <row r="225" spans="1:7" x14ac:dyDescent="0.3">
      <c r="A225" vm="447">
        <v>45499</v>
      </c>
      <c r="B225" s="4" vm="448">
        <v>24834.85</v>
      </c>
      <c r="C225" s="4" vm="2522">
        <v>1750.95</v>
      </c>
      <c r="D225" s="4" vm="2523">
        <v>5012.5</v>
      </c>
      <c r="E225" s="4" vm="2524">
        <v>1238.45</v>
      </c>
      <c r="F225" s="4" vm="2525">
        <v>224.62</v>
      </c>
      <c r="G225" s="4" vm="2526">
        <v>59.99</v>
      </c>
    </row>
    <row r="226" spans="1:7" x14ac:dyDescent="0.3">
      <c r="A226" vm="449">
        <v>45502</v>
      </c>
      <c r="B226" s="4" vm="450">
        <v>24836.1</v>
      </c>
      <c r="C226" s="4" vm="2527">
        <v>1746.7</v>
      </c>
      <c r="D226" s="4" vm="2528">
        <v>4962.25</v>
      </c>
      <c r="E226" s="4" vm="2529">
        <v>1235.1500000000001</v>
      </c>
      <c r="F226" s="4" vm="2530">
        <v>226.89</v>
      </c>
      <c r="G226" s="4" vm="2531">
        <v>58.78</v>
      </c>
    </row>
    <row r="227" spans="1:7" x14ac:dyDescent="0.3">
      <c r="A227" vm="451">
        <v>45503</v>
      </c>
      <c r="B227" s="4" vm="452">
        <v>24857.3</v>
      </c>
      <c r="C227" s="4" vm="2532">
        <v>1721.05</v>
      </c>
      <c r="D227" s="4" vm="2533">
        <v>4951.8500000000004</v>
      </c>
      <c r="E227" s="4" vm="2534">
        <v>1228.825</v>
      </c>
      <c r="F227" s="4" vm="2535">
        <v>227.13</v>
      </c>
      <c r="G227" s="4" vm="2536">
        <v>58.35</v>
      </c>
    </row>
    <row r="228" spans="1:7" x14ac:dyDescent="0.3">
      <c r="A228" vm="453">
        <v>45504</v>
      </c>
      <c r="B228" s="4" vm="454">
        <v>24951.15</v>
      </c>
      <c r="C228" s="4" vm="2537">
        <v>1753.65</v>
      </c>
      <c r="D228" s="4" vm="2538">
        <v>4962.7</v>
      </c>
      <c r="E228" s="4" vm="2539">
        <v>1228.175</v>
      </c>
      <c r="F228" s="4" vm="2540">
        <v>229.45</v>
      </c>
      <c r="G228" s="4" vm="2541">
        <v>58.68</v>
      </c>
    </row>
    <row r="229" spans="1:7" x14ac:dyDescent="0.3">
      <c r="A229" vm="455">
        <v>45505</v>
      </c>
      <c r="B229" s="4" vm="456">
        <v>25010.9</v>
      </c>
      <c r="C229" s="4" vm="2542">
        <v>1767.25</v>
      </c>
      <c r="D229" s="4" vm="2543">
        <v>4968.8</v>
      </c>
      <c r="E229" s="4" vm="2544">
        <v>1242</v>
      </c>
      <c r="F229" s="4" vm="2545">
        <v>234.09</v>
      </c>
      <c r="G229" s="4" vm="2546">
        <v>59.09</v>
      </c>
    </row>
    <row r="230" spans="1:7" x14ac:dyDescent="0.3">
      <c r="A230" vm="457">
        <v>45506</v>
      </c>
      <c r="B230" s="4" vm="458">
        <v>24717.7</v>
      </c>
      <c r="C230" s="4" vm="2547">
        <v>1744.9</v>
      </c>
      <c r="D230" s="4" vm="2548">
        <v>4726.7</v>
      </c>
      <c r="E230" s="4" vm="2549">
        <v>1247.55</v>
      </c>
      <c r="F230" s="4" vm="2550">
        <v>262.33999999999997</v>
      </c>
      <c r="G230" s="4" vm="2551">
        <v>59.67</v>
      </c>
    </row>
    <row r="231" spans="1:7" x14ac:dyDescent="0.3">
      <c r="A231" vm="459">
        <v>45509</v>
      </c>
      <c r="B231" s="4" vm="460">
        <v>24055.599999999999</v>
      </c>
      <c r="C231" s="4" vm="2552">
        <v>1722.2</v>
      </c>
      <c r="D231" s="4" vm="2553">
        <v>4675.75</v>
      </c>
      <c r="E231" s="4" vm="2554">
        <v>1255.45</v>
      </c>
      <c r="F231" s="4" vm="2555">
        <v>256.29000000000002</v>
      </c>
      <c r="G231" s="4" vm="2556">
        <v>58.74</v>
      </c>
    </row>
    <row r="232" spans="1:7" x14ac:dyDescent="0.3">
      <c r="A232" vm="461">
        <v>45510</v>
      </c>
      <c r="B232" s="4" vm="462">
        <v>23992.55</v>
      </c>
      <c r="C232" s="4" vm="2557">
        <v>1674.5</v>
      </c>
      <c r="D232" s="4" vm="2558">
        <v>4653.8999999999996</v>
      </c>
      <c r="E232" s="4" vm="2559">
        <v>1254.25</v>
      </c>
      <c r="F232" s="4" vm="2560">
        <v>249.08</v>
      </c>
      <c r="G232" s="4" vm="2561">
        <v>58.62</v>
      </c>
    </row>
    <row r="233" spans="1:7" x14ac:dyDescent="0.3">
      <c r="A233" vm="463">
        <v>45511</v>
      </c>
      <c r="B233" s="4" vm="464">
        <v>24297.5</v>
      </c>
      <c r="C233" s="4" vm="2562">
        <v>1685.7</v>
      </c>
      <c r="D233" s="4" vm="2563">
        <v>4597.1499999999996</v>
      </c>
      <c r="E233" s="4" vm="2564">
        <v>1261.4000000000001</v>
      </c>
      <c r="F233" s="4" vm="2565">
        <v>265.67</v>
      </c>
      <c r="G233" s="4" vm="2566">
        <v>58.2</v>
      </c>
    </row>
    <row r="234" spans="1:7" x14ac:dyDescent="0.3">
      <c r="A234" vm="465">
        <v>45512</v>
      </c>
      <c r="B234" s="4" vm="466">
        <v>24117</v>
      </c>
      <c r="C234" s="4" vm="2567">
        <v>1706.3</v>
      </c>
      <c r="D234" s="4" vm="2568">
        <v>4576.8999999999996</v>
      </c>
      <c r="E234" s="4" vm="2569">
        <v>1244.55</v>
      </c>
      <c r="F234" s="4" vm="2570">
        <v>265.58999999999997</v>
      </c>
      <c r="G234" s="4" vm="2571">
        <v>58.09</v>
      </c>
    </row>
    <row r="235" spans="1:7" x14ac:dyDescent="0.3">
      <c r="A235" vm="467">
        <v>45513</v>
      </c>
      <c r="B235" s="4" vm="468">
        <v>24367.5</v>
      </c>
      <c r="C235" s="4" vm="2572">
        <v>1725.1</v>
      </c>
      <c r="D235" s="4" vm="2573">
        <v>4830.6000000000004</v>
      </c>
      <c r="E235" s="4" vm="2574">
        <v>1252.3499999999999</v>
      </c>
      <c r="F235" s="4" vm="2575">
        <v>267.08999999999997</v>
      </c>
      <c r="G235" s="4" vm="2576">
        <v>58.66</v>
      </c>
    </row>
    <row r="236" spans="1:7" x14ac:dyDescent="0.3">
      <c r="A236" vm="469">
        <v>45516</v>
      </c>
      <c r="B236" s="4" vm="470">
        <v>24347</v>
      </c>
      <c r="C236" s="4" vm="2577">
        <v>1705</v>
      </c>
      <c r="D236" s="4" vm="2578">
        <v>4808.8</v>
      </c>
      <c r="E236" s="4" vm="2579">
        <v>1236.55</v>
      </c>
      <c r="F236" s="4" vm="2580">
        <v>263.43</v>
      </c>
      <c r="G236" s="4" vm="2581">
        <v>59.02</v>
      </c>
    </row>
    <row r="237" spans="1:7" x14ac:dyDescent="0.3">
      <c r="A237" vm="471">
        <v>45517</v>
      </c>
      <c r="B237" s="4" vm="472">
        <v>24139</v>
      </c>
      <c r="C237" s="4" vm="2582">
        <v>1682.4</v>
      </c>
      <c r="D237" s="4" vm="2583">
        <v>4802.25</v>
      </c>
      <c r="E237" s="4" vm="2584">
        <v>1242.3499999999999</v>
      </c>
      <c r="F237" s="4" vm="2585">
        <v>257.08</v>
      </c>
      <c r="G237" s="4" vm="2586">
        <v>59.4</v>
      </c>
    </row>
    <row r="238" spans="1:7" x14ac:dyDescent="0.3">
      <c r="A238" vm="473">
        <v>45518</v>
      </c>
      <c r="B238" s="4" vm="474">
        <v>24143.75</v>
      </c>
      <c r="C238" s="4" vm="2587">
        <v>1692.1</v>
      </c>
      <c r="D238" s="4" vm="2588">
        <v>4733.25</v>
      </c>
      <c r="E238" s="4" vm="2589">
        <v>1237.3</v>
      </c>
      <c r="F238" s="4" vm="2590">
        <v>260.14</v>
      </c>
      <c r="G238" s="4" vm="2591">
        <v>59.61</v>
      </c>
    </row>
    <row r="239" spans="1:7" x14ac:dyDescent="0.3">
      <c r="A239" vm="475">
        <v>45520</v>
      </c>
      <c r="B239" s="4" vm="476">
        <v>24541.15</v>
      </c>
      <c r="C239" s="4" vm="2592">
        <v>1688.9</v>
      </c>
      <c r="D239" s="4" vm="2593">
        <v>4818</v>
      </c>
      <c r="E239" s="4" vm="2594">
        <v>1262.7249999999999</v>
      </c>
      <c r="F239" s="4" vm="2595">
        <v>264.43</v>
      </c>
      <c r="G239" s="4" vm="2596">
        <v>59.47</v>
      </c>
    </row>
    <row r="240" spans="1:7" x14ac:dyDescent="0.3">
      <c r="A240" vm="477">
        <v>45523</v>
      </c>
      <c r="B240" s="4" vm="478">
        <v>24572.65</v>
      </c>
      <c r="C240" s="4" vm="2597">
        <v>1671.55</v>
      </c>
      <c r="D240" s="4" vm="2598">
        <v>4813.3</v>
      </c>
      <c r="E240" s="4" vm="2599">
        <v>1251.575</v>
      </c>
      <c r="F240" s="4" vm="2600">
        <v>262.17</v>
      </c>
      <c r="G240" s="4" vm="2601">
        <v>60.34</v>
      </c>
    </row>
    <row r="241" spans="1:7" x14ac:dyDescent="0.3">
      <c r="A241" vm="479">
        <v>45524</v>
      </c>
      <c r="B241" s="4" vm="480">
        <v>24698.85</v>
      </c>
      <c r="C241" s="4" vm="2602">
        <v>1761.3</v>
      </c>
      <c r="D241" s="4" vm="2603">
        <v>4883.25</v>
      </c>
      <c r="E241" s="4" vm="2604">
        <v>1259.25</v>
      </c>
      <c r="F241" s="4" vm="2605">
        <v>263.12</v>
      </c>
      <c r="G241" s="4" vm="2606">
        <v>60.67</v>
      </c>
    </row>
    <row r="242" spans="1:7" x14ac:dyDescent="0.3">
      <c r="A242" vm="481">
        <v>45525</v>
      </c>
      <c r="B242" s="4" vm="482">
        <v>24770.2</v>
      </c>
      <c r="C242" s="4" vm="2607">
        <v>1800.6</v>
      </c>
      <c r="D242" s="4" vm="2608">
        <v>4913.55</v>
      </c>
      <c r="E242" s="4" vm="2389">
        <v>1275.875</v>
      </c>
      <c r="F242" s="4" vm="2609">
        <v>260.02999999999997</v>
      </c>
      <c r="G242" s="4" vm="2610">
        <v>60.38</v>
      </c>
    </row>
    <row r="243" spans="1:7" x14ac:dyDescent="0.3">
      <c r="A243" vm="483">
        <v>45526</v>
      </c>
      <c r="B243" s="4" vm="484">
        <v>24811.5</v>
      </c>
      <c r="C243" s="4" vm="2611">
        <v>1795.25</v>
      </c>
      <c r="D243" s="4" vm="2612">
        <v>4933.55</v>
      </c>
      <c r="E243" s="4" vm="2613">
        <v>1275.5</v>
      </c>
      <c r="F243" s="4" vm="2614">
        <v>257.95999999999998</v>
      </c>
      <c r="G243" s="4" vm="2615">
        <v>60.45</v>
      </c>
    </row>
    <row r="244" spans="1:7" x14ac:dyDescent="0.3">
      <c r="A244" vm="485">
        <v>45527</v>
      </c>
      <c r="B244" s="4" vm="486">
        <v>24823.15</v>
      </c>
      <c r="C244" s="4" vm="2616">
        <v>1789.3</v>
      </c>
      <c r="D244" s="4" vm="2617">
        <v>4898.1000000000004</v>
      </c>
      <c r="E244" s="4" vm="2618">
        <v>1264.5999999999999</v>
      </c>
      <c r="F244" s="4" vm="2619">
        <v>262.64999999999998</v>
      </c>
      <c r="G244" s="4" vm="2224">
        <v>60.25</v>
      </c>
    </row>
    <row r="245" spans="1:7" x14ac:dyDescent="0.3">
      <c r="A245" vm="487">
        <v>45530</v>
      </c>
      <c r="B245" s="4" vm="488">
        <v>25010.6</v>
      </c>
      <c r="C245" s="4" vm="2620">
        <v>1796.25</v>
      </c>
      <c r="D245" s="4" vm="2621">
        <v>4875.2</v>
      </c>
      <c r="E245" s="4" vm="2622">
        <v>1259.7750000000001</v>
      </c>
      <c r="F245" s="4" vm="2623">
        <v>259.39</v>
      </c>
      <c r="G245" s="4" vm="2624">
        <v>60.83</v>
      </c>
    </row>
    <row r="246" spans="1:7" x14ac:dyDescent="0.3">
      <c r="A246" vm="489">
        <v>45531</v>
      </c>
      <c r="B246" s="4" vm="490">
        <v>25017.75</v>
      </c>
      <c r="C246" s="4" vm="2625">
        <v>1838.95</v>
      </c>
      <c r="D246" s="4" vm="2626">
        <v>4868.8500000000004</v>
      </c>
      <c r="E246" s="4" vm="2627">
        <v>1260.7249999999999</v>
      </c>
      <c r="F246" s="4" vm="2628">
        <v>256.05</v>
      </c>
      <c r="G246" s="4" vm="2186">
        <v>60.55</v>
      </c>
    </row>
    <row r="247" spans="1:7" x14ac:dyDescent="0.3">
      <c r="A247" vm="491">
        <v>45532</v>
      </c>
      <c r="B247" s="4" vm="492">
        <v>25052.35</v>
      </c>
      <c r="C247" s="4" vm="2629">
        <v>1843.7</v>
      </c>
      <c r="D247" s="4" vm="2630">
        <v>4946.8500000000004</v>
      </c>
      <c r="E247" s="4" vm="2631">
        <v>1246.25</v>
      </c>
      <c r="F247" s="4" vm="2632">
        <v>253.04</v>
      </c>
      <c r="G247" s="4" vm="2186">
        <v>60.55</v>
      </c>
    </row>
    <row r="248" spans="1:7" x14ac:dyDescent="0.3">
      <c r="A248" vm="493">
        <v>45533</v>
      </c>
      <c r="B248" s="4" vm="494">
        <v>25151.95</v>
      </c>
      <c r="C248" s="4" vm="2629">
        <v>1843.7</v>
      </c>
      <c r="D248" s="4" vm="2633">
        <v>4915.8999999999996</v>
      </c>
      <c r="E248" s="4" vm="2634">
        <v>1252.2750000000001</v>
      </c>
      <c r="F248" s="4" vm="2635">
        <v>252.34</v>
      </c>
      <c r="G248" s="4" vm="2636">
        <v>60.57</v>
      </c>
    </row>
    <row r="249" spans="1:7" x14ac:dyDescent="0.3">
      <c r="A249" vm="495">
        <v>45534</v>
      </c>
      <c r="B249" s="4" vm="496">
        <v>25235.9</v>
      </c>
      <c r="C249" s="4" vm="2637">
        <v>1850.3</v>
      </c>
      <c r="D249" s="4" vm="2638">
        <v>4960.5</v>
      </c>
      <c r="E249" s="4" vm="2639">
        <v>1250.375</v>
      </c>
      <c r="F249" s="4" vm="2640">
        <v>250.53</v>
      </c>
      <c r="G249" s="4" vm="2641">
        <v>60.66</v>
      </c>
    </row>
    <row r="250" spans="1:7" x14ac:dyDescent="0.3">
      <c r="A250" vm="497">
        <v>45537</v>
      </c>
      <c r="B250" s="4" vm="498">
        <v>25278.7</v>
      </c>
      <c r="C250" s="4" vm="2642">
        <v>1888.75</v>
      </c>
      <c r="D250" s="4" vm="2643">
        <v>4911.95</v>
      </c>
      <c r="E250" s="4" vm="2644">
        <v>1254.95</v>
      </c>
      <c r="F250" s="4" vm="2645">
        <v>244.45</v>
      </c>
      <c r="G250" s="4" vm="2224">
        <v>60.25</v>
      </c>
    </row>
    <row r="251" spans="1:7" x14ac:dyDescent="0.3">
      <c r="A251" vm="499">
        <v>45538</v>
      </c>
      <c r="B251" s="4" vm="500">
        <v>25279.85</v>
      </c>
      <c r="C251" s="4" vm="2646">
        <v>1928.65</v>
      </c>
      <c r="D251" s="4" vm="2647">
        <v>4865.8</v>
      </c>
      <c r="E251" s="4" vm="2648">
        <v>1265.375</v>
      </c>
      <c r="F251" s="4" vm="2649">
        <v>247.7</v>
      </c>
      <c r="G251" s="4" vm="2650">
        <v>60.36</v>
      </c>
    </row>
    <row r="252" spans="1:7" x14ac:dyDescent="0.3">
      <c r="A252" vm="501">
        <v>45539</v>
      </c>
      <c r="B252" s="4" vm="502">
        <v>25198.7</v>
      </c>
      <c r="C252" s="4" vm="2651">
        <v>1912.2</v>
      </c>
      <c r="D252" s="4" vm="2652">
        <v>4833.55</v>
      </c>
      <c r="E252" s="4" vm="2653">
        <v>1267.375</v>
      </c>
      <c r="F252" s="4" vm="2654">
        <v>242.85</v>
      </c>
      <c r="G252" s="4" vm="2655">
        <v>59.83</v>
      </c>
    </row>
    <row r="253" spans="1:7" x14ac:dyDescent="0.3">
      <c r="A253" vm="503">
        <v>45540</v>
      </c>
      <c r="B253" s="4" vm="504">
        <v>25145.1</v>
      </c>
      <c r="C253" s="4" vm="2656">
        <v>1907.85</v>
      </c>
      <c r="D253" s="4" vm="2657">
        <v>4800.1000000000004</v>
      </c>
      <c r="E253" s="4" vm="2658">
        <v>1252.45</v>
      </c>
      <c r="F253" s="4" vm="2659">
        <v>254.85</v>
      </c>
      <c r="G253" s="4" vm="2186">
        <v>60.55</v>
      </c>
    </row>
    <row r="254" spans="1:7" x14ac:dyDescent="0.3">
      <c r="A254" vm="505">
        <v>45541</v>
      </c>
      <c r="B254" s="4" vm="506">
        <v>24852.15</v>
      </c>
      <c r="C254" s="4" vm="2660">
        <v>1896.3</v>
      </c>
      <c r="D254" s="4" vm="2661">
        <v>4752.5</v>
      </c>
      <c r="E254" s="4" vm="2662">
        <v>1251.5999999999999</v>
      </c>
      <c r="F254" s="4" vm="2663">
        <v>259.95</v>
      </c>
      <c r="G254" s="4" vm="2641">
        <v>60.66</v>
      </c>
    </row>
    <row r="255" spans="1:7" x14ac:dyDescent="0.3">
      <c r="A255" vm="507">
        <v>45544</v>
      </c>
      <c r="B255" s="4" vm="508">
        <v>24936.400000000001</v>
      </c>
      <c r="C255" s="4" vm="2664">
        <v>1901.75</v>
      </c>
      <c r="D255" s="4" vm="2665">
        <v>4747.3500000000004</v>
      </c>
      <c r="E255" s="4" vm="2666">
        <v>1258.375</v>
      </c>
      <c r="F255" s="4" vm="2667">
        <v>263.2</v>
      </c>
      <c r="G255" s="4" vm="2511">
        <v>60.16</v>
      </c>
    </row>
    <row r="256" spans="1:7" x14ac:dyDescent="0.3">
      <c r="A256" vm="509">
        <v>45545</v>
      </c>
      <c r="B256" s="4" vm="510">
        <v>25041.1</v>
      </c>
      <c r="C256" s="4" vm="2668">
        <v>1853.45</v>
      </c>
      <c r="D256" s="4" vm="2669">
        <v>4737.2</v>
      </c>
      <c r="E256" s="4" vm="2670">
        <v>1267.75</v>
      </c>
      <c r="F256" s="4" vm="2671">
        <v>267.7</v>
      </c>
      <c r="G256" s="4" vm="2650">
        <v>60.36</v>
      </c>
    </row>
    <row r="257" spans="1:7" x14ac:dyDescent="0.3">
      <c r="A257" vm="511">
        <v>45546</v>
      </c>
      <c r="B257" s="4" vm="512">
        <v>24918.45</v>
      </c>
      <c r="C257" s="4" vm="2672">
        <v>1859.15</v>
      </c>
      <c r="D257" s="4" vm="2673">
        <v>4726.6499999999996</v>
      </c>
      <c r="E257" s="4" vm="2674">
        <v>1263.425</v>
      </c>
      <c r="F257" s="4" vm="2675">
        <v>271.75</v>
      </c>
      <c r="G257" s="4" vm="2405">
        <v>60.71</v>
      </c>
    </row>
    <row r="258" spans="1:7" x14ac:dyDescent="0.3">
      <c r="A258" vm="513">
        <v>45547</v>
      </c>
      <c r="B258" s="4" vm="514">
        <v>25388.9</v>
      </c>
      <c r="C258" s="4" vm="2676">
        <v>1875.95</v>
      </c>
      <c r="D258" s="4" vm="2677">
        <v>4875</v>
      </c>
      <c r="E258" s="4" vm="2678">
        <v>1263.925</v>
      </c>
      <c r="F258" s="4" vm="2679">
        <v>283.89999999999998</v>
      </c>
      <c r="G258" s="4" vm="2680">
        <v>60.61</v>
      </c>
    </row>
    <row r="259" spans="1:7" x14ac:dyDescent="0.3">
      <c r="A259" vm="515">
        <v>45548</v>
      </c>
      <c r="B259" s="4" vm="516">
        <v>25356.5</v>
      </c>
      <c r="C259" s="4" vm="2681">
        <v>1846.5</v>
      </c>
      <c r="D259" s="4" vm="2682">
        <v>4858.3</v>
      </c>
      <c r="E259" s="4" vm="2683">
        <v>1265.7</v>
      </c>
      <c r="F259" s="4" vm="2684">
        <v>272.89999999999998</v>
      </c>
      <c r="G259" s="4" vm="2685">
        <v>61.64</v>
      </c>
    </row>
    <row r="260" spans="1:7" x14ac:dyDescent="0.3">
      <c r="A260" vm="517">
        <v>45551</v>
      </c>
      <c r="B260" s="4" vm="518">
        <v>25383.75</v>
      </c>
      <c r="C260" s="4" vm="2686">
        <v>1821.25</v>
      </c>
      <c r="D260" s="4" vm="2687">
        <v>4899.2</v>
      </c>
      <c r="E260" s="4" vm="1901">
        <v>1274.8</v>
      </c>
      <c r="F260" s="4" vm="2688">
        <v>277.7</v>
      </c>
      <c r="G260" s="4" vm="2689">
        <v>62.05</v>
      </c>
    </row>
    <row r="261" spans="1:7" x14ac:dyDescent="0.3">
      <c r="A261" vm="519">
        <v>45552</v>
      </c>
      <c r="B261" s="4" vm="520">
        <v>25418.55</v>
      </c>
      <c r="C261" s="4" vm="2690">
        <v>1819.15</v>
      </c>
      <c r="D261" s="4" vm="2691">
        <v>4850.2</v>
      </c>
      <c r="E261" s="4" vm="2692">
        <v>1273.425</v>
      </c>
      <c r="F261" s="4" vm="2693">
        <v>270.75</v>
      </c>
      <c r="G261" s="4" vm="2694">
        <v>61.77</v>
      </c>
    </row>
    <row r="262" spans="1:7" x14ac:dyDescent="0.3">
      <c r="A262" vm="521">
        <v>45553</v>
      </c>
      <c r="B262" s="4" vm="522">
        <v>25377.55</v>
      </c>
      <c r="C262" s="4" vm="2695">
        <v>1842.45</v>
      </c>
      <c r="D262" s="4" vm="2696">
        <v>4850.3500000000004</v>
      </c>
      <c r="E262" s="4" vm="2697">
        <v>1298.575</v>
      </c>
      <c r="F262" s="4" vm="2698">
        <v>275.85000000000002</v>
      </c>
      <c r="G262" s="4" vm="2478">
        <v>61.68</v>
      </c>
    </row>
    <row r="263" spans="1:7" x14ac:dyDescent="0.3">
      <c r="A263" vm="523">
        <v>45554</v>
      </c>
      <c r="B263" s="4" vm="524">
        <v>25415.8</v>
      </c>
      <c r="C263" s="4" vm="2699">
        <v>1840.95</v>
      </c>
      <c r="D263" s="4" vm="2700">
        <v>4864.8999999999996</v>
      </c>
      <c r="E263" s="4" vm="2701">
        <v>1317.1</v>
      </c>
      <c r="F263" s="4" vm="2702">
        <v>278.85000000000002</v>
      </c>
      <c r="G263" s="4" vm="2703">
        <v>62.19</v>
      </c>
    </row>
    <row r="264" spans="1:7" x14ac:dyDescent="0.3">
      <c r="A264" vm="525">
        <v>45555</v>
      </c>
      <c r="B264" s="4" vm="526">
        <v>25790.95</v>
      </c>
      <c r="C264" s="4" vm="2704">
        <v>1870.25</v>
      </c>
      <c r="D264" s="4" vm="2705">
        <v>4963.1499999999996</v>
      </c>
      <c r="E264" s="4" vm="2706">
        <v>1349.7750000000001</v>
      </c>
      <c r="F264" s="4" vm="2707">
        <v>290.5</v>
      </c>
      <c r="G264" s="4" vm="2708">
        <v>62.43</v>
      </c>
    </row>
    <row r="265" spans="1:7" x14ac:dyDescent="0.3">
      <c r="A265" vm="527">
        <v>45558</v>
      </c>
      <c r="B265" s="4" vm="528">
        <v>25939.05</v>
      </c>
      <c r="C265" s="4" vm="2709">
        <v>1920.15</v>
      </c>
      <c r="D265" s="4" vm="2710">
        <v>4879.55</v>
      </c>
      <c r="E265" s="4" vm="2711">
        <v>1362.575</v>
      </c>
      <c r="F265" s="4" vm="2712">
        <v>297</v>
      </c>
      <c r="G265" s="4" vm="2713">
        <v>62.81</v>
      </c>
    </row>
    <row r="266" spans="1:7" x14ac:dyDescent="0.3">
      <c r="A266" vm="529">
        <v>45559</v>
      </c>
      <c r="B266" s="4" vm="530">
        <v>25940.400000000001</v>
      </c>
      <c r="C266" s="4" vm="2714">
        <v>1864.35</v>
      </c>
      <c r="D266" s="4" vm="2407">
        <v>4876.8999999999996</v>
      </c>
      <c r="E266" s="4" vm="2715">
        <v>1348.2</v>
      </c>
      <c r="F266" s="4" vm="2716">
        <v>291.7</v>
      </c>
      <c r="G266" s="4" vm="2717">
        <v>62.99</v>
      </c>
    </row>
    <row r="267" spans="1:7" x14ac:dyDescent="0.3">
      <c r="A267" vm="531">
        <v>45560</v>
      </c>
      <c r="B267" s="4" vm="532">
        <v>26004.15</v>
      </c>
      <c r="C267" s="4" vm="2718">
        <v>1863.6</v>
      </c>
      <c r="D267" s="4" vm="2719">
        <v>4895.25</v>
      </c>
      <c r="E267" s="4" vm="2720">
        <v>1348.675</v>
      </c>
      <c r="F267" s="4" vm="2721">
        <v>285.39999999999998</v>
      </c>
      <c r="G267" s="4" vm="2722">
        <v>63.66</v>
      </c>
    </row>
    <row r="268" spans="1:7" x14ac:dyDescent="0.3">
      <c r="A268" vm="533">
        <v>45561</v>
      </c>
      <c r="B268" s="4" vm="534">
        <v>26216.05</v>
      </c>
      <c r="C268" s="4" vm="2723">
        <v>1898.3</v>
      </c>
      <c r="D268" s="4" vm="2724">
        <v>4994.25</v>
      </c>
      <c r="E268" s="4" vm="2725">
        <v>1377.75</v>
      </c>
      <c r="F268" s="4" vm="2679">
        <v>283.89999999999998</v>
      </c>
      <c r="G268" s="4" vm="2726">
        <v>63.77</v>
      </c>
    </row>
    <row r="269" spans="1:7" x14ac:dyDescent="0.3">
      <c r="A269" vm="535">
        <v>45562</v>
      </c>
      <c r="B269" s="4" vm="536">
        <v>26178.95</v>
      </c>
      <c r="C269" s="4" vm="2727">
        <v>1882.65</v>
      </c>
      <c r="D269" s="4" vm="2728">
        <v>5062.6000000000004</v>
      </c>
      <c r="E269" s="4" vm="2729">
        <v>1372.85</v>
      </c>
      <c r="F269" s="4" vm="2730">
        <v>278.14999999999998</v>
      </c>
      <c r="G269" s="4" vm="2731">
        <v>63.48</v>
      </c>
    </row>
    <row r="270" spans="1:7" x14ac:dyDescent="0.3">
      <c r="A270" vm="537">
        <v>45565</v>
      </c>
      <c r="B270" s="4" vm="538">
        <v>25810.85</v>
      </c>
      <c r="C270" s="4" vm="2732">
        <v>1844</v>
      </c>
      <c r="D270" s="4" vm="2733">
        <v>5026.25</v>
      </c>
      <c r="E270" s="4" vm="2734">
        <v>1344.9749999999999</v>
      </c>
      <c r="F270" s="4" vm="2735">
        <v>273.3</v>
      </c>
      <c r="G270" s="4" vm="2736">
        <v>63.55</v>
      </c>
    </row>
    <row r="271" spans="1:7" x14ac:dyDescent="0.3">
      <c r="A271" vm="539">
        <v>45566</v>
      </c>
      <c r="B271" s="4" vm="540">
        <v>25796.9</v>
      </c>
      <c r="C271" s="4" vm="2737">
        <v>1834.2</v>
      </c>
      <c r="D271" s="4" vm="2738">
        <v>4972.6499999999996</v>
      </c>
      <c r="E271" s="4" vm="2739">
        <v>1353.5250000000001</v>
      </c>
      <c r="F271" s="4" vm="2740">
        <v>274.14999999999998</v>
      </c>
      <c r="G271" s="4" vm="2741">
        <v>63.59</v>
      </c>
    </row>
    <row r="272" spans="1:7" x14ac:dyDescent="0.3">
      <c r="A272" vm="541">
        <v>45568</v>
      </c>
      <c r="B272" s="4" vm="542">
        <v>25250.1</v>
      </c>
      <c r="C272" s="4" vm="2742">
        <v>1805.55</v>
      </c>
      <c r="D272" s="4" vm="2743">
        <v>4782.5</v>
      </c>
      <c r="E272" s="4" vm="2744">
        <v>1337.425</v>
      </c>
      <c r="F272" s="4" vm="2745">
        <v>269</v>
      </c>
      <c r="G272" s="4" vm="2746">
        <v>63.69</v>
      </c>
    </row>
    <row r="273" spans="1:7" x14ac:dyDescent="0.3">
      <c r="A273" vm="543">
        <v>45569</v>
      </c>
      <c r="B273" s="4" vm="544">
        <v>25014.6</v>
      </c>
      <c r="C273" s="4" vm="2747">
        <v>1798.1</v>
      </c>
      <c r="D273" s="4" vm="2748">
        <v>4706.8</v>
      </c>
      <c r="E273" s="4" vm="2749">
        <v>1299.075</v>
      </c>
      <c r="F273" s="4" vm="2750">
        <v>275.3</v>
      </c>
      <c r="G273" s="4" vm="2751">
        <v>63.99</v>
      </c>
    </row>
    <row r="274" spans="1:7" x14ac:dyDescent="0.3">
      <c r="A274" vm="545">
        <v>45572</v>
      </c>
      <c r="B274" s="4" vm="546">
        <v>24795.75</v>
      </c>
      <c r="C274" s="4" vm="2752">
        <v>1787.95</v>
      </c>
      <c r="D274" s="4" vm="2753">
        <v>4667.95</v>
      </c>
      <c r="E274" s="4" vm="2754">
        <v>1286.925</v>
      </c>
      <c r="F274" s="4" vm="2755">
        <v>266.10000000000002</v>
      </c>
      <c r="G274" s="4" vm="2756">
        <v>63.81</v>
      </c>
    </row>
    <row r="275" spans="1:7" x14ac:dyDescent="0.3">
      <c r="A275" vm="547">
        <v>45573</v>
      </c>
      <c r="B275" s="4" vm="548">
        <v>25013.15</v>
      </c>
      <c r="C275" s="4" vm="2757">
        <v>1728.05</v>
      </c>
      <c r="D275" s="4" vm="2758">
        <v>4693.45</v>
      </c>
      <c r="E275" s="4" vm="2759">
        <v>1290.875</v>
      </c>
      <c r="F275" s="4" vm="2760">
        <v>278.7</v>
      </c>
      <c r="G275" s="4" vm="2761">
        <v>63.45</v>
      </c>
    </row>
    <row r="276" spans="1:7" x14ac:dyDescent="0.3">
      <c r="A276" vm="549">
        <v>45574</v>
      </c>
      <c r="B276" s="4" vm="550">
        <v>24981.95</v>
      </c>
      <c r="C276" s="4" vm="2762">
        <v>1737.4</v>
      </c>
      <c r="D276" s="4" vm="2763">
        <v>4708.8999999999996</v>
      </c>
      <c r="E276" s="4" vm="2764">
        <v>1258</v>
      </c>
      <c r="F276" s="4" vm="2765">
        <v>279.95</v>
      </c>
      <c r="G276" s="4" vm="2766">
        <v>63.02</v>
      </c>
    </row>
    <row r="277" spans="1:7" x14ac:dyDescent="0.3">
      <c r="A277" vm="551">
        <v>45575</v>
      </c>
      <c r="B277" s="4" vm="552">
        <v>24998.45</v>
      </c>
      <c r="C277" s="4" vm="2767">
        <v>1734.5</v>
      </c>
      <c r="D277" s="4" vm="2768">
        <v>4697.8999999999996</v>
      </c>
      <c r="E277" s="4" vm="2769">
        <v>1256.2249999999999</v>
      </c>
      <c r="F277" s="4" vm="2770">
        <v>275.35000000000002</v>
      </c>
      <c r="G277" s="4" vm="2771">
        <v>63.01</v>
      </c>
    </row>
    <row r="278" spans="1:7" x14ac:dyDescent="0.3">
      <c r="A278" vm="553">
        <v>45576</v>
      </c>
      <c r="B278" s="4" vm="554">
        <v>24964.25</v>
      </c>
      <c r="C278" s="4" vm="2772">
        <v>1735.05</v>
      </c>
      <c r="D278" s="4" vm="2773">
        <v>4728.05</v>
      </c>
      <c r="E278" s="4" vm="2774">
        <v>1255.9000000000001</v>
      </c>
      <c r="F278" s="4" vm="2775">
        <v>277.55</v>
      </c>
      <c r="G278" s="4" vm="2776">
        <v>63.54</v>
      </c>
    </row>
    <row r="279" spans="1:7" x14ac:dyDescent="0.3">
      <c r="A279" vm="555">
        <v>45579</v>
      </c>
      <c r="B279" s="4" vm="556">
        <v>25127.95</v>
      </c>
      <c r="C279" s="4" vm="2777">
        <v>1738.3</v>
      </c>
      <c r="D279" s="4" vm="2778">
        <v>4779.8</v>
      </c>
      <c r="E279" s="4" vm="2779">
        <v>1251.0250000000001</v>
      </c>
      <c r="F279" s="4" vm="2780">
        <v>280.05</v>
      </c>
      <c r="G279" s="4" vm="2781">
        <v>63.98</v>
      </c>
    </row>
    <row r="280" spans="1:7" x14ac:dyDescent="0.3">
      <c r="A280" vm="557">
        <v>45580</v>
      </c>
      <c r="B280" s="4" vm="558">
        <v>25057.35</v>
      </c>
      <c r="C280" s="4" vm="2782">
        <v>1723.75</v>
      </c>
      <c r="D280" s="4" vm="2783">
        <v>4722.1000000000004</v>
      </c>
      <c r="E280" s="4" vm="2784">
        <v>1242.125</v>
      </c>
      <c r="F280" s="4" vm="2785">
        <v>279.55</v>
      </c>
      <c r="G280" s="4" vm="2786">
        <v>63.86</v>
      </c>
    </row>
    <row r="281" spans="1:7" x14ac:dyDescent="0.3">
      <c r="A281" vm="559">
        <v>45581</v>
      </c>
      <c r="B281" s="4" vm="560">
        <v>24971.3</v>
      </c>
      <c r="C281" s="4" vm="2787">
        <v>1733.75</v>
      </c>
      <c r="D281" s="4" vm="2788">
        <v>4678.25</v>
      </c>
      <c r="E281" s="4" vm="2789">
        <v>1231.125</v>
      </c>
      <c r="F281" s="4" vm="2790">
        <v>274.25</v>
      </c>
      <c r="G281" s="4" vm="2791">
        <v>64.44</v>
      </c>
    </row>
    <row r="282" spans="1:7" x14ac:dyDescent="0.3">
      <c r="A282" vm="561">
        <v>45582</v>
      </c>
      <c r="B282" s="4" vm="562">
        <v>24749.85</v>
      </c>
      <c r="C282" s="4" vm="2792">
        <v>1702</v>
      </c>
      <c r="D282" s="4" vm="2793">
        <v>4623.8500000000004</v>
      </c>
      <c r="E282" s="4" vm="2794">
        <v>1189.3499999999999</v>
      </c>
      <c r="F282" s="4" vm="2795">
        <v>270.55</v>
      </c>
      <c r="G282" s="4" vm="2791">
        <v>64.44</v>
      </c>
    </row>
    <row r="283" spans="1:7" x14ac:dyDescent="0.3">
      <c r="A283" vm="563">
        <v>45583</v>
      </c>
      <c r="B283" s="4" vm="564">
        <v>24854.05</v>
      </c>
      <c r="C283" s="4" vm="2796">
        <v>1706.05</v>
      </c>
      <c r="D283" s="4" vm="2797">
        <v>4765.6499999999996</v>
      </c>
      <c r="E283" s="4" vm="2798">
        <v>1175.125</v>
      </c>
      <c r="F283" s="4" vm="2799">
        <v>257.45</v>
      </c>
      <c r="G283" s="4" vm="2800">
        <v>65.180000000000007</v>
      </c>
    </row>
    <row r="284" spans="1:7" x14ac:dyDescent="0.3">
      <c r="A284" vm="565">
        <v>45586</v>
      </c>
      <c r="B284" s="4" vm="566">
        <v>24781.1</v>
      </c>
      <c r="C284" s="4" vm="2801">
        <v>1711.85</v>
      </c>
      <c r="D284" s="4" vm="2802">
        <v>4810.45</v>
      </c>
      <c r="E284" s="4" vm="2803">
        <v>1177.325</v>
      </c>
      <c r="F284" s="4" vm="2804">
        <v>265.7</v>
      </c>
      <c r="G284" s="4" vm="2805">
        <v>65.790000000000006</v>
      </c>
    </row>
    <row r="285" spans="1:7" x14ac:dyDescent="0.3">
      <c r="A285" vm="567">
        <v>45587</v>
      </c>
      <c r="B285" s="4" vm="568">
        <v>24472.1</v>
      </c>
      <c r="C285" s="4" vm="2806">
        <v>1698.15</v>
      </c>
      <c r="D285" s="4" vm="2807">
        <v>4759.05</v>
      </c>
      <c r="E285" s="4" vm="2798">
        <v>1175.125</v>
      </c>
      <c r="F285" s="4" vm="2808">
        <v>256.35000000000002</v>
      </c>
      <c r="G285" s="4" vm="2809">
        <v>65.73</v>
      </c>
    </row>
    <row r="286" spans="1:7" x14ac:dyDescent="0.3">
      <c r="A286" vm="569">
        <v>45588</v>
      </c>
      <c r="B286" s="4" vm="570">
        <v>24435.5</v>
      </c>
      <c r="C286" s="4" vm="2810">
        <v>1716</v>
      </c>
      <c r="D286" s="4" vm="2811">
        <v>4677.75</v>
      </c>
      <c r="E286" s="4" vm="2812">
        <v>1163.575</v>
      </c>
      <c r="F286" s="4" vm="2813">
        <v>264.05</v>
      </c>
      <c r="G286" s="4" vm="2814">
        <v>66.16</v>
      </c>
    </row>
    <row r="287" spans="1:7" x14ac:dyDescent="0.3">
      <c r="A287" vm="571">
        <v>45589</v>
      </c>
      <c r="B287" s="4" vm="572">
        <v>24399.4</v>
      </c>
      <c r="C287" s="4" vm="2815">
        <v>1635.3</v>
      </c>
      <c r="D287" s="4" vm="2816">
        <v>4668.5</v>
      </c>
      <c r="E287" s="4" vm="2817">
        <v>1129.325</v>
      </c>
      <c r="F287" s="4" vm="2818">
        <v>254.3</v>
      </c>
      <c r="G287" s="4" vm="2819">
        <v>65.75</v>
      </c>
    </row>
    <row r="288" spans="1:7" x14ac:dyDescent="0.3">
      <c r="A288" vm="573">
        <v>45590</v>
      </c>
      <c r="B288" s="4" vm="574">
        <v>24180.799999999999</v>
      </c>
      <c r="C288" s="4" vm="2820">
        <v>1616.75</v>
      </c>
      <c r="D288" s="4" vm="2821">
        <v>4591.6000000000004</v>
      </c>
      <c r="E288" s="4" vm="2822">
        <v>1130.3499999999999</v>
      </c>
      <c r="F288" s="4" vm="2823">
        <v>253.8</v>
      </c>
      <c r="G288" s="4" vm="2824">
        <v>65.45</v>
      </c>
    </row>
    <row r="289" spans="1:7" x14ac:dyDescent="0.3">
      <c r="A289" vm="575">
        <v>45593</v>
      </c>
      <c r="B289" s="4" vm="576">
        <v>24339.15</v>
      </c>
      <c r="C289" s="4" vm="2825">
        <v>1605.9</v>
      </c>
      <c r="D289" s="4" vm="2826">
        <v>4720.6499999999996</v>
      </c>
      <c r="E289" s="4" vm="2827">
        <v>1136.0250000000001</v>
      </c>
      <c r="F289" s="4" vm="2828">
        <v>253.95</v>
      </c>
      <c r="G289" s="4" vm="2829">
        <v>65.78</v>
      </c>
    </row>
    <row r="290" spans="1:7" x14ac:dyDescent="0.3">
      <c r="A290" vm="577">
        <v>45594</v>
      </c>
      <c r="B290" s="4" vm="578">
        <v>24466.85</v>
      </c>
      <c r="C290" s="4" vm="2830">
        <v>1661.35</v>
      </c>
      <c r="D290" s="4" vm="2831">
        <v>4898.1499999999996</v>
      </c>
      <c r="E290" s="4" vm="2832">
        <v>1133.7</v>
      </c>
      <c r="F290" s="4" vm="2833">
        <v>252.25</v>
      </c>
      <c r="G290" s="4" vm="2834">
        <v>66.3</v>
      </c>
    </row>
    <row r="291" spans="1:7" x14ac:dyDescent="0.3">
      <c r="A291" vm="579">
        <v>45595</v>
      </c>
      <c r="B291" s="4" vm="580">
        <v>24340.85</v>
      </c>
      <c r="C291" s="4" vm="2835">
        <v>1624.15</v>
      </c>
      <c r="D291" s="4" vm="2836">
        <v>4869.25</v>
      </c>
      <c r="E291" s="4" vm="2837">
        <v>1138.1500000000001</v>
      </c>
      <c r="F291" s="4" vm="2838">
        <v>246.85</v>
      </c>
      <c r="G291" s="4" vm="2839">
        <v>67.02</v>
      </c>
    </row>
    <row r="292" spans="1:7" x14ac:dyDescent="0.3">
      <c r="A292" vm="581">
        <v>45596</v>
      </c>
      <c r="B292" s="4" vm="582">
        <v>24205.35</v>
      </c>
      <c r="C292" s="4" vm="2840">
        <v>1622.15</v>
      </c>
      <c r="D292" s="4" vm="2841">
        <v>4894.6499999999996</v>
      </c>
      <c r="E292" s="4" vm="2842">
        <v>1131.4749999999999</v>
      </c>
      <c r="F292" s="4" vm="2843">
        <v>241.75</v>
      </c>
      <c r="G292" s="4" vm="2844">
        <v>66.92</v>
      </c>
    </row>
    <row r="293" spans="1:7" x14ac:dyDescent="0.3">
      <c r="A293" vm="583">
        <v>45597</v>
      </c>
      <c r="B293" s="4" vm="584">
        <v>24304.35</v>
      </c>
      <c r="C293" s="4" vm="2845">
        <v>1628.85</v>
      </c>
      <c r="D293" s="4" vm="2846">
        <v>4953.6000000000004</v>
      </c>
      <c r="E293" s="4" vm="2847">
        <v>1141.1500000000001</v>
      </c>
      <c r="F293" s="4" vm="2848">
        <v>248.99</v>
      </c>
      <c r="G293" s="4" vm="2849">
        <v>66.62</v>
      </c>
    </row>
    <row r="294" spans="1:7" x14ac:dyDescent="0.3">
      <c r="A294" vm="585">
        <v>45600</v>
      </c>
      <c r="B294" s="4" vm="586">
        <v>23995.35</v>
      </c>
      <c r="C294" s="4" vm="2850">
        <v>1608.8</v>
      </c>
      <c r="D294" s="4" vm="2851">
        <v>4831.8500000000004</v>
      </c>
      <c r="E294" s="4" vm="2852">
        <v>1123.0999999999999</v>
      </c>
      <c r="F294" s="4" vm="2853">
        <v>245.08</v>
      </c>
      <c r="G294" s="4" vm="2854">
        <v>66.02</v>
      </c>
    </row>
    <row r="295" spans="1:7" x14ac:dyDescent="0.3">
      <c r="A295" vm="587">
        <v>45601</v>
      </c>
      <c r="B295" s="4" vm="588">
        <v>24213.3</v>
      </c>
      <c r="C295" s="4" vm="2855">
        <v>1633.2</v>
      </c>
      <c r="D295" s="4" vm="2856">
        <v>4899.8</v>
      </c>
      <c r="E295" s="4" vm="2857">
        <v>1131.2249999999999</v>
      </c>
      <c r="F295" s="4" vm="2858">
        <v>241.87</v>
      </c>
      <c r="G295" s="4" vm="2859">
        <v>65.94</v>
      </c>
    </row>
    <row r="296" spans="1:7" x14ac:dyDescent="0.3">
      <c r="A296" vm="589">
        <v>45602</v>
      </c>
      <c r="B296" s="4" vm="590">
        <v>24484.05</v>
      </c>
      <c r="C296" s="4" vm="2860">
        <v>1603.95</v>
      </c>
      <c r="D296" s="4" vm="2861">
        <v>4917.1499999999996</v>
      </c>
      <c r="E296" s="4" vm="2862">
        <v>1137.8</v>
      </c>
      <c r="F296" s="4" vm="2863">
        <v>254.94</v>
      </c>
      <c r="G296" s="4" vm="2864">
        <v>65.59</v>
      </c>
    </row>
    <row r="297" spans="1:7" x14ac:dyDescent="0.3">
      <c r="A297" vm="591">
        <v>45603</v>
      </c>
      <c r="B297" s="4" vm="592">
        <v>24199.35</v>
      </c>
      <c r="C297" s="4" vm="2865">
        <v>1589.85</v>
      </c>
      <c r="D297" s="4" vm="2866">
        <v>4878</v>
      </c>
      <c r="E297" s="4" vm="2867">
        <v>1131.425</v>
      </c>
      <c r="F297" s="4" vm="2868">
        <v>255.22</v>
      </c>
      <c r="G297" s="4" vm="2869">
        <v>64.33</v>
      </c>
    </row>
    <row r="298" spans="1:7" x14ac:dyDescent="0.3">
      <c r="A298" vm="593">
        <v>45604</v>
      </c>
      <c r="B298" s="4" vm="594">
        <v>24148.2</v>
      </c>
      <c r="C298" s="4" vm="2870">
        <v>1569.95</v>
      </c>
      <c r="D298" s="4" vm="2871">
        <v>4785.25</v>
      </c>
      <c r="E298" s="4" vm="2872">
        <v>1147.825</v>
      </c>
      <c r="F298" s="4" vm="2873">
        <v>248.73</v>
      </c>
      <c r="G298" s="4" vm="2874">
        <v>65</v>
      </c>
    </row>
    <row r="299" spans="1:7" x14ac:dyDescent="0.3">
      <c r="A299" vm="595">
        <v>45607</v>
      </c>
      <c r="B299" s="4" vm="596">
        <v>24141.3</v>
      </c>
      <c r="C299" s="4" vm="2875">
        <v>1566</v>
      </c>
      <c r="D299" s="4" vm="2876">
        <v>4793.45</v>
      </c>
      <c r="E299" s="4" vm="2877">
        <v>1139.5250000000001</v>
      </c>
      <c r="F299" s="4" vm="2878">
        <v>258.62</v>
      </c>
      <c r="G299" s="4" vm="2879">
        <v>64.489999999999995</v>
      </c>
    </row>
    <row r="300" spans="1:7" x14ac:dyDescent="0.3">
      <c r="A300" vm="597">
        <v>45608</v>
      </c>
      <c r="B300" s="4" vm="598">
        <v>23883.45</v>
      </c>
      <c r="C300" s="4" vm="2880">
        <v>1562.45</v>
      </c>
      <c r="D300" s="4" vm="2881">
        <v>4738.2</v>
      </c>
      <c r="E300" s="4" vm="2882">
        <v>1128.0999999999999</v>
      </c>
      <c r="F300" s="4" vm="2883">
        <v>260.99</v>
      </c>
      <c r="G300" s="4" vm="2884">
        <v>62.84</v>
      </c>
    </row>
    <row r="301" spans="1:7" x14ac:dyDescent="0.3">
      <c r="A301" vm="599">
        <v>45609</v>
      </c>
      <c r="B301" s="4" vm="600">
        <v>23559.05</v>
      </c>
      <c r="C301" s="4" vm="2885">
        <v>1546.7</v>
      </c>
      <c r="D301" s="4" vm="2886">
        <v>4588.7</v>
      </c>
      <c r="E301" s="4" vm="2887">
        <v>1117.625</v>
      </c>
      <c r="F301" s="4" vm="2888">
        <v>258.39999999999998</v>
      </c>
      <c r="G301" s="4" vm="2889">
        <v>63.25</v>
      </c>
    </row>
    <row r="302" spans="1:7" x14ac:dyDescent="0.3">
      <c r="A302" vm="601">
        <v>45610</v>
      </c>
      <c r="B302" s="4" vm="602">
        <v>23532.7</v>
      </c>
      <c r="C302" s="4" vm="2890">
        <v>1562.3</v>
      </c>
      <c r="D302" s="4" vm="2891">
        <v>4883.7</v>
      </c>
      <c r="E302" s="4" vm="2892">
        <v>1091.4000000000001</v>
      </c>
      <c r="F302" s="4" vm="2893">
        <v>269.66000000000003</v>
      </c>
      <c r="G302" s="4" vm="2894">
        <v>61.79</v>
      </c>
    </row>
    <row r="303" spans="1:7" x14ac:dyDescent="0.3">
      <c r="A303" vm="603">
        <v>45614</v>
      </c>
      <c r="B303" s="4" vm="604">
        <v>23453.8</v>
      </c>
      <c r="C303" s="4" vm="2895">
        <v>1562.6</v>
      </c>
      <c r="D303" s="4" vm="2896">
        <v>4875.6499999999996</v>
      </c>
      <c r="E303" s="4" vm="2897">
        <v>1106.5999999999999</v>
      </c>
      <c r="F303" s="4" vm="2898">
        <v>270.79000000000002</v>
      </c>
      <c r="G303" s="4" vm="2899">
        <v>62.9</v>
      </c>
    </row>
    <row r="304" spans="1:7" x14ac:dyDescent="0.3">
      <c r="A304" vm="605">
        <v>45615</v>
      </c>
      <c r="B304" s="4" vm="606">
        <v>23518.5</v>
      </c>
      <c r="C304" s="4" vm="2900">
        <v>1522.9</v>
      </c>
      <c r="D304" s="4" vm="2901">
        <v>4965.45</v>
      </c>
      <c r="E304" s="4" vm="2902">
        <v>1107.075</v>
      </c>
      <c r="F304" s="4" vm="2903">
        <v>271.36</v>
      </c>
      <c r="G304" s="4" vm="2904">
        <v>63.72</v>
      </c>
    </row>
    <row r="305" spans="1:7" x14ac:dyDescent="0.3">
      <c r="A305" vm="607">
        <v>45617</v>
      </c>
      <c r="B305" s="4" vm="608">
        <v>23349.9</v>
      </c>
      <c r="C305" s="4" vm="2905">
        <v>1477.95</v>
      </c>
      <c r="D305" s="4" vm="2906">
        <v>4882.1000000000004</v>
      </c>
      <c r="E305" s="4" vm="2907">
        <v>1105.5999999999999</v>
      </c>
      <c r="F305" s="4" vm="2908">
        <v>266.81</v>
      </c>
      <c r="G305" s="4" vm="2909">
        <v>64.569999999999993</v>
      </c>
    </row>
    <row r="306" spans="1:7" x14ac:dyDescent="0.3">
      <c r="A306" vm="609">
        <v>45618</v>
      </c>
      <c r="B306" s="4" vm="610">
        <v>23907.25</v>
      </c>
      <c r="C306" s="4" vm="2910">
        <v>1485.15</v>
      </c>
      <c r="D306" s="4" vm="2911">
        <v>4986.2</v>
      </c>
      <c r="E306" s="4" vm="2912">
        <v>1123.6500000000001</v>
      </c>
      <c r="F306" s="4" vm="2913">
        <v>264.2</v>
      </c>
      <c r="G306" s="4" vm="2914">
        <v>65.33</v>
      </c>
    </row>
    <row r="307" spans="1:7" x14ac:dyDescent="0.3">
      <c r="A307" vm="611">
        <v>45621</v>
      </c>
      <c r="B307" s="4" vm="612">
        <v>24221.9</v>
      </c>
      <c r="C307" s="4" vm="2915">
        <v>1495.2</v>
      </c>
      <c r="D307" s="4" vm="2916">
        <v>5002.3500000000004</v>
      </c>
      <c r="E307" s="4" vm="2917">
        <v>1128.4749999999999</v>
      </c>
      <c r="F307" s="4" vm="2918">
        <v>273.31</v>
      </c>
      <c r="G307" s="4" vm="2919">
        <v>64.38</v>
      </c>
    </row>
    <row r="308" spans="1:7" x14ac:dyDescent="0.3">
      <c r="A308" vm="613">
        <v>45622</v>
      </c>
      <c r="B308" s="4" vm="614">
        <v>24194.5</v>
      </c>
      <c r="C308" s="4" vm="2920">
        <v>1506.75</v>
      </c>
      <c r="D308" s="4" vm="2921">
        <v>4931.75</v>
      </c>
      <c r="E308" s="4" vm="2922">
        <v>1132.625</v>
      </c>
      <c r="F308" s="4" vm="2923">
        <v>280.11</v>
      </c>
      <c r="G308" s="4" vm="2924">
        <v>63.39</v>
      </c>
    </row>
    <row r="309" spans="1:7" x14ac:dyDescent="0.3">
      <c r="A309" vm="615">
        <v>45623</v>
      </c>
      <c r="B309" s="4" vm="616">
        <v>24274.9</v>
      </c>
      <c r="C309" s="4" vm="2925">
        <v>1505.4</v>
      </c>
      <c r="D309" s="4" vm="2926">
        <v>4917.5</v>
      </c>
      <c r="E309" s="4" vm="2927">
        <v>1136.9749999999999</v>
      </c>
      <c r="F309" s="4" vm="2928">
        <v>284.72000000000003</v>
      </c>
      <c r="G309" s="4" vm="2929">
        <v>63.96</v>
      </c>
    </row>
    <row r="310" spans="1:7" x14ac:dyDescent="0.3">
      <c r="A310" vm="617">
        <v>45624</v>
      </c>
      <c r="B310" s="4" vm="618">
        <v>23914.15</v>
      </c>
      <c r="C310" s="4" vm="2930">
        <v>1428.6</v>
      </c>
      <c r="D310" s="4" vm="2931">
        <v>4815.7</v>
      </c>
      <c r="E310" s="4" vm="2932">
        <v>1118.125</v>
      </c>
      <c r="F310" s="4" vm="2933">
        <v>286.13</v>
      </c>
      <c r="G310" s="4" vm="2934">
        <v>64.040000000000006</v>
      </c>
    </row>
    <row r="311" spans="1:7" x14ac:dyDescent="0.3">
      <c r="A311" vm="619">
        <v>45625</v>
      </c>
      <c r="B311" s="4" vm="620">
        <v>24131.1</v>
      </c>
      <c r="C311" s="4" vm="2935">
        <v>1437.75</v>
      </c>
      <c r="D311" s="4" vm="2851">
        <v>4831.8500000000004</v>
      </c>
      <c r="E311" s="4" vm="2936">
        <v>1117.325</v>
      </c>
      <c r="F311" s="4" vm="2937">
        <v>279.76</v>
      </c>
      <c r="G311" s="4" vm="2938">
        <v>64.290000000000006</v>
      </c>
    </row>
    <row r="312" spans="1:7" x14ac:dyDescent="0.3">
      <c r="A312" vm="621">
        <v>45628</v>
      </c>
      <c r="B312" s="4" vm="622">
        <v>24276.05</v>
      </c>
      <c r="C312" s="4" vm="2939">
        <v>1422.05</v>
      </c>
      <c r="D312" s="4" vm="2940">
        <v>4820.7</v>
      </c>
      <c r="E312" s="4" vm="2941">
        <v>1125.925</v>
      </c>
      <c r="F312" s="4" vm="2942">
        <v>282.5</v>
      </c>
      <c r="G312" s="4" vm="2943">
        <v>63.76</v>
      </c>
    </row>
    <row r="313" spans="1:7" x14ac:dyDescent="0.3">
      <c r="A313" vm="623">
        <v>45629</v>
      </c>
      <c r="B313" s="4" vm="624">
        <v>24457.15</v>
      </c>
      <c r="C313" s="4" vm="2944">
        <v>1440.95</v>
      </c>
      <c r="D313" s="4" vm="2945">
        <v>4844.3500000000004</v>
      </c>
      <c r="E313" s="4" vm="2946">
        <v>1130.8499999999999</v>
      </c>
      <c r="F313" s="4" vm="2947">
        <v>279.85000000000002</v>
      </c>
      <c r="G313" s="4" vm="2948">
        <v>64.06</v>
      </c>
    </row>
    <row r="314" spans="1:7" x14ac:dyDescent="0.3">
      <c r="A314" vm="625">
        <v>45630</v>
      </c>
      <c r="B314" s="4" vm="626">
        <v>24467.45</v>
      </c>
      <c r="C314" s="4" vm="2949">
        <v>1452.6</v>
      </c>
      <c r="D314" s="4" vm="2950">
        <v>4797.05</v>
      </c>
      <c r="E314" s="4" vm="2951">
        <v>1128.9000000000001</v>
      </c>
      <c r="F314" s="4" vm="2952">
        <v>286.25</v>
      </c>
      <c r="G314" s="4" vm="2953">
        <v>64.010000000000005</v>
      </c>
    </row>
    <row r="315" spans="1:7" x14ac:dyDescent="0.3">
      <c r="A315" vm="627">
        <v>45631</v>
      </c>
      <c r="B315" s="4" vm="628">
        <v>24708.400000000001</v>
      </c>
      <c r="C315" s="4" vm="2954">
        <v>1431.85</v>
      </c>
      <c r="D315" s="4" vm="2955">
        <v>4837.55</v>
      </c>
      <c r="E315" s="4" vm="2956">
        <v>1132.75</v>
      </c>
      <c r="F315" s="4" vm="2957">
        <v>299.35000000000002</v>
      </c>
      <c r="G315" s="4" vm="2948">
        <v>64.06</v>
      </c>
    </row>
    <row r="316" spans="1:7" x14ac:dyDescent="0.3">
      <c r="A316" vm="629">
        <v>45632</v>
      </c>
      <c r="B316" s="4" vm="630">
        <v>24677.8</v>
      </c>
      <c r="C316" s="4" vm="2958">
        <v>1448.55</v>
      </c>
      <c r="D316" s="4" vm="2959">
        <v>4877.05</v>
      </c>
      <c r="E316" s="4" vm="2960">
        <v>1133.9000000000001</v>
      </c>
      <c r="F316" s="4" vm="2961">
        <v>302.95</v>
      </c>
      <c r="G316" s="4" vm="2751">
        <v>63.99</v>
      </c>
    </row>
    <row r="317" spans="1:7" x14ac:dyDescent="0.3">
      <c r="A317" vm="631">
        <v>45635</v>
      </c>
      <c r="B317" s="4" vm="632">
        <v>24619</v>
      </c>
      <c r="C317" s="4" vm="2962">
        <v>1469.3</v>
      </c>
      <c r="D317" s="4" vm="2963">
        <v>4842.1000000000004</v>
      </c>
      <c r="E317" s="4" vm="2964">
        <v>1114.425</v>
      </c>
      <c r="F317" s="4" vm="2965">
        <v>295.3</v>
      </c>
      <c r="G317" s="4" vm="2938">
        <v>64.290000000000006</v>
      </c>
    </row>
    <row r="318" spans="1:7" x14ac:dyDescent="0.3">
      <c r="A318" vm="633">
        <v>45636</v>
      </c>
      <c r="B318" s="4" vm="634">
        <v>24610.05</v>
      </c>
      <c r="C318" s="4" vm="2966">
        <v>1461.85</v>
      </c>
      <c r="D318" s="4" vm="2967">
        <v>4813.05</v>
      </c>
      <c r="E318" s="4" vm="2968">
        <v>1107.2249999999999</v>
      </c>
      <c r="F318" s="4" vm="2969">
        <v>295.85000000000002</v>
      </c>
      <c r="G318" s="4" vm="2970">
        <v>64.67</v>
      </c>
    </row>
    <row r="319" spans="1:7" x14ac:dyDescent="0.3">
      <c r="A319" vm="635">
        <v>45637</v>
      </c>
      <c r="B319" s="4" vm="636">
        <v>24641.8</v>
      </c>
      <c r="C319" s="4" vm="2971">
        <v>1456.15</v>
      </c>
      <c r="D319" s="4" vm="2972">
        <v>4801.95</v>
      </c>
      <c r="E319" s="4" vm="2973">
        <v>1120.5250000000001</v>
      </c>
      <c r="F319" s="4" vm="2974">
        <v>291.8</v>
      </c>
      <c r="G319" s="4" vm="2975">
        <v>65.040000000000006</v>
      </c>
    </row>
    <row r="320" spans="1:7" x14ac:dyDescent="0.3">
      <c r="A320" vm="637">
        <v>45638</v>
      </c>
      <c r="B320" s="4" vm="638">
        <v>24548.7</v>
      </c>
      <c r="C320" s="4" vm="2976">
        <v>1432.5</v>
      </c>
      <c r="D320" s="4" vm="2977">
        <v>4807.6499999999996</v>
      </c>
      <c r="E320" s="4" vm="2978">
        <v>1112.0250000000001</v>
      </c>
      <c r="F320" s="4" vm="2979">
        <v>284.89999999999998</v>
      </c>
      <c r="G320" s="4" vm="2980">
        <v>65.489999999999995</v>
      </c>
    </row>
    <row r="321" spans="1:7" x14ac:dyDescent="0.3">
      <c r="A321" vm="639">
        <v>45639</v>
      </c>
      <c r="B321" s="4" vm="640">
        <v>24768.3</v>
      </c>
      <c r="C321" s="4" vm="2981">
        <v>1428.8</v>
      </c>
      <c r="D321" s="4" vm="2982">
        <v>4825.8999999999996</v>
      </c>
      <c r="E321" s="4" vm="2983">
        <v>1126.75</v>
      </c>
      <c r="F321" s="4" vm="2984">
        <v>288.25</v>
      </c>
      <c r="G321" s="4" vm="2985">
        <v>64.61</v>
      </c>
    </row>
    <row r="322" spans="1:7" x14ac:dyDescent="0.3">
      <c r="A322" vm="641">
        <v>45642</v>
      </c>
      <c r="B322" s="4" vm="642">
        <v>24668.25</v>
      </c>
      <c r="C322" s="4" vm="2986">
        <v>1421.65</v>
      </c>
      <c r="D322" s="4" vm="2987">
        <v>4838.5</v>
      </c>
      <c r="E322" s="4" vm="2988">
        <v>1119.375</v>
      </c>
      <c r="F322" s="4" vm="2989">
        <v>294.14999999999998</v>
      </c>
      <c r="G322" s="4" vm="2990">
        <v>64.48</v>
      </c>
    </row>
    <row r="323" spans="1:7" x14ac:dyDescent="0.3">
      <c r="A323" vm="643">
        <v>45643</v>
      </c>
      <c r="B323" s="4" vm="644">
        <v>24336</v>
      </c>
      <c r="C323" s="4" vm="1744">
        <v>1409.7</v>
      </c>
      <c r="D323" s="4" vm="2991">
        <v>4742.6499999999996</v>
      </c>
      <c r="E323" s="4" vm="2992">
        <v>1101.4749999999999</v>
      </c>
      <c r="F323" s="4" vm="2993">
        <v>296.8</v>
      </c>
      <c r="G323" s="4" vm="2994">
        <v>64.099999999999994</v>
      </c>
    </row>
    <row r="324" spans="1:7" x14ac:dyDescent="0.3">
      <c r="A324" vm="645">
        <v>45644</v>
      </c>
      <c r="B324" s="4" vm="646">
        <v>24198.85</v>
      </c>
      <c r="C324" s="4" vm="2995">
        <v>1398</v>
      </c>
      <c r="D324" s="4" vm="2996">
        <v>4749.8500000000004</v>
      </c>
      <c r="E324" s="4" vm="2997">
        <v>1094.0250000000001</v>
      </c>
      <c r="F324" s="4" vm="2998">
        <v>291.89999999999998</v>
      </c>
      <c r="G324" s="4" vm="2919">
        <v>64.38</v>
      </c>
    </row>
    <row r="325" spans="1:7" x14ac:dyDescent="0.3">
      <c r="A325" vm="647">
        <v>45645</v>
      </c>
      <c r="B325" s="4" vm="648">
        <v>23951.7</v>
      </c>
      <c r="C325" s="4" vm="2999">
        <v>1405.9</v>
      </c>
      <c r="D325" s="4" vm="3000">
        <v>4771.95</v>
      </c>
      <c r="E325" s="4" vm="3001">
        <v>1080.2</v>
      </c>
      <c r="F325" s="4" vm="3002">
        <v>288.5</v>
      </c>
      <c r="G325" s="4" vm="3003">
        <v>63.78</v>
      </c>
    </row>
    <row r="326" spans="1:7" x14ac:dyDescent="0.3">
      <c r="A326" vm="649">
        <v>45646</v>
      </c>
      <c r="B326" s="4" vm="650">
        <v>23587.5</v>
      </c>
      <c r="C326" s="4" vm="3004">
        <v>1400.6</v>
      </c>
      <c r="D326" s="4" vm="3005">
        <v>4734.5</v>
      </c>
      <c r="E326" s="4" vm="3006">
        <v>1081.75</v>
      </c>
      <c r="F326" s="4" vm="3007">
        <v>282.10000000000002</v>
      </c>
      <c r="G326" s="4" vm="3008">
        <v>63.32</v>
      </c>
    </row>
    <row r="327" spans="1:7" x14ac:dyDescent="0.3">
      <c r="A327" vm="651">
        <v>45649</v>
      </c>
      <c r="B327" s="4" vm="652">
        <v>23753.45</v>
      </c>
      <c r="C327" s="4" vm="3009">
        <v>1405.3</v>
      </c>
      <c r="D327" s="4" vm="3010">
        <v>4750.55</v>
      </c>
      <c r="E327" s="4" vm="3011">
        <v>1075.8</v>
      </c>
      <c r="F327" s="4" vm="3012">
        <v>273.95</v>
      </c>
      <c r="G327" s="4" vm="3013">
        <v>63.97</v>
      </c>
    </row>
    <row r="328" spans="1:7" x14ac:dyDescent="0.3">
      <c r="A328" vm="653">
        <v>45650</v>
      </c>
      <c r="B328" s="4" vm="654">
        <v>23727.65</v>
      </c>
      <c r="C328" s="4" vm="3014">
        <v>1387</v>
      </c>
      <c r="D328" s="4" vm="3015">
        <v>4792.8999999999996</v>
      </c>
      <c r="E328" s="4" vm="3016">
        <v>1083.3499999999999</v>
      </c>
      <c r="F328" s="4" vm="3017">
        <v>274.85000000000002</v>
      </c>
      <c r="G328" s="4" vm="3018">
        <v>63.68</v>
      </c>
    </row>
    <row r="329" spans="1:7" x14ac:dyDescent="0.3">
      <c r="A329" vm="655">
        <v>45652</v>
      </c>
      <c r="B329" s="4" vm="656">
        <v>23750.2</v>
      </c>
      <c r="C329" s="4" vm="3019">
        <v>1409.05</v>
      </c>
      <c r="D329" s="4" vm="3020">
        <v>4801.3500000000004</v>
      </c>
      <c r="E329" s="4" vm="3021">
        <v>1074.95</v>
      </c>
      <c r="F329" s="4" vm="3022">
        <v>273.2</v>
      </c>
      <c r="G329" s="4" vm="3023">
        <v>64</v>
      </c>
    </row>
    <row r="330" spans="1:7" x14ac:dyDescent="0.3">
      <c r="A330" vm="657">
        <v>45653</v>
      </c>
      <c r="B330" s="4" vm="658">
        <v>23813.4</v>
      </c>
      <c r="C330" s="4" vm="3009">
        <v>1405.3</v>
      </c>
      <c r="D330" s="4" vm="2407">
        <v>4876.8999999999996</v>
      </c>
      <c r="E330" s="4" vm="3024">
        <v>1082.8</v>
      </c>
      <c r="F330" s="4" vm="3025">
        <v>271.25</v>
      </c>
      <c r="G330" s="4" vm="3026">
        <v>64.209999999999994</v>
      </c>
    </row>
    <row r="331" spans="1:7" x14ac:dyDescent="0.3">
      <c r="A331" vm="659">
        <v>45656</v>
      </c>
      <c r="B331" s="4" vm="660">
        <v>23644.9</v>
      </c>
      <c r="C331" s="4" vm="3027">
        <v>1403.85</v>
      </c>
      <c r="D331" s="4" vm="3028">
        <v>4855.8</v>
      </c>
      <c r="E331" s="4" vm="3029">
        <v>1079.95</v>
      </c>
      <c r="F331" s="4" vm="3007">
        <v>282.10000000000002</v>
      </c>
      <c r="G331" s="4" vm="3023">
        <v>64</v>
      </c>
    </row>
    <row r="332" spans="1:7" x14ac:dyDescent="0.3">
      <c r="A332" vm="661">
        <v>45657</v>
      </c>
      <c r="B332" s="4" vm="662">
        <v>23644.799999999999</v>
      </c>
      <c r="C332" s="4" vm="3030">
        <v>1390.4</v>
      </c>
      <c r="D332" s="4" vm="3031">
        <v>4821.8999999999996</v>
      </c>
      <c r="E332" s="4" vm="3032">
        <v>1085.0250000000001</v>
      </c>
      <c r="F332" s="4" vm="3033">
        <v>278.05</v>
      </c>
      <c r="G332" s="4" vm="3034">
        <v>64.09</v>
      </c>
    </row>
    <row r="333" spans="1:7" x14ac:dyDescent="0.3">
      <c r="A333" vm="663">
        <v>45658</v>
      </c>
      <c r="B333" s="4" vm="664">
        <v>23742.9</v>
      </c>
      <c r="C333" s="4" vm="3035">
        <v>1400.4</v>
      </c>
      <c r="D333" s="4" vm="3036">
        <v>4885.3</v>
      </c>
      <c r="E333" s="4" vm="3037">
        <v>1084.625</v>
      </c>
      <c r="F333" s="4" vm="3038">
        <v>276.5</v>
      </c>
      <c r="G333" s="4" vm="3039">
        <v>64.349999999999994</v>
      </c>
    </row>
    <row r="334" spans="1:7" x14ac:dyDescent="0.3">
      <c r="A334" vm="665">
        <v>45659</v>
      </c>
      <c r="B334" s="4" vm="666">
        <v>24188.65</v>
      </c>
      <c r="C334" s="4" vm="3040">
        <v>1422.25</v>
      </c>
      <c r="D334" s="4" vm="3041">
        <v>5308.1</v>
      </c>
      <c r="E334" s="4" vm="3042">
        <v>1100.0999999999999</v>
      </c>
      <c r="F334" s="4" vm="3043">
        <v>284.60000000000002</v>
      </c>
      <c r="G334" s="4" vm="3044">
        <v>64.599999999999994</v>
      </c>
    </row>
    <row r="335" spans="1:7" x14ac:dyDescent="0.3">
      <c r="A335" vm="667">
        <v>45660</v>
      </c>
      <c r="B335" s="4" vm="668">
        <v>24004.75</v>
      </c>
      <c r="C335" s="4" vm="3045">
        <v>1447.7</v>
      </c>
      <c r="D335" s="4" vm="3046">
        <v>5310.75</v>
      </c>
      <c r="E335" s="4" vm="3047">
        <v>1116.3499999999999</v>
      </c>
      <c r="F335" s="4" vm="3048">
        <v>272.85000000000002</v>
      </c>
      <c r="G335" s="4" vm="3049">
        <v>65.069999999999993</v>
      </c>
    </row>
    <row r="336" spans="1:7" x14ac:dyDescent="0.3">
      <c r="A336" vm="669">
        <v>45663</v>
      </c>
      <c r="B336" s="4" vm="670">
        <v>23616.05</v>
      </c>
      <c r="C336" s="4" vm="3050">
        <v>1434.65</v>
      </c>
      <c r="D336" s="4" vm="3051">
        <v>5250.1</v>
      </c>
      <c r="E336" s="4" vm="3052">
        <v>1092.5</v>
      </c>
      <c r="F336" s="4" vm="3053">
        <v>264.85000000000002</v>
      </c>
      <c r="G336" s="4" vm="2985">
        <v>64.61</v>
      </c>
    </row>
    <row r="337" spans="1:7" x14ac:dyDescent="0.3">
      <c r="A337" vm="671">
        <v>45664</v>
      </c>
      <c r="B337" s="4" vm="672">
        <v>23707.9</v>
      </c>
      <c r="C337" s="4" vm="3054">
        <v>1477.75</v>
      </c>
      <c r="D337" s="4" vm="3055">
        <v>5177.3</v>
      </c>
      <c r="E337" s="4" vm="3056">
        <v>1106.325</v>
      </c>
      <c r="F337" s="4" vm="3057">
        <v>252.45</v>
      </c>
      <c r="G337" s="4" vm="3058">
        <v>64.77</v>
      </c>
    </row>
    <row r="338" spans="1:7" x14ac:dyDescent="0.3">
      <c r="A338" vm="673">
        <v>45665</v>
      </c>
      <c r="B338" s="4" vm="674">
        <v>23688.95</v>
      </c>
      <c r="C338" s="4" vm="3059">
        <v>1463.15</v>
      </c>
      <c r="D338" s="4" vm="3060">
        <v>5163.2</v>
      </c>
      <c r="E338" s="4" vm="3061">
        <v>1109.95</v>
      </c>
      <c r="F338" s="4" vm="3062">
        <v>250.05</v>
      </c>
      <c r="G338" s="4" vm="3063">
        <v>65.12</v>
      </c>
    </row>
    <row r="339" spans="1:7" x14ac:dyDescent="0.3">
      <c r="A339" vm="675">
        <v>45666</v>
      </c>
      <c r="B339" s="4" vm="676">
        <v>23526.5</v>
      </c>
      <c r="C339" s="4" vm="3064">
        <v>1468.45</v>
      </c>
      <c r="D339" s="4" vm="3065">
        <v>5139.8999999999996</v>
      </c>
      <c r="E339" s="4" vm="3066">
        <v>1128.0250000000001</v>
      </c>
      <c r="F339" s="4" vm="3067">
        <v>245.35</v>
      </c>
      <c r="G339" s="4" vm="3068">
        <v>65.400000000000006</v>
      </c>
    </row>
    <row r="340" spans="1:7" x14ac:dyDescent="0.3">
      <c r="A340" vm="677">
        <v>45667</v>
      </c>
      <c r="B340" s="4" vm="678">
        <v>23431.5</v>
      </c>
      <c r="C340" s="4" vm="3069">
        <v>1478.3</v>
      </c>
      <c r="D340" s="4" vm="3070">
        <v>5058.45</v>
      </c>
      <c r="E340" s="4" vm="3071">
        <v>1123.95</v>
      </c>
      <c r="F340" s="4" vm="3072">
        <v>242.95</v>
      </c>
      <c r="G340" s="4" vm="3073">
        <v>65.930000000000007</v>
      </c>
    </row>
    <row r="341" spans="1:7" x14ac:dyDescent="0.3">
      <c r="A341" vm="679">
        <v>45670</v>
      </c>
      <c r="B341" s="4" vm="680">
        <v>23085.95</v>
      </c>
      <c r="C341" s="4" vm="3074">
        <v>1467.4</v>
      </c>
      <c r="D341" s="4" vm="3075">
        <v>4939.1000000000004</v>
      </c>
      <c r="E341" s="4" vm="3076">
        <v>1118.675</v>
      </c>
      <c r="F341" s="4" vm="3077">
        <v>227.15</v>
      </c>
      <c r="G341" s="4" vm="3078">
        <v>66.25</v>
      </c>
    </row>
    <row r="342" spans="1:7" x14ac:dyDescent="0.3">
      <c r="A342" vm="681">
        <v>45671</v>
      </c>
      <c r="B342" s="4" vm="682">
        <v>23176.05</v>
      </c>
      <c r="C342" s="4" vm="3079">
        <v>1499.25</v>
      </c>
      <c r="D342" s="4" vm="3080">
        <v>5029.55</v>
      </c>
      <c r="E342" s="4" vm="3081">
        <v>1109.5250000000001</v>
      </c>
      <c r="F342" s="4" vm="3082">
        <v>233.6</v>
      </c>
      <c r="G342" s="4" vm="3083">
        <v>66.040000000000006</v>
      </c>
    </row>
    <row r="343" spans="1:7" x14ac:dyDescent="0.3">
      <c r="A343" vm="683">
        <v>45672</v>
      </c>
      <c r="B343" s="4" vm="684">
        <v>23213.200000000001</v>
      </c>
      <c r="C343" s="4" vm="3084">
        <v>1472.75</v>
      </c>
      <c r="D343" s="4" vm="3085">
        <v>5081.8999999999996</v>
      </c>
      <c r="E343" s="4" vm="3086">
        <v>1099.825</v>
      </c>
      <c r="F343" s="4" vm="3087">
        <v>243.9</v>
      </c>
      <c r="G343" s="4" vm="3088">
        <v>66.260000000000005</v>
      </c>
    </row>
    <row r="344" spans="1:7" x14ac:dyDescent="0.3">
      <c r="A344" vm="685">
        <v>45673</v>
      </c>
      <c r="B344" s="4" vm="686">
        <v>23311.8</v>
      </c>
      <c r="C344" s="4" vm="3089">
        <v>1513.6</v>
      </c>
      <c r="D344" s="4" vm="3090">
        <v>5047.8</v>
      </c>
      <c r="E344" s="4" vm="3091">
        <v>1084.6500000000001</v>
      </c>
      <c r="F344" s="4" vm="3092">
        <v>241.9</v>
      </c>
      <c r="G344" s="4" vm="3093">
        <v>66.59</v>
      </c>
    </row>
    <row r="345" spans="1:7" x14ac:dyDescent="0.3">
      <c r="A345" vm="687">
        <v>45674</v>
      </c>
      <c r="B345" s="4" vm="688">
        <v>23203.200000000001</v>
      </c>
      <c r="C345" s="4" vm="3094">
        <v>1540.5</v>
      </c>
      <c r="D345" s="4" vm="3095">
        <v>5012.3</v>
      </c>
      <c r="E345" s="4" vm="3096">
        <v>1108.5999999999999</v>
      </c>
      <c r="F345" s="4" vm="3097">
        <v>248.8</v>
      </c>
      <c r="G345" s="4" vm="3098">
        <v>66.66</v>
      </c>
    </row>
    <row r="346" spans="1:7" x14ac:dyDescent="0.3">
      <c r="A346" vm="689">
        <v>45677</v>
      </c>
      <c r="B346" s="4" vm="690">
        <v>23344.75</v>
      </c>
      <c r="C346" s="4" vm="3099">
        <v>1499.7</v>
      </c>
      <c r="D346" s="4" vm="3100">
        <v>5016.75</v>
      </c>
      <c r="E346" s="4" vm="3101">
        <v>1107</v>
      </c>
      <c r="F346" s="4" vm="3102">
        <v>239.75</v>
      </c>
      <c r="G346" s="4" vm="3093">
        <v>66.59</v>
      </c>
    </row>
    <row r="347" spans="1:7" x14ac:dyDescent="0.3">
      <c r="A347" vm="691">
        <v>45678</v>
      </c>
      <c r="B347" s="4" vm="692">
        <v>23024.65</v>
      </c>
      <c r="C347" s="4" vm="3103">
        <v>1466.55</v>
      </c>
      <c r="D347" s="4" vm="3104">
        <v>4969.95</v>
      </c>
      <c r="E347" s="4" vm="3105">
        <v>1098.2249999999999</v>
      </c>
      <c r="F347" s="4" vm="3106">
        <v>214.55</v>
      </c>
      <c r="G347" s="4" vm="3107">
        <v>66.95</v>
      </c>
    </row>
    <row r="348" spans="1:7" x14ac:dyDescent="0.3">
      <c r="A348" vm="693">
        <v>45679</v>
      </c>
      <c r="B348" s="4" vm="694">
        <v>23155.35</v>
      </c>
      <c r="C348" s="4" vm="2220">
        <v>1460.05</v>
      </c>
      <c r="D348" s="4" vm="3108">
        <v>5009.7</v>
      </c>
      <c r="E348" s="4" vm="3109">
        <v>1103.9000000000001</v>
      </c>
      <c r="F348" s="4" vm="3110">
        <v>216.45</v>
      </c>
      <c r="G348" s="4" vm="3111">
        <v>67.62</v>
      </c>
    </row>
    <row r="349" spans="1:7" x14ac:dyDescent="0.3">
      <c r="A349" vm="695">
        <v>45680</v>
      </c>
      <c r="B349" s="4" vm="696">
        <v>23205.35</v>
      </c>
      <c r="C349" s="4" vm="3112">
        <v>1449.85</v>
      </c>
      <c r="D349" s="4" vm="3113">
        <v>5116.2</v>
      </c>
      <c r="E349" s="4" vm="3114">
        <v>1099.4749999999999</v>
      </c>
      <c r="F349" s="4" vm="3115">
        <v>221.95</v>
      </c>
      <c r="G349" s="4" vm="3116">
        <v>67.430000000000007</v>
      </c>
    </row>
    <row r="350" spans="1:7" x14ac:dyDescent="0.3">
      <c r="A350" vm="697">
        <v>45681</v>
      </c>
      <c r="B350" s="4" vm="698">
        <v>23092.2</v>
      </c>
      <c r="C350" s="4" vm="3117">
        <v>1440.4</v>
      </c>
      <c r="D350" s="4" vm="3118">
        <v>5206.3</v>
      </c>
      <c r="E350" s="4" vm="3119">
        <v>1103.95</v>
      </c>
      <c r="F350" s="4" vm="3120">
        <v>215.6</v>
      </c>
      <c r="G350" s="4" vm="3121">
        <v>67.77</v>
      </c>
    </row>
    <row r="351" spans="1:7" x14ac:dyDescent="0.3">
      <c r="A351" vm="699">
        <v>45684</v>
      </c>
      <c r="B351" s="4" vm="700">
        <v>22829.15</v>
      </c>
      <c r="C351" s="4" vm="3122">
        <v>1424.4</v>
      </c>
      <c r="D351" s="4" vm="3123">
        <v>5144.5</v>
      </c>
      <c r="E351" s="4" vm="3124">
        <v>1087.375</v>
      </c>
      <c r="F351" s="4" vm="3125">
        <v>206.2</v>
      </c>
      <c r="G351" s="4" vm="3126">
        <v>67.69</v>
      </c>
    </row>
    <row r="352" spans="1:7" x14ac:dyDescent="0.3">
      <c r="A352" vm="701">
        <v>45685</v>
      </c>
      <c r="B352" s="4" vm="702">
        <v>22957.25</v>
      </c>
      <c r="C352" s="4" vm="3127">
        <v>1419.5</v>
      </c>
      <c r="D352" s="4" vm="3128">
        <v>5105.3999999999996</v>
      </c>
      <c r="E352" s="4" vm="3129">
        <v>1078.1500000000001</v>
      </c>
      <c r="F352" s="4" vm="3130">
        <v>208.2</v>
      </c>
      <c r="G352" s="4" vm="3131">
        <v>67.58</v>
      </c>
    </row>
    <row r="353" spans="1:7" x14ac:dyDescent="0.3">
      <c r="A353" vm="703">
        <v>45686</v>
      </c>
      <c r="B353" s="4" vm="704">
        <v>23163.1</v>
      </c>
      <c r="C353" s="4" vm="2245">
        <v>1460.9</v>
      </c>
      <c r="D353" s="4" vm="3132">
        <v>5182.8999999999996</v>
      </c>
      <c r="E353" s="4" vm="3133">
        <v>1090.3499999999999</v>
      </c>
      <c r="F353" s="4" vm="3134">
        <v>222.5</v>
      </c>
      <c r="G353" s="4" vm="3135">
        <v>67.86</v>
      </c>
    </row>
    <row r="354" spans="1:7" x14ac:dyDescent="0.3">
      <c r="A354" vm="705">
        <v>45687</v>
      </c>
      <c r="B354" s="4" vm="706">
        <v>23249.5</v>
      </c>
      <c r="C354" s="4" vm="3136">
        <v>1472.9</v>
      </c>
      <c r="D354" s="4" vm="3137">
        <v>5164.3500000000004</v>
      </c>
      <c r="E354" s="4" vm="3138">
        <v>1108.675</v>
      </c>
      <c r="F354" s="4" vm="3139">
        <v>218.8</v>
      </c>
      <c r="G354" s="4" vm="3140">
        <v>68.09</v>
      </c>
    </row>
    <row r="355" spans="1:7" x14ac:dyDescent="0.3">
      <c r="A355" vm="707">
        <v>45688</v>
      </c>
      <c r="B355" s="4" vm="708">
        <v>23508.400000000001</v>
      </c>
      <c r="C355" s="4" vm="3141">
        <v>1483.6</v>
      </c>
      <c r="D355" s="4" vm="3142">
        <v>5194.3</v>
      </c>
      <c r="E355" s="4" vm="3143">
        <v>1156.5999999999999</v>
      </c>
      <c r="F355" s="4" vm="3144">
        <v>220.35</v>
      </c>
      <c r="G355" s="4" vm="3145">
        <v>69.08</v>
      </c>
    </row>
    <row r="356" spans="1:7" x14ac:dyDescent="0.3">
      <c r="A356" vm="709">
        <v>45689</v>
      </c>
      <c r="B356" s="4" vm="710">
        <v>23482.15</v>
      </c>
      <c r="C356" s="4" vm="3146">
        <v>1454.35</v>
      </c>
      <c r="D356" s="4" vm="3147">
        <v>5390.15</v>
      </c>
      <c r="E356" s="4" vm="3148">
        <v>1163.5999999999999</v>
      </c>
      <c r="F356" s="4" vm="3149">
        <v>236.32</v>
      </c>
      <c r="G356" s="4" vm="3150">
        <v>68.95</v>
      </c>
    </row>
    <row r="357" spans="1:7" x14ac:dyDescent="0.3">
      <c r="A357" vm="711">
        <v>45691</v>
      </c>
      <c r="B357" s="4" vm="712">
        <v>23361.05</v>
      </c>
      <c r="C357" s="4" vm="3151">
        <v>1459.95</v>
      </c>
      <c r="D357" s="4" vm="3152">
        <v>5485.25</v>
      </c>
      <c r="E357" s="4" vm="3153">
        <v>1158.55</v>
      </c>
      <c r="F357" s="4" vm="3154">
        <v>238.2</v>
      </c>
      <c r="G357" s="4" vm="3155">
        <v>69.64</v>
      </c>
    </row>
    <row r="358" spans="1:7" x14ac:dyDescent="0.3">
      <c r="A358" vm="713">
        <v>45692</v>
      </c>
      <c r="B358" s="4" vm="714">
        <v>23739.25</v>
      </c>
      <c r="C358" s="4" vm="3156">
        <v>1472.4</v>
      </c>
      <c r="D358" s="4" vm="3157">
        <v>5450.1</v>
      </c>
      <c r="E358" s="4" vm="3158">
        <v>1149.7249999999999</v>
      </c>
      <c r="F358" s="4" vm="3159">
        <v>234.54</v>
      </c>
      <c r="G358" s="4" vm="3160">
        <v>70.08</v>
      </c>
    </row>
    <row r="359" spans="1:7" x14ac:dyDescent="0.3">
      <c r="A359" vm="715">
        <v>45693</v>
      </c>
      <c r="B359" s="4" vm="716">
        <v>23696.3</v>
      </c>
      <c r="C359" s="4" vm="3161">
        <v>1469.15</v>
      </c>
      <c r="D359" s="4" vm="3162">
        <v>5417.2</v>
      </c>
      <c r="E359" s="4" vm="3163">
        <v>1124.4749999999999</v>
      </c>
      <c r="F359" s="4" vm="3164">
        <v>231.12</v>
      </c>
      <c r="G359" s="4" vm="3165">
        <v>71.569999999999993</v>
      </c>
    </row>
    <row r="360" spans="1:7" x14ac:dyDescent="0.3">
      <c r="A360" vm="717">
        <v>45694</v>
      </c>
      <c r="B360" s="4" vm="718">
        <v>23603.35</v>
      </c>
      <c r="C360" s="4" vm="3166">
        <v>1465.1</v>
      </c>
      <c r="D360" s="4" vm="3167">
        <v>5342</v>
      </c>
      <c r="E360" s="4" vm="3168">
        <v>1119.7249999999999</v>
      </c>
      <c r="F360" s="4" vm="3169">
        <v>229.05</v>
      </c>
      <c r="G360" s="4" vm="3170">
        <v>71.430000000000007</v>
      </c>
    </row>
    <row r="361" spans="1:7" x14ac:dyDescent="0.3">
      <c r="A361" vm="719">
        <v>45695</v>
      </c>
      <c r="B361" s="4" vm="720">
        <v>23559.95</v>
      </c>
      <c r="C361" s="4" vm="3171">
        <v>1470.95</v>
      </c>
      <c r="D361" s="4" vm="3172">
        <v>5372.55</v>
      </c>
      <c r="E361" s="4" vm="3173">
        <v>1112.55</v>
      </c>
      <c r="F361" s="4" vm="3174">
        <v>233.9</v>
      </c>
      <c r="G361" s="4" vm="3175">
        <v>71.540000000000006</v>
      </c>
    </row>
    <row r="362" spans="1:7" x14ac:dyDescent="0.3">
      <c r="A362" vm="721">
        <v>45698</v>
      </c>
      <c r="B362" s="4" vm="722">
        <v>23381.599999999999</v>
      </c>
      <c r="C362" s="4" vm="3176">
        <v>1448.2</v>
      </c>
      <c r="D362" s="4" vm="3177">
        <v>5335.35</v>
      </c>
      <c r="E362" s="4" vm="3178">
        <v>1110.5250000000001</v>
      </c>
      <c r="F362" s="4" vm="3179">
        <v>227.25</v>
      </c>
      <c r="G362" s="4" vm="3180">
        <v>72.52</v>
      </c>
    </row>
    <row r="363" spans="1:7" x14ac:dyDescent="0.3">
      <c r="A363" vm="723">
        <v>45699</v>
      </c>
      <c r="B363" s="4" vm="724">
        <v>23071.8</v>
      </c>
      <c r="C363" s="4" vm="3181">
        <v>1419</v>
      </c>
      <c r="D363" s="4" vm="3182">
        <v>4972.3500000000004</v>
      </c>
      <c r="E363" s="4" vm="3183">
        <v>1097.75</v>
      </c>
      <c r="F363" s="4" vm="3184">
        <v>215.45</v>
      </c>
      <c r="G363" s="4" vm="3185">
        <v>71.98</v>
      </c>
    </row>
    <row r="364" spans="1:7" x14ac:dyDescent="0.3">
      <c r="A364" vm="725">
        <v>45700</v>
      </c>
      <c r="B364" s="4" vm="726">
        <v>23045.25</v>
      </c>
      <c r="C364" s="4" vm="3186">
        <v>1452.15</v>
      </c>
      <c r="D364" s="4" vm="3187">
        <v>4849.45</v>
      </c>
      <c r="E364" s="4" vm="3188">
        <v>1096.875</v>
      </c>
      <c r="F364" s="4" vm="3189">
        <v>214.7</v>
      </c>
      <c r="G364" s="4" vm="3190">
        <v>71.47</v>
      </c>
    </row>
    <row r="365" spans="1:7" x14ac:dyDescent="0.3">
      <c r="A365" vm="727">
        <v>45701</v>
      </c>
      <c r="B365" s="4" vm="728">
        <v>23031.4</v>
      </c>
      <c r="C365" s="4" vm="3191">
        <v>1470.5</v>
      </c>
      <c r="D365" s="4" vm="3192">
        <v>4820.3999999999996</v>
      </c>
      <c r="E365" s="4" vm="3193">
        <v>1088.7750000000001</v>
      </c>
      <c r="F365" s="4" vm="3194">
        <v>217.87</v>
      </c>
      <c r="G365" s="4" vm="3195">
        <v>71.87</v>
      </c>
    </row>
    <row r="366" spans="1:7" x14ac:dyDescent="0.3">
      <c r="A366" vm="729">
        <v>45702</v>
      </c>
      <c r="B366" s="4" vm="730">
        <v>22929.25</v>
      </c>
      <c r="C366" s="4" vm="3196">
        <v>1465.45</v>
      </c>
      <c r="D366" s="4" vm="3197">
        <v>4703.3500000000004</v>
      </c>
      <c r="E366" s="4" vm="3198">
        <v>1097.925</v>
      </c>
      <c r="F366" s="4" vm="3199">
        <v>215.99</v>
      </c>
      <c r="G366" s="4" vm="3200">
        <v>72.22</v>
      </c>
    </row>
    <row r="367" spans="1:7" x14ac:dyDescent="0.3">
      <c r="A367" vm="731">
        <v>45705</v>
      </c>
      <c r="B367" s="4" vm="732">
        <v>22959.5</v>
      </c>
      <c r="C367" s="4" vm="3201">
        <v>1476.2</v>
      </c>
      <c r="D367" s="4" vm="3202">
        <v>4745.2</v>
      </c>
      <c r="E367" s="4" vm="3203">
        <v>1108.25</v>
      </c>
      <c r="F367" s="4" vm="3204">
        <v>218.53</v>
      </c>
      <c r="G367" s="4" vm="3205">
        <v>71.650000000000006</v>
      </c>
    </row>
    <row r="368" spans="1:7" x14ac:dyDescent="0.3">
      <c r="A368" vm="733">
        <v>45706</v>
      </c>
      <c r="B368" s="4" vm="734">
        <v>22945.3</v>
      </c>
      <c r="C368" s="4" vm="3206">
        <v>1475.35</v>
      </c>
      <c r="D368" s="4" vm="3207">
        <v>4719.3999999999996</v>
      </c>
      <c r="E368" s="4" vm="3208">
        <v>1111.2</v>
      </c>
      <c r="F368" s="4" vm="3209">
        <v>223.31</v>
      </c>
      <c r="G368" s="4" vm="3185">
        <v>71.98</v>
      </c>
    </row>
    <row r="369" spans="1:7" x14ac:dyDescent="0.3">
      <c r="A369" vm="735">
        <v>45707</v>
      </c>
      <c r="B369" s="4" vm="736">
        <v>22932.9</v>
      </c>
      <c r="C369" s="4" vm="3210">
        <v>1475.6</v>
      </c>
      <c r="D369" s="4" vm="3211">
        <v>4810.6000000000004</v>
      </c>
      <c r="E369" s="4" vm="3212">
        <v>1102.4749999999999</v>
      </c>
      <c r="F369" s="4" vm="3213">
        <v>234.1</v>
      </c>
      <c r="G369" s="4" vm="3214">
        <v>72.73</v>
      </c>
    </row>
    <row r="370" spans="1:7" x14ac:dyDescent="0.3">
      <c r="A370" vm="737">
        <v>45708</v>
      </c>
      <c r="B370" s="4" vm="738">
        <v>22913.15</v>
      </c>
      <c r="C370" s="4" vm="3215">
        <v>1469.8</v>
      </c>
      <c r="D370" s="4" vm="3216">
        <v>4888.3999999999996</v>
      </c>
      <c r="E370" s="4" vm="3217">
        <v>1103.375</v>
      </c>
      <c r="F370" s="4" vm="3218">
        <v>233.93</v>
      </c>
      <c r="G370" s="4" vm="3219">
        <v>72.489999999999995</v>
      </c>
    </row>
    <row r="371" spans="1:7" x14ac:dyDescent="0.3">
      <c r="A371" vm="739">
        <v>45709</v>
      </c>
      <c r="B371" s="4" vm="740">
        <v>22795.9</v>
      </c>
      <c r="C371" s="4" vm="3220">
        <v>1495.4</v>
      </c>
      <c r="D371" s="4" vm="3221">
        <v>4962.45</v>
      </c>
      <c r="E371" s="4" vm="3222">
        <v>1107.4749999999999</v>
      </c>
      <c r="F371" s="4" vm="3223">
        <v>230.36</v>
      </c>
      <c r="G371" s="4" vm="3224">
        <v>72.08</v>
      </c>
    </row>
    <row r="372" spans="1:7" x14ac:dyDescent="0.3">
      <c r="A372" vm="741">
        <v>45712</v>
      </c>
      <c r="B372" s="4" vm="742">
        <v>22553.35</v>
      </c>
      <c r="C372" s="4" vm="3225">
        <v>1486.5</v>
      </c>
      <c r="D372" s="4" vm="3226">
        <v>5010.8</v>
      </c>
      <c r="E372" s="4" vm="3227">
        <v>1110.2</v>
      </c>
      <c r="F372" s="4" vm="3228">
        <v>222.69</v>
      </c>
      <c r="G372" s="4" vm="3229">
        <v>72.599999999999994</v>
      </c>
    </row>
    <row r="373" spans="1:7" x14ac:dyDescent="0.3">
      <c r="A373" vm="743">
        <v>45713</v>
      </c>
      <c r="B373" s="4" vm="744">
        <v>22547.55</v>
      </c>
      <c r="C373" s="4" vm="3230">
        <v>1471.75</v>
      </c>
      <c r="D373" s="4" vm="3231">
        <v>4989.8</v>
      </c>
      <c r="E373" s="4" vm="3232">
        <v>1125.2</v>
      </c>
      <c r="F373" s="4" vm="3233">
        <v>225.63</v>
      </c>
      <c r="G373" s="4" vm="3234">
        <v>72.75</v>
      </c>
    </row>
    <row r="374" spans="1:7" x14ac:dyDescent="0.3">
      <c r="A374" vm="745">
        <v>45715</v>
      </c>
      <c r="B374" s="4" vm="746">
        <v>22545.05</v>
      </c>
      <c r="C374" s="4" vm="3235">
        <v>1469.75</v>
      </c>
      <c r="D374" s="4" vm="3236">
        <v>4935.5</v>
      </c>
      <c r="E374" s="4" vm="3237">
        <v>1139.0999999999999</v>
      </c>
      <c r="F374" s="4" vm="3238">
        <v>229.04</v>
      </c>
      <c r="G374" s="4" vm="3239">
        <v>71.88</v>
      </c>
    </row>
    <row r="375" spans="1:7" x14ac:dyDescent="0.3">
      <c r="A375" vm="747">
        <v>45716</v>
      </c>
      <c r="B375" s="4" vm="748">
        <v>22124.7</v>
      </c>
      <c r="C375" s="4" vm="3240">
        <v>1430.5</v>
      </c>
      <c r="D375" s="4" vm="3241">
        <v>4773.6000000000004</v>
      </c>
      <c r="E375" s="4" vm="3242">
        <v>1094.825</v>
      </c>
      <c r="F375" s="4" vm="3243">
        <v>222.1</v>
      </c>
      <c r="G375" s="4" vm="3244">
        <v>71.099999999999994</v>
      </c>
    </row>
    <row r="376" spans="1:7" x14ac:dyDescent="0.3">
      <c r="A376" vm="749">
        <v>45719</v>
      </c>
      <c r="B376" s="4" vm="750">
        <v>22119.3</v>
      </c>
      <c r="C376" s="4" vm="3245">
        <v>1408.5</v>
      </c>
      <c r="D376" s="4" vm="3246">
        <v>4906.6000000000004</v>
      </c>
      <c r="E376" s="4" vm="3247">
        <v>1092.7750000000001</v>
      </c>
      <c r="F376" s="4" vm="3248">
        <v>222.14</v>
      </c>
      <c r="G376" s="4" vm="3249">
        <v>71.36</v>
      </c>
    </row>
    <row r="377" spans="1:7" x14ac:dyDescent="0.3">
      <c r="A377" vm="751">
        <v>45720</v>
      </c>
      <c r="B377" s="4" vm="752">
        <v>22082.65</v>
      </c>
      <c r="C377" s="4" vm="3250">
        <v>1393.1</v>
      </c>
      <c r="D377" s="4" vm="3251">
        <v>4815.1000000000004</v>
      </c>
      <c r="E377" s="4" vm="3252">
        <v>1073.25</v>
      </c>
      <c r="F377" s="4" vm="3253">
        <v>227.61</v>
      </c>
      <c r="G377" s="4" vm="3254">
        <v>72.42</v>
      </c>
    </row>
    <row r="378" spans="1:7" x14ac:dyDescent="0.3">
      <c r="A378" vm="753">
        <v>45721</v>
      </c>
      <c r="B378" s="4" vm="754">
        <v>22337.3</v>
      </c>
      <c r="C378" s="4" vm="3255">
        <v>1420.7</v>
      </c>
      <c r="D378" s="4" vm="3256">
        <v>4988.3</v>
      </c>
      <c r="E378" s="4" vm="3257">
        <v>1098.5</v>
      </c>
      <c r="F378" s="4" vm="3258">
        <v>227.02</v>
      </c>
      <c r="G378" s="4" vm="3259">
        <v>72.27</v>
      </c>
    </row>
    <row r="379" spans="1:7" x14ac:dyDescent="0.3">
      <c r="A379" vm="755">
        <v>45722</v>
      </c>
      <c r="B379" s="4" vm="756">
        <v>22544.7</v>
      </c>
      <c r="C379" s="4" vm="3260">
        <v>1421.3</v>
      </c>
      <c r="D379" s="4" vm="3261">
        <v>5094.3999999999996</v>
      </c>
      <c r="E379" s="4" vm="3262">
        <v>1100.5999999999999</v>
      </c>
      <c r="F379" s="4" vm="3263">
        <v>225.43</v>
      </c>
      <c r="G379" s="4" vm="3264">
        <v>71.89</v>
      </c>
    </row>
    <row r="380" spans="1:7" x14ac:dyDescent="0.3">
      <c r="A380" vm="757">
        <v>45723</v>
      </c>
      <c r="B380" s="4" vm="758">
        <v>22552.5</v>
      </c>
      <c r="C380" s="4" vm="3265">
        <v>1411.6</v>
      </c>
      <c r="D380" s="4" vm="3266">
        <v>5100.7</v>
      </c>
      <c r="E380" s="4" vm="3267">
        <v>1119.2249999999999</v>
      </c>
      <c r="F380" s="4" vm="3268">
        <v>216.83</v>
      </c>
      <c r="G380" s="4" vm="3269">
        <v>72.209999999999994</v>
      </c>
    </row>
    <row r="381" spans="1:7" x14ac:dyDescent="0.3">
      <c r="A381" vm="759">
        <v>45726</v>
      </c>
      <c r="B381" s="4" vm="760">
        <v>22460.3</v>
      </c>
      <c r="C381" s="4" vm="3270">
        <v>1419.45</v>
      </c>
      <c r="D381" s="4" vm="3271">
        <v>4990.55</v>
      </c>
      <c r="E381" s="4" vm="3272">
        <v>1124.2</v>
      </c>
      <c r="F381" s="4" vm="3273">
        <v>211.28</v>
      </c>
      <c r="G381" s="4" vm="3274">
        <v>72.17</v>
      </c>
    </row>
    <row r="382" spans="1:7" x14ac:dyDescent="0.3">
      <c r="A382" vm="761">
        <v>45727</v>
      </c>
      <c r="B382" s="4" vm="762">
        <v>22497.9</v>
      </c>
      <c r="C382" s="4" vm="3275">
        <v>1417.25</v>
      </c>
      <c r="D382" s="4" vm="3276">
        <v>4985.55</v>
      </c>
      <c r="E382" s="4" vm="3277">
        <v>1125.7</v>
      </c>
      <c r="F382" s="4" vm="3278">
        <v>208.07</v>
      </c>
      <c r="G382" s="4" vm="3224">
        <v>72.08</v>
      </c>
    </row>
    <row r="383" spans="1:7" x14ac:dyDescent="0.3">
      <c r="A383" vm="763">
        <v>45728</v>
      </c>
      <c r="B383" s="4" vm="764">
        <v>22470.5</v>
      </c>
      <c r="C383" s="4" vm="3279">
        <v>1409</v>
      </c>
      <c r="D383" s="4" vm="3280">
        <v>5017.45</v>
      </c>
      <c r="E383" s="4" vm="3183">
        <v>1097.75</v>
      </c>
      <c r="F383" s="4" vm="3281">
        <v>205.46</v>
      </c>
      <c r="G383" s="4" vm="3282">
        <v>72.319999999999993</v>
      </c>
    </row>
    <row r="384" spans="1:7" x14ac:dyDescent="0.3">
      <c r="A384" vm="765">
        <v>45729</v>
      </c>
      <c r="B384" s="4" vm="766">
        <v>22397.200000000001</v>
      </c>
      <c r="C384" s="4" vm="3283">
        <v>1385.55</v>
      </c>
      <c r="D384" s="4" vm="3284">
        <v>5015.25</v>
      </c>
      <c r="E384" s="4" vm="3285">
        <v>1095.9749999999999</v>
      </c>
      <c r="F384" s="4" vm="3286">
        <v>201.43</v>
      </c>
      <c r="G384" s="4" vm="3287">
        <v>72.819999999999993</v>
      </c>
    </row>
    <row r="385" spans="1:7" x14ac:dyDescent="0.3">
      <c r="A385" vm="767">
        <v>45733</v>
      </c>
      <c r="B385" s="4" vm="768">
        <v>22508.75</v>
      </c>
      <c r="C385" s="4" vm="3288">
        <v>1434.25</v>
      </c>
      <c r="D385" s="4" vm="3289">
        <v>5050.25</v>
      </c>
      <c r="E385" s="4" vm="3290">
        <v>1087.175</v>
      </c>
      <c r="F385" s="4" vm="3291">
        <v>203.69</v>
      </c>
      <c r="G385" s="4" vm="3292">
        <v>73.53</v>
      </c>
    </row>
    <row r="386" spans="1:7" x14ac:dyDescent="0.3">
      <c r="A386" vm="769">
        <v>45734</v>
      </c>
      <c r="B386" s="4" vm="770">
        <v>22834.3</v>
      </c>
      <c r="C386" s="4" vm="3293">
        <v>1457.5</v>
      </c>
      <c r="D386" s="4" vm="3294">
        <v>5127.3999999999996</v>
      </c>
      <c r="E386" s="4" vm="3295">
        <v>1101.0250000000001</v>
      </c>
      <c r="F386" s="4" vm="3296">
        <v>218.19</v>
      </c>
      <c r="G386" s="4" vm="3297">
        <v>74.13</v>
      </c>
    </row>
    <row r="387" spans="1:7" x14ac:dyDescent="0.3">
      <c r="A387" vm="771">
        <v>45735</v>
      </c>
      <c r="B387" s="4" vm="772">
        <v>22907.599999999999</v>
      </c>
      <c r="C387" s="4" vm="3298">
        <v>1484.9</v>
      </c>
      <c r="D387" s="4" vm="3299">
        <v>5100.8999999999996</v>
      </c>
      <c r="E387" s="4" vm="3300">
        <v>1092</v>
      </c>
      <c r="F387" s="4" vm="3301">
        <v>223.53</v>
      </c>
      <c r="G387" s="4" vm="3302">
        <v>74.25</v>
      </c>
    </row>
    <row r="388" spans="1:7" x14ac:dyDescent="0.3">
      <c r="A388" vm="773">
        <v>45736</v>
      </c>
      <c r="B388" s="4" vm="774">
        <v>23190.65</v>
      </c>
      <c r="C388" s="4" vm="3303">
        <v>1498.35</v>
      </c>
      <c r="D388" s="4" vm="3304">
        <v>5229.3500000000004</v>
      </c>
      <c r="E388" s="4" vm="3305">
        <v>1110.7750000000001</v>
      </c>
      <c r="F388" s="4" vm="3306">
        <v>224.47</v>
      </c>
      <c r="G388" s="4" vm="3307">
        <v>74.489999999999995</v>
      </c>
    </row>
    <row r="389" spans="1:7" x14ac:dyDescent="0.3">
      <c r="A389" vm="775">
        <v>45737</v>
      </c>
      <c r="B389" s="4" vm="776">
        <v>23350.400000000001</v>
      </c>
      <c r="C389" s="4" vm="3308">
        <v>1546.4</v>
      </c>
      <c r="D389" s="4" vm="3309">
        <v>5305.95</v>
      </c>
      <c r="E389" s="4" vm="3310">
        <v>1134.425</v>
      </c>
      <c r="F389" s="4" vm="3311">
        <v>227.52</v>
      </c>
      <c r="G389" s="4" vm="3312">
        <v>73.95</v>
      </c>
    </row>
    <row r="390" spans="1:7" x14ac:dyDescent="0.3">
      <c r="A390" vm="777">
        <v>45740</v>
      </c>
      <c r="B390" s="4" vm="778">
        <v>23658.35</v>
      </c>
      <c r="C390" s="4" vm="3313">
        <v>1569.8</v>
      </c>
      <c r="D390" s="4" vm="3314">
        <v>5424.2</v>
      </c>
      <c r="E390" s="4" vm="3315">
        <v>1131.7750000000001</v>
      </c>
      <c r="F390" s="4" vm="3316">
        <v>222.8</v>
      </c>
      <c r="G390" s="4" vm="3317">
        <v>73</v>
      </c>
    </row>
    <row r="391" spans="1:7" x14ac:dyDescent="0.3">
      <c r="A391" vm="779">
        <v>45741</v>
      </c>
      <c r="B391" s="4" vm="780">
        <v>23668.65</v>
      </c>
      <c r="C391" s="4" vm="3318">
        <v>1557.2</v>
      </c>
      <c r="D391" s="4" vm="3319">
        <v>5431.25</v>
      </c>
      <c r="E391" s="4" vm="3320">
        <v>1127.425</v>
      </c>
      <c r="F391" s="4" vm="3321">
        <v>209.81</v>
      </c>
      <c r="G391" s="4" vm="3322">
        <v>73.23</v>
      </c>
    </row>
    <row r="392" spans="1:7" x14ac:dyDescent="0.3">
      <c r="A392" vm="781">
        <v>45742</v>
      </c>
      <c r="B392" s="4" vm="782">
        <v>23486.85</v>
      </c>
      <c r="C392" s="4" vm="3323">
        <v>1541.3</v>
      </c>
      <c r="D392" s="4" vm="3324">
        <v>5403.3</v>
      </c>
      <c r="E392" s="4" vm="3325">
        <v>1121.7249999999999</v>
      </c>
      <c r="F392" s="4" vm="3326">
        <v>203.29</v>
      </c>
      <c r="G392" s="4" vm="3327">
        <v>73.25</v>
      </c>
    </row>
    <row r="393" spans="1:7" x14ac:dyDescent="0.3">
      <c r="A393" vm="783">
        <v>45743</v>
      </c>
      <c r="B393" s="4" vm="784">
        <v>23591.95</v>
      </c>
      <c r="C393" s="4" vm="3328">
        <v>1544.9</v>
      </c>
      <c r="D393" s="4" vm="3329">
        <v>5345.75</v>
      </c>
      <c r="E393" s="4" vm="3330">
        <v>1121.0250000000001</v>
      </c>
      <c r="F393" s="4" vm="3331">
        <v>206.28</v>
      </c>
      <c r="G393" s="4" vm="3332">
        <v>73.8</v>
      </c>
    </row>
    <row r="394" spans="1:7" x14ac:dyDescent="0.3">
      <c r="A394" vm="785">
        <v>45744</v>
      </c>
      <c r="B394" s="4" vm="786">
        <v>23519.35</v>
      </c>
      <c r="C394" s="4" vm="3333">
        <v>1547.85</v>
      </c>
      <c r="D394" s="4" vm="3334">
        <v>5347.7</v>
      </c>
      <c r="E394" s="4" vm="3335">
        <v>1125.375</v>
      </c>
      <c r="F394" s="4" vm="3336">
        <v>201.7</v>
      </c>
      <c r="G394" s="4" vm="3337">
        <v>74.16</v>
      </c>
    </row>
    <row r="395" spans="1:7" x14ac:dyDescent="0.3">
      <c r="A395" vm="787">
        <v>45748</v>
      </c>
      <c r="B395" s="4" vm="788">
        <v>23165.7</v>
      </c>
      <c r="C395" s="4" vm="3338">
        <v>1545.25</v>
      </c>
      <c r="D395" s="4" vm="3339">
        <v>5307.2</v>
      </c>
      <c r="E395" s="4" vm="3340">
        <v>1117</v>
      </c>
      <c r="F395" s="4" vm="3341">
        <v>202.01</v>
      </c>
      <c r="G395" s="4" vm="3342">
        <v>76.72</v>
      </c>
    </row>
    <row r="396" spans="1:7" x14ac:dyDescent="0.3">
      <c r="A396" vm="789">
        <v>45749</v>
      </c>
      <c r="B396" s="4" vm="790">
        <v>23332.35</v>
      </c>
      <c r="C396" s="4" vm="3343">
        <v>1559.85</v>
      </c>
      <c r="D396" s="4" vm="3344">
        <v>5355.5</v>
      </c>
      <c r="E396" s="4" vm="3345">
        <v>1105.3499999999999</v>
      </c>
      <c r="F396" s="4" vm="3346">
        <v>212.03</v>
      </c>
      <c r="G396" s="4" vm="3347">
        <v>76.23</v>
      </c>
    </row>
    <row r="397" spans="1:7" x14ac:dyDescent="0.3">
      <c r="A397" vm="791">
        <v>45750</v>
      </c>
      <c r="B397" s="4" vm="792">
        <v>23250.1</v>
      </c>
      <c r="C397" s="4" vm="3348">
        <v>1542.25</v>
      </c>
      <c r="D397" s="4" vm="3349">
        <v>5379.15</v>
      </c>
      <c r="E397" s="4" vm="3350">
        <v>1122.825</v>
      </c>
      <c r="F397" s="4" vm="3351">
        <v>210.9</v>
      </c>
      <c r="G397" s="4" vm="3352">
        <v>75.849999999999994</v>
      </c>
    </row>
    <row r="398" spans="1:7" x14ac:dyDescent="0.3">
      <c r="A398" vm="793">
        <v>45751</v>
      </c>
      <c r="B398" s="4" vm="794">
        <v>22904.45</v>
      </c>
      <c r="C398" s="4" vm="3353">
        <v>1512.6</v>
      </c>
      <c r="D398" s="4" vm="3354">
        <v>5247.9</v>
      </c>
      <c r="E398" s="4" vm="3355">
        <v>1131.075</v>
      </c>
      <c r="F398" s="4" vm="3356">
        <v>210.53</v>
      </c>
      <c r="G398" s="4" vm="3357">
        <v>74.989999999999995</v>
      </c>
    </row>
    <row r="399" spans="1:7" x14ac:dyDescent="0.3">
      <c r="A399" vm="795">
        <v>45754</v>
      </c>
      <c r="B399" s="4" vm="796">
        <v>22161.599999999999</v>
      </c>
      <c r="C399" s="4" vm="2158">
        <v>1460.8</v>
      </c>
      <c r="D399" s="4" vm="3358">
        <v>5065.25</v>
      </c>
      <c r="E399" s="4" vm="3359">
        <v>1124.5</v>
      </c>
      <c r="F399" s="4" vm="3360">
        <v>209.63</v>
      </c>
      <c r="G399" s="4" vm="3361">
        <v>73.83</v>
      </c>
    </row>
    <row r="400" spans="1:7" x14ac:dyDescent="0.3">
      <c r="A400" vm="797">
        <v>45755</v>
      </c>
      <c r="B400" s="4" vm="798">
        <v>22535.85</v>
      </c>
      <c r="C400" s="4" vm="3362">
        <v>1488</v>
      </c>
      <c r="D400" s="4" vm="3363">
        <v>5231.3500000000004</v>
      </c>
      <c r="E400" s="4" vm="3364">
        <v>1137.7</v>
      </c>
      <c r="F400" s="4" vm="3365">
        <v>215.19</v>
      </c>
      <c r="G400" s="4" vm="3366">
        <v>73.680000000000007</v>
      </c>
    </row>
    <row r="401" spans="1:7" x14ac:dyDescent="0.3">
      <c r="A401" vm="799">
        <v>45756</v>
      </c>
      <c r="B401" s="4" vm="800">
        <v>22399.15</v>
      </c>
      <c r="C401" s="4" vm="3367">
        <v>1481.65</v>
      </c>
      <c r="D401" s="4" vm="3368">
        <v>5258.3</v>
      </c>
      <c r="E401" s="4" vm="3369">
        <v>1172.425</v>
      </c>
      <c r="F401" s="4" vm="3370">
        <v>211.39</v>
      </c>
      <c r="G401" s="4" vm="3371">
        <v>74.89</v>
      </c>
    </row>
    <row r="402" spans="1:7" x14ac:dyDescent="0.3">
      <c r="A402" vm="801">
        <v>45758</v>
      </c>
      <c r="B402" s="4" vm="802">
        <v>22828.55</v>
      </c>
      <c r="C402" s="4" vm="3372">
        <v>1521.9</v>
      </c>
      <c r="D402" s="4" vm="3373">
        <v>5350.9</v>
      </c>
      <c r="E402" s="4" vm="3374">
        <v>1180.7</v>
      </c>
      <c r="F402" s="4" vm="3375">
        <v>217.2</v>
      </c>
      <c r="G402" s="4" vm="3376">
        <v>77.900000000000006</v>
      </c>
    </row>
    <row r="403" spans="1:7" x14ac:dyDescent="0.3">
      <c r="A403" vm="803">
        <v>45762</v>
      </c>
      <c r="B403" s="4" vm="804">
        <v>23328.55</v>
      </c>
      <c r="C403" s="4" vm="2895">
        <v>1562.6</v>
      </c>
      <c r="D403" s="4" vm="3377">
        <v>5529</v>
      </c>
      <c r="E403" s="4" vm="3378">
        <v>1183.95</v>
      </c>
      <c r="F403" s="4" vm="3379">
        <v>222.23</v>
      </c>
      <c r="G403" s="4" vm="3380">
        <v>77.66</v>
      </c>
    </row>
    <row r="404" spans="1:7" x14ac:dyDescent="0.3">
      <c r="A404" vm="805">
        <v>45763</v>
      </c>
      <c r="B404" s="4" vm="806">
        <v>23437.200000000001</v>
      </c>
      <c r="C404" s="4" vm="3381">
        <v>1565.4</v>
      </c>
      <c r="D404" s="4" vm="3382">
        <v>5615.5</v>
      </c>
      <c r="E404" s="4" vm="3383">
        <v>1191.6500000000001</v>
      </c>
      <c r="F404" s="4" vm="3384">
        <v>222.08</v>
      </c>
      <c r="G404" s="4" vm="3385">
        <v>79.23</v>
      </c>
    </row>
    <row r="405" spans="1:7" x14ac:dyDescent="0.3">
      <c r="A405" vm="807">
        <v>45764</v>
      </c>
      <c r="B405" s="4" vm="808">
        <v>23851.65</v>
      </c>
      <c r="C405" s="4" vm="3386">
        <v>1608.2</v>
      </c>
      <c r="D405" s="4" vm="3387">
        <v>5678.5</v>
      </c>
      <c r="E405" s="4" vm="3388">
        <v>1208.3</v>
      </c>
      <c r="F405" s="4" vm="3389">
        <v>231.6</v>
      </c>
      <c r="G405" s="4" vm="3390">
        <v>79.53</v>
      </c>
    </row>
    <row r="406" spans="1:7" x14ac:dyDescent="0.3">
      <c r="A406" vm="809">
        <v>45768</v>
      </c>
      <c r="B406" s="4" vm="810">
        <v>24125.55</v>
      </c>
      <c r="C406" s="4" vm="3391">
        <v>1628.5</v>
      </c>
      <c r="D406" s="4" vm="3392">
        <v>5810.5</v>
      </c>
      <c r="E406" s="4" vm="3393">
        <v>1199.7</v>
      </c>
      <c r="F406" s="4" vm="3394">
        <v>234.24</v>
      </c>
      <c r="G406" s="4" vm="3395">
        <v>81.069999999999993</v>
      </c>
    </row>
    <row r="407" spans="1:7" x14ac:dyDescent="0.3">
      <c r="A407" vm="811">
        <v>45769</v>
      </c>
      <c r="B407" s="4" vm="812">
        <v>24167.25</v>
      </c>
      <c r="C407" s="4" vm="3396">
        <v>1619</v>
      </c>
      <c r="D407" s="4" vm="3397">
        <v>5784</v>
      </c>
      <c r="E407" s="4" vm="3398">
        <v>1203.6500000000001</v>
      </c>
      <c r="F407" s="4" vm="3399">
        <v>237.47</v>
      </c>
      <c r="G407" s="4" vm="3400">
        <v>82.9</v>
      </c>
    </row>
    <row r="408" spans="1:7" x14ac:dyDescent="0.3">
      <c r="A408" vm="813">
        <v>45770</v>
      </c>
      <c r="B408" s="4" vm="814">
        <v>24328.95</v>
      </c>
      <c r="C408" s="4" vm="3401">
        <v>1615.5</v>
      </c>
      <c r="D408" s="4" vm="3402">
        <v>5740</v>
      </c>
      <c r="E408" s="4" vm="3403">
        <v>1216.7</v>
      </c>
      <c r="F408" s="4" vm="3404">
        <v>239.24</v>
      </c>
      <c r="G408" s="4" vm="3405">
        <v>80.39</v>
      </c>
    </row>
    <row r="409" spans="1:7" x14ac:dyDescent="0.3">
      <c r="A409" vm="815">
        <v>45771</v>
      </c>
      <c r="B409" s="4" vm="816">
        <v>24246.7</v>
      </c>
      <c r="C409" s="4" vm="3386">
        <v>1608.2</v>
      </c>
      <c r="D409" s="4" vm="3406">
        <v>5650.5</v>
      </c>
      <c r="E409" s="4" vm="3407">
        <v>1216.5999999999999</v>
      </c>
      <c r="F409" s="4" vm="3408">
        <v>236.38</v>
      </c>
      <c r="G409" s="4" vm="3409">
        <v>80.510000000000005</v>
      </c>
    </row>
    <row r="410" spans="1:7" x14ac:dyDescent="0.3">
      <c r="A410" vm="817">
        <v>45772</v>
      </c>
      <c r="B410" s="4" vm="818">
        <v>24039.35</v>
      </c>
      <c r="C410" s="4" vm="3410">
        <v>1695.1</v>
      </c>
      <c r="D410" s="4" vm="3411">
        <v>5575.5</v>
      </c>
      <c r="E410" s="4" vm="3412">
        <v>1206.75</v>
      </c>
      <c r="F410" s="4" vm="3413">
        <v>228.81</v>
      </c>
      <c r="G410" s="4" vm="3414">
        <v>80.03</v>
      </c>
    </row>
    <row r="411" spans="1:7" x14ac:dyDescent="0.3">
      <c r="A411" vm="819">
        <v>45775</v>
      </c>
      <c r="B411" s="4" vm="820">
        <v>24328.5</v>
      </c>
      <c r="C411" s="4" vm="3415">
        <v>1736.1</v>
      </c>
      <c r="D411" s="4" vm="3416">
        <v>5622</v>
      </c>
      <c r="E411" s="4" vm="3417">
        <v>1203</v>
      </c>
      <c r="F411" s="4" vm="3418">
        <v>227.21</v>
      </c>
      <c r="G411" s="4" vm="3419">
        <v>79.05</v>
      </c>
    </row>
    <row r="412" spans="1:7" x14ac:dyDescent="0.3">
      <c r="A412" vm="821">
        <v>45776</v>
      </c>
      <c r="B412" s="4" vm="822">
        <v>24335.95</v>
      </c>
      <c r="C412" s="4" vm="3420">
        <v>1730.1</v>
      </c>
      <c r="D412" s="4" vm="3421">
        <v>5579</v>
      </c>
      <c r="E412" s="4" vm="3422">
        <v>1193.75</v>
      </c>
      <c r="F412" s="4" vm="3423">
        <v>231.11</v>
      </c>
      <c r="G412" s="4" vm="3424">
        <v>80.040000000000006</v>
      </c>
    </row>
    <row r="413" spans="1:7" x14ac:dyDescent="0.3">
      <c r="A413" vm="823">
        <v>45777</v>
      </c>
      <c r="B413" s="4" vm="824">
        <v>24334.2</v>
      </c>
      <c r="C413" s="4" vm="3425">
        <v>1765.8</v>
      </c>
      <c r="D413" s="4" vm="3426">
        <v>5567</v>
      </c>
      <c r="E413" s="4" vm="3427">
        <v>1194.0999999999999</v>
      </c>
      <c r="F413" s="4" vm="3428">
        <v>232.52</v>
      </c>
      <c r="G413" s="4" vm="3429">
        <v>79.09</v>
      </c>
    </row>
    <row r="414" spans="1:7" x14ac:dyDescent="0.3">
      <c r="A414" vm="825">
        <v>45779</v>
      </c>
      <c r="B414" s="4" vm="826">
        <v>24346.7</v>
      </c>
      <c r="C414" s="4" vm="3430">
        <v>1764.7</v>
      </c>
      <c r="D414" s="4" vm="3431">
        <v>5437.5</v>
      </c>
      <c r="E414" s="4" vm="3432">
        <v>1168.8499999999999</v>
      </c>
      <c r="F414" s="4" vm="3433">
        <v>234.29</v>
      </c>
      <c r="G414" s="4" vm="3434">
        <v>78.91</v>
      </c>
    </row>
    <row r="415" spans="1:7" x14ac:dyDescent="0.3">
      <c r="A415" vm="827">
        <v>45782</v>
      </c>
      <c r="B415" s="4" vm="828">
        <v>24461.15</v>
      </c>
      <c r="C415" s="4" vm="3435">
        <v>1769.9</v>
      </c>
      <c r="D415" s="4" vm="3436">
        <v>5460.5</v>
      </c>
      <c r="E415" s="4" vm="3437">
        <v>1164.0999999999999</v>
      </c>
      <c r="F415" s="4" vm="3438">
        <v>239.9</v>
      </c>
      <c r="G415" s="4" vm="3439">
        <v>79.58</v>
      </c>
    </row>
    <row r="416" spans="1:7" x14ac:dyDescent="0.3">
      <c r="A416" vm="829">
        <v>45783</v>
      </c>
      <c r="B416" s="4" vm="830">
        <v>24379.599999999999</v>
      </c>
      <c r="C416" s="4" vm="3440">
        <v>1726</v>
      </c>
      <c r="D416" s="4" vm="3441">
        <v>5515</v>
      </c>
      <c r="E416" s="4" vm="3442">
        <v>1178.25</v>
      </c>
      <c r="F416" s="4" vm="3443">
        <v>232.64</v>
      </c>
      <c r="G416" s="4" vm="3444">
        <v>82.13</v>
      </c>
    </row>
    <row r="417" spans="1:7" x14ac:dyDescent="0.3">
      <c r="A417" vm="831">
        <v>45784</v>
      </c>
      <c r="B417" s="4" vm="832">
        <v>24414.400000000001</v>
      </c>
      <c r="C417" s="4" vm="3445">
        <v>1744.5</v>
      </c>
      <c r="D417" s="4" vm="3446">
        <v>5489</v>
      </c>
      <c r="E417" s="4" vm="3447">
        <v>1169.2</v>
      </c>
      <c r="F417" s="4" vm="3448">
        <v>236.9</v>
      </c>
      <c r="G417" s="4" vm="3449">
        <v>81.28</v>
      </c>
    </row>
    <row r="418" spans="1:7" x14ac:dyDescent="0.3">
      <c r="A418" vm="833">
        <v>45785</v>
      </c>
      <c r="B418" s="4" vm="834">
        <v>24273.8</v>
      </c>
      <c r="C418" s="4" vm="3450">
        <v>1731.5</v>
      </c>
      <c r="D418" s="4" vm="3451">
        <v>5372.5</v>
      </c>
      <c r="E418" s="4" vm="3452">
        <v>1170.3499999999999</v>
      </c>
      <c r="F418" s="4" vm="3453">
        <v>229.81</v>
      </c>
      <c r="G418" s="4" vm="3454">
        <v>80.94</v>
      </c>
    </row>
    <row r="419" spans="1:7" x14ac:dyDescent="0.3">
      <c r="A419" vm="835">
        <v>45786</v>
      </c>
      <c r="B419" s="4" vm="836">
        <v>24008</v>
      </c>
      <c r="C419" s="4" vm="3455">
        <v>1699.8</v>
      </c>
      <c r="D419" s="4" vm="3456">
        <v>5324</v>
      </c>
      <c r="E419" s="4" vm="3457">
        <v>1162.7</v>
      </c>
      <c r="F419" s="4" vm="3458">
        <v>227.14</v>
      </c>
      <c r="G419" s="4" vm="3459">
        <v>80.8</v>
      </c>
    </row>
    <row r="420" spans="1:7" x14ac:dyDescent="0.3">
      <c r="A420" vm="837">
        <v>45789</v>
      </c>
      <c r="B420" s="4" vm="838">
        <v>24924.7</v>
      </c>
      <c r="C420" s="4" vm="3460">
        <v>1751.5</v>
      </c>
      <c r="D420" s="4" vm="3461">
        <v>5520</v>
      </c>
      <c r="E420" s="4" vm="3462">
        <v>1191.9000000000001</v>
      </c>
      <c r="F420" s="4" vm="3463">
        <v>239.5</v>
      </c>
      <c r="G420" s="4" vm="3464">
        <v>77.98</v>
      </c>
    </row>
    <row r="421" spans="1:7" x14ac:dyDescent="0.3">
      <c r="A421" vm="839">
        <v>45790</v>
      </c>
      <c r="B421" s="4" vm="840">
        <v>24578.35</v>
      </c>
      <c r="C421" s="4" vm="3465">
        <v>1740</v>
      </c>
      <c r="D421" s="4" vm="3466">
        <v>5419</v>
      </c>
      <c r="E421" s="4" vm="3467">
        <v>1185.0999999999999</v>
      </c>
      <c r="F421" s="4" vm="3468">
        <v>231.65</v>
      </c>
      <c r="G421" s="4" vm="3469">
        <v>79.069999999999993</v>
      </c>
    </row>
    <row r="422" spans="1:7" x14ac:dyDescent="0.3">
      <c r="A422" vm="841">
        <v>45791</v>
      </c>
      <c r="B422" s="4" vm="842">
        <v>24666.9</v>
      </c>
      <c r="C422" s="4" vm="3470">
        <v>1755.2</v>
      </c>
      <c r="D422" s="4" vm="3471">
        <v>5446.5</v>
      </c>
      <c r="E422" s="4" vm="3472">
        <v>1185.2</v>
      </c>
      <c r="F422" s="4" vm="3473">
        <v>236.86</v>
      </c>
      <c r="G422" s="4" vm="3474">
        <v>78.58</v>
      </c>
    </row>
    <row r="423" spans="1:7" x14ac:dyDescent="0.3">
      <c r="A423" vm="843">
        <v>45792</v>
      </c>
      <c r="B423" s="4" vm="844">
        <v>25062.1</v>
      </c>
      <c r="C423" s="4" vm="3475">
        <v>1784.6</v>
      </c>
      <c r="D423" s="4" vm="3476">
        <v>5466</v>
      </c>
      <c r="E423" s="4" vm="3477">
        <v>1199.05</v>
      </c>
      <c r="F423" s="4" vm="3478">
        <v>242.59</v>
      </c>
      <c r="G423" s="4" vm="3479">
        <v>77.040000000000006</v>
      </c>
    </row>
    <row r="424" spans="1:7" x14ac:dyDescent="0.3">
      <c r="A424" vm="845">
        <v>45793</v>
      </c>
      <c r="B424" s="4" vm="846">
        <v>25019.8</v>
      </c>
      <c r="C424" s="4" vm="3480">
        <v>1773.4</v>
      </c>
      <c r="D424" s="4" vm="3481">
        <v>5509.5</v>
      </c>
      <c r="E424" s="4" vm="3482">
        <v>1204.4000000000001</v>
      </c>
      <c r="F424" s="4" vm="3483">
        <v>245.76</v>
      </c>
      <c r="G424" s="4" vm="3484">
        <v>77.78</v>
      </c>
    </row>
    <row r="425" spans="1:7" x14ac:dyDescent="0.3">
      <c r="A425" vm="847">
        <v>45796</v>
      </c>
      <c r="B425" s="4" vm="848">
        <v>24945.45</v>
      </c>
      <c r="C425" s="4" vm="3485">
        <v>1770</v>
      </c>
      <c r="D425" s="4" vm="3486">
        <v>5530</v>
      </c>
      <c r="E425" s="4" vm="3487">
        <v>1203.9000000000001</v>
      </c>
      <c r="F425" s="4" vm="3488">
        <v>238.03</v>
      </c>
      <c r="G425" s="4" vm="3489">
        <v>78.319999999999993</v>
      </c>
    </row>
    <row r="426" spans="1:7" x14ac:dyDescent="0.3">
      <c r="A426" vm="849">
        <v>45797</v>
      </c>
      <c r="B426" s="4" vm="850">
        <v>24683.9</v>
      </c>
      <c r="C426" s="4" vm="3490">
        <v>1757.8</v>
      </c>
      <c r="D426" s="4" vm="3491">
        <v>5387.5</v>
      </c>
      <c r="E426" s="4" vm="3492">
        <v>1179.25</v>
      </c>
      <c r="F426" s="4" vm="3493">
        <v>228.28</v>
      </c>
      <c r="G426" s="4" vm="3494">
        <v>78.19</v>
      </c>
    </row>
    <row r="427" spans="1:7" x14ac:dyDescent="0.3">
      <c r="A427" vm="851">
        <v>45798</v>
      </c>
      <c r="B427" s="4" vm="852">
        <v>24813.45</v>
      </c>
      <c r="C427" s="4" vm="3495">
        <v>1763.9</v>
      </c>
      <c r="D427" s="4" vm="3496">
        <v>5409</v>
      </c>
      <c r="E427" s="4" vm="3497">
        <v>1196.3</v>
      </c>
      <c r="F427" s="4" vm="3498">
        <v>229.97</v>
      </c>
      <c r="G427" s="4" vm="3499">
        <v>79.5</v>
      </c>
    </row>
    <row r="428" spans="1:7" x14ac:dyDescent="0.3">
      <c r="A428" vm="853">
        <v>45799</v>
      </c>
      <c r="B428" s="4" vm="854">
        <v>24609.7</v>
      </c>
      <c r="C428" s="4" vm="3500">
        <v>1759.3</v>
      </c>
      <c r="D428" s="4" vm="3501">
        <v>5387</v>
      </c>
      <c r="E428" s="4" vm="3502">
        <v>1180.8499999999999</v>
      </c>
      <c r="F428" s="4" vm="3503">
        <v>229.02</v>
      </c>
      <c r="G428" s="4" vm="3504">
        <v>79.81</v>
      </c>
    </row>
    <row r="429" spans="1:7" x14ac:dyDescent="0.3">
      <c r="A429" vm="855">
        <v>45800</v>
      </c>
      <c r="B429" s="4" vm="856">
        <v>24853.15</v>
      </c>
      <c r="C429" s="4" vm="3505">
        <v>1798.7</v>
      </c>
      <c r="D429" s="4" vm="3506">
        <v>5400</v>
      </c>
      <c r="E429" s="4" vm="3507">
        <v>1207.2</v>
      </c>
      <c r="F429" s="4" vm="3508">
        <v>237.55</v>
      </c>
      <c r="G429" s="4" vm="3509">
        <v>79.510000000000005</v>
      </c>
    </row>
    <row r="430" spans="1:7" x14ac:dyDescent="0.3">
      <c r="A430" vm="857">
        <v>45803</v>
      </c>
      <c r="B430" s="4" vm="858">
        <v>25001.15</v>
      </c>
      <c r="C430" s="4" vm="3510">
        <v>1801.6</v>
      </c>
      <c r="D430" s="4" vm="3511">
        <v>5427.5</v>
      </c>
      <c r="E430" s="4" vm="3512">
        <v>1227</v>
      </c>
      <c r="F430" s="4" vm="3513">
        <v>226.8</v>
      </c>
      <c r="G430" s="4" vm="3514">
        <v>79.77</v>
      </c>
    </row>
    <row r="431" spans="1:7" x14ac:dyDescent="0.3">
      <c r="A431" vm="859">
        <v>45804</v>
      </c>
      <c r="B431" s="4" vm="860">
        <v>24826.2</v>
      </c>
      <c r="C431" s="4" vm="3515">
        <v>1803.3</v>
      </c>
      <c r="D431" s="4" vm="3516">
        <v>5389.5</v>
      </c>
      <c r="E431" s="4" vm="3517">
        <v>1230.45</v>
      </c>
      <c r="F431" s="4" vm="3518">
        <v>224.79</v>
      </c>
      <c r="G431" s="4" vm="3519">
        <v>79.56</v>
      </c>
    </row>
    <row r="432" spans="1:7" x14ac:dyDescent="0.3">
      <c r="A432" vm="861">
        <v>45805</v>
      </c>
      <c r="B432" s="4" vm="862">
        <v>24752.45</v>
      </c>
      <c r="C432" s="4" vm="3520">
        <v>1807.4</v>
      </c>
      <c r="D432" s="4" vm="3521">
        <v>5326.5</v>
      </c>
      <c r="E432" s="4" vm="3522">
        <v>1209.5</v>
      </c>
      <c r="F432" s="4" vm="3523">
        <v>224.18</v>
      </c>
      <c r="G432" s="4" vm="3524">
        <v>80.06</v>
      </c>
    </row>
    <row r="433" spans="1:7" x14ac:dyDescent="0.3">
      <c r="A433" vm="863">
        <v>45806</v>
      </c>
      <c r="B433" s="4" vm="864">
        <v>24833.599999999999</v>
      </c>
      <c r="C433" s="4" vm="3525">
        <v>1825</v>
      </c>
      <c r="D433" s="4" vm="3526">
        <v>5379</v>
      </c>
      <c r="E433" s="4" vm="3527">
        <v>1217.5</v>
      </c>
      <c r="F433" s="4" vm="3528">
        <v>228.37</v>
      </c>
      <c r="G433" s="4" vm="3529">
        <v>79.099999999999994</v>
      </c>
    </row>
    <row r="434" spans="1:7" x14ac:dyDescent="0.3">
      <c r="A434" vm="865">
        <v>45807</v>
      </c>
      <c r="B434" s="4" vm="866">
        <v>24750.7</v>
      </c>
      <c r="C434" s="4" vm="3530">
        <v>1812.2</v>
      </c>
      <c r="D434" s="4" vm="3531">
        <v>5333.5</v>
      </c>
      <c r="E434" s="4" vm="3532">
        <v>1198.0999999999999</v>
      </c>
      <c r="F434" s="4" vm="3533">
        <v>238.31</v>
      </c>
      <c r="G434" s="4" vm="3534">
        <v>79.489999999999995</v>
      </c>
    </row>
    <row r="435" spans="1:7" x14ac:dyDescent="0.3">
      <c r="A435" vm="867">
        <v>45810</v>
      </c>
      <c r="B435" s="4" vm="868">
        <v>24716.6</v>
      </c>
      <c r="C435" s="4" vm="3535">
        <v>1802.5</v>
      </c>
      <c r="D435" s="4" vm="3536">
        <v>5361</v>
      </c>
      <c r="E435" s="4" vm="3537">
        <v>1203.1500000000001</v>
      </c>
      <c r="F435" s="4" vm="3538">
        <v>241.2</v>
      </c>
      <c r="G435" s="4" vm="3539">
        <v>80.52</v>
      </c>
    </row>
    <row r="436" spans="1:7" x14ac:dyDescent="0.3">
      <c r="A436" vm="869">
        <v>45811</v>
      </c>
      <c r="B436" s="4" vm="870">
        <v>24542.5</v>
      </c>
      <c r="C436" s="4" vm="3540">
        <v>1775.3</v>
      </c>
      <c r="D436" s="4" vm="3541">
        <v>5354</v>
      </c>
      <c r="E436" s="4" vm="3542">
        <v>1195.7</v>
      </c>
      <c r="F436" s="4" vm="3543">
        <v>237.7</v>
      </c>
      <c r="G436" s="4" vm="3544">
        <v>80.97</v>
      </c>
    </row>
    <row r="437" spans="1:7" x14ac:dyDescent="0.3">
      <c r="A437" vm="871">
        <v>45812</v>
      </c>
      <c r="B437" s="4" vm="872">
        <v>24620.2</v>
      </c>
      <c r="C437" s="4" vm="3545">
        <v>1775.9</v>
      </c>
      <c r="D437" s="4" vm="3546">
        <v>5319.5</v>
      </c>
      <c r="E437" s="4" vm="3547">
        <v>1198.75</v>
      </c>
      <c r="F437" s="4" vm="3548">
        <v>245.68</v>
      </c>
      <c r="G437" s="4" vm="3549">
        <v>81.31</v>
      </c>
    </row>
    <row r="438" spans="1:7" x14ac:dyDescent="0.3">
      <c r="A438" vm="873">
        <v>45813</v>
      </c>
      <c r="B438" s="4" vm="874">
        <v>24750.9</v>
      </c>
      <c r="C438" s="4" vm="3550">
        <v>1774.8</v>
      </c>
      <c r="D438" s="4" vm="3551">
        <v>5308.5</v>
      </c>
      <c r="E438" s="4" vm="3552">
        <v>1200.6500000000001</v>
      </c>
      <c r="F438" s="4" vm="3553">
        <v>256.56</v>
      </c>
      <c r="G438" s="4" vm="3554">
        <v>81.73</v>
      </c>
    </row>
    <row r="439" spans="1:7" x14ac:dyDescent="0.3">
      <c r="A439" vm="875">
        <v>45814</v>
      </c>
      <c r="B439" s="4" vm="876">
        <v>25003.05</v>
      </c>
      <c r="C439" s="4" vm="3555">
        <v>1780.6</v>
      </c>
      <c r="D439" s="4" vm="3556">
        <v>5394</v>
      </c>
      <c r="E439" s="4" vm="3557">
        <v>1208.5999999999999</v>
      </c>
      <c r="F439" s="4" vm="3558">
        <v>261.86</v>
      </c>
      <c r="G439" s="4" vm="3559">
        <v>81.23</v>
      </c>
    </row>
    <row r="440" spans="1:7" x14ac:dyDescent="0.3">
      <c r="A440" vm="877">
        <v>45817</v>
      </c>
      <c r="B440" s="4" vm="878">
        <v>25103.200000000001</v>
      </c>
      <c r="C440" s="4" vm="3560">
        <v>1790.8</v>
      </c>
      <c r="D440" s="4" vm="3561">
        <v>5391</v>
      </c>
      <c r="E440" s="4" vm="3562">
        <v>1207.6500000000001</v>
      </c>
      <c r="F440" s="4" vm="3563">
        <v>256.83999999999997</v>
      </c>
      <c r="G440" s="4" vm="3564">
        <v>80.48</v>
      </c>
    </row>
    <row r="441" spans="1:7" x14ac:dyDescent="0.3">
      <c r="A441" vm="879">
        <v>45818</v>
      </c>
      <c r="B441" s="4" vm="880">
        <v>25104.25</v>
      </c>
      <c r="C441" s="4" vm="3565">
        <v>1785.5</v>
      </c>
      <c r="D441" s="4" vm="3566">
        <v>5377.5</v>
      </c>
      <c r="E441" s="4" vm="3567">
        <v>1215.7</v>
      </c>
      <c r="F441" s="4" vm="3568">
        <v>255.68</v>
      </c>
      <c r="G441" s="4" vm="3569">
        <v>80.61</v>
      </c>
    </row>
    <row r="442" spans="1:7" x14ac:dyDescent="0.3">
      <c r="A442" vm="881">
        <v>45819</v>
      </c>
      <c r="B442" s="4" vm="882">
        <v>25141.4</v>
      </c>
      <c r="C442" s="4" vm="3570">
        <v>1799.3</v>
      </c>
      <c r="D442" s="4" vm="3571">
        <v>5352</v>
      </c>
      <c r="E442" s="4" vm="3572">
        <v>1209.5999999999999</v>
      </c>
      <c r="F442" s="4" vm="3573">
        <v>257.07</v>
      </c>
      <c r="G442" s="4" vm="3574">
        <v>80.760000000000005</v>
      </c>
    </row>
    <row r="443" spans="1:7" x14ac:dyDescent="0.3">
      <c r="A443" vm="883">
        <v>45820</v>
      </c>
      <c r="B443" s="4" vm="884">
        <v>24888.2</v>
      </c>
      <c r="C443" s="4" vm="3575">
        <v>1766</v>
      </c>
      <c r="D443" s="4" vm="3576">
        <v>5315.5</v>
      </c>
      <c r="E443" s="4" vm="3577">
        <v>1192.8</v>
      </c>
      <c r="F443" s="4" vm="3578">
        <v>251.56</v>
      </c>
      <c r="G443" s="4" vm="3579">
        <v>81.39</v>
      </c>
    </row>
    <row r="444" spans="1:7" x14ac:dyDescent="0.3">
      <c r="A444" vm="885">
        <v>45821</v>
      </c>
      <c r="B444" s="4" vm="886">
        <v>24718.6</v>
      </c>
      <c r="C444" s="4" vm="3470">
        <v>1755.2</v>
      </c>
      <c r="D444" s="4" vm="3580">
        <v>5319</v>
      </c>
      <c r="E444" s="4" vm="3581">
        <v>1188.4000000000001</v>
      </c>
      <c r="F444" s="4" vm="2560">
        <v>249.08</v>
      </c>
      <c r="G444" s="4" vm="3582">
        <v>83.13</v>
      </c>
    </row>
    <row r="445" spans="1:7" x14ac:dyDescent="0.3">
      <c r="A445" vm="887">
        <v>45824</v>
      </c>
      <c r="B445" s="4" vm="888">
        <v>24946.5</v>
      </c>
      <c r="C445" s="4" vm="3583">
        <v>1797.8</v>
      </c>
      <c r="D445" s="4" vm="3584">
        <v>5365</v>
      </c>
      <c r="E445" s="4" vm="3585">
        <v>1194.9000000000001</v>
      </c>
      <c r="F445" s="4" vm="3586">
        <v>252.15</v>
      </c>
      <c r="G445" s="4" vm="3587">
        <v>83.09</v>
      </c>
    </row>
    <row r="446" spans="1:7" x14ac:dyDescent="0.3">
      <c r="A446" vm="889">
        <v>45825</v>
      </c>
      <c r="B446" s="4" vm="890">
        <v>24853.4</v>
      </c>
      <c r="C446" s="4" vm="3588">
        <v>1800.2</v>
      </c>
      <c r="D446" s="4" vm="3589">
        <v>5341</v>
      </c>
      <c r="E446" s="4" vm="3590">
        <v>1181</v>
      </c>
      <c r="F446" s="4" vm="3591">
        <v>247.25</v>
      </c>
      <c r="G446" s="4" vm="3592">
        <v>82.56</v>
      </c>
    </row>
    <row r="447" spans="1:7" x14ac:dyDescent="0.3">
      <c r="A447" vm="891">
        <v>45826</v>
      </c>
      <c r="B447" s="4" vm="892">
        <v>24812.05</v>
      </c>
      <c r="C447" s="4" vm="3593">
        <v>1797.2</v>
      </c>
      <c r="D447" s="4" vm="3594">
        <v>5393</v>
      </c>
      <c r="E447" s="4" vm="3595">
        <v>1170.4000000000001</v>
      </c>
      <c r="F447" s="4" vm="3596">
        <v>248.41</v>
      </c>
      <c r="G447" s="4" vm="3597">
        <v>82.79</v>
      </c>
    </row>
    <row r="448" spans="1:7" x14ac:dyDescent="0.3">
      <c r="A448" vm="893">
        <v>45827</v>
      </c>
      <c r="B448" s="4" vm="894">
        <v>24793.25</v>
      </c>
      <c r="C448" s="4" vm="3598">
        <v>1789.4</v>
      </c>
      <c r="D448" s="4" vm="3599">
        <v>5493.5</v>
      </c>
      <c r="E448" s="4" vm="3600">
        <v>1159.45</v>
      </c>
      <c r="F448" s="4" vm="3601">
        <v>249.42</v>
      </c>
      <c r="G448" s="4" vm="3597">
        <v>82.79</v>
      </c>
    </row>
    <row r="449" spans="1:7" x14ac:dyDescent="0.3">
      <c r="A449" vm="895">
        <v>45828</v>
      </c>
      <c r="B449" s="4" vm="896">
        <v>25112.400000000001</v>
      </c>
      <c r="C449" s="4" vm="3602">
        <v>1810.9</v>
      </c>
      <c r="D449" s="4" vm="3603">
        <v>5525</v>
      </c>
      <c r="E449" s="4" vm="3604">
        <v>1180.2</v>
      </c>
      <c r="F449" s="4" vm="3605">
        <v>253.33</v>
      </c>
      <c r="G449" s="4" vm="3606">
        <v>82.23</v>
      </c>
    </row>
    <row r="450" spans="1:7" x14ac:dyDescent="0.3">
      <c r="A450" vm="897">
        <v>45831</v>
      </c>
      <c r="B450" s="4" vm="898">
        <v>24971.9</v>
      </c>
      <c r="C450" s="4" vm="3607">
        <v>1818.6</v>
      </c>
      <c r="D450" s="4" vm="3608">
        <v>5552.5</v>
      </c>
      <c r="E450" s="4" vm="3609">
        <v>1179.55</v>
      </c>
      <c r="F450" s="4" vm="3610">
        <v>254.64</v>
      </c>
      <c r="G450" s="4" vm="3611">
        <v>82.66</v>
      </c>
    </row>
    <row r="451" spans="1:7" x14ac:dyDescent="0.3">
      <c r="A451" vm="899">
        <v>45832</v>
      </c>
      <c r="B451" s="4" vm="900">
        <v>25044.35</v>
      </c>
      <c r="C451" s="4" vm="3612">
        <v>1843</v>
      </c>
      <c r="D451" s="4" vm="3613">
        <v>5629</v>
      </c>
      <c r="E451" s="4" vm="3614">
        <v>1182.9000000000001</v>
      </c>
      <c r="F451" s="4" vm="3615">
        <v>255.07</v>
      </c>
      <c r="G451" s="4" vm="3616">
        <v>80.98</v>
      </c>
    </row>
    <row r="452" spans="1:7" x14ac:dyDescent="0.3">
      <c r="A452" vm="901">
        <v>45833</v>
      </c>
      <c r="B452" s="4" vm="902">
        <v>25244.75</v>
      </c>
      <c r="C452" s="4" vm="3617">
        <v>1842.7</v>
      </c>
      <c r="D452" s="4" vm="3618">
        <v>5576</v>
      </c>
      <c r="E452" s="4" vm="3619">
        <v>1202.2</v>
      </c>
      <c r="F452" s="4" vm="3620">
        <v>258.86</v>
      </c>
      <c r="G452" s="4" vm="3621">
        <v>81.11</v>
      </c>
    </row>
    <row r="453" spans="1:7" x14ac:dyDescent="0.3">
      <c r="A453" vm="903">
        <v>45834</v>
      </c>
      <c r="B453" s="4" vm="904">
        <v>25549</v>
      </c>
      <c r="C453" s="4" vm="3622">
        <v>1860.8</v>
      </c>
      <c r="D453" s="4" vm="3623">
        <v>5611.5</v>
      </c>
      <c r="E453" s="4" vm="3567">
        <v>1215.7</v>
      </c>
      <c r="F453" s="4" vm="3624">
        <v>265.18</v>
      </c>
      <c r="G453" s="4" vm="3625">
        <v>81.12</v>
      </c>
    </row>
    <row r="454" spans="1:7" x14ac:dyDescent="0.3">
      <c r="A454" vm="905">
        <v>45835</v>
      </c>
      <c r="B454" s="4" vm="906">
        <v>25637.8</v>
      </c>
      <c r="C454" s="4" vm="3626">
        <v>1850.6</v>
      </c>
      <c r="D454" s="4" vm="3627">
        <v>5660</v>
      </c>
      <c r="E454" s="4" vm="2213">
        <v>1229.3499999999999</v>
      </c>
      <c r="F454" s="4" vm="3558">
        <v>261.86</v>
      </c>
      <c r="G454" s="4" vm="3504">
        <v>79.81</v>
      </c>
    </row>
    <row r="455" spans="1:7" x14ac:dyDescent="0.3">
      <c r="A455" vm="907">
        <v>45838</v>
      </c>
      <c r="B455" s="4" vm="908">
        <v>25517.05</v>
      </c>
      <c r="C455" s="4" vm="3628">
        <v>1838.3</v>
      </c>
      <c r="D455" s="4" vm="3629">
        <v>5656.5</v>
      </c>
      <c r="E455" s="4" vm="3630">
        <v>1232.6500000000001</v>
      </c>
      <c r="F455" s="4" vm="3631">
        <v>264.14999999999998</v>
      </c>
      <c r="G455" s="4" vm="3632">
        <v>79.989999999999995</v>
      </c>
    </row>
    <row r="456" spans="1:7" x14ac:dyDescent="0.3">
      <c r="A456" vm="909">
        <v>45839</v>
      </c>
      <c r="B456" s="4" vm="910">
        <v>25541.8</v>
      </c>
      <c r="C456" s="4" vm="3633">
        <v>1862.5</v>
      </c>
      <c r="D456" s="4" vm="3634">
        <v>5715.5</v>
      </c>
      <c r="E456" s="4" vm="3635">
        <v>1205.05</v>
      </c>
      <c r="F456" s="4" vm="3636">
        <v>261</v>
      </c>
      <c r="G456" s="4" vm="3637">
        <v>81.05</v>
      </c>
    </row>
    <row r="457" spans="1:7" x14ac:dyDescent="0.3">
      <c r="A457" vm="911">
        <v>45840</v>
      </c>
      <c r="B457" s="4" vm="912">
        <v>25453.4</v>
      </c>
      <c r="C457" s="4" vm="3638">
        <v>1856.8</v>
      </c>
      <c r="D457" s="4" vm="3639">
        <v>5722.5</v>
      </c>
      <c r="E457" s="4" vm="3640">
        <v>1194</v>
      </c>
      <c r="F457" s="4" vm="3641">
        <v>259.75</v>
      </c>
      <c r="G457" s="4" vm="3621">
        <v>81.11</v>
      </c>
    </row>
    <row r="458" spans="1:7" x14ac:dyDescent="0.3">
      <c r="A458" vm="913">
        <v>45841</v>
      </c>
      <c r="B458" s="4" vm="914">
        <v>25405.3</v>
      </c>
      <c r="C458" s="4" vm="3642">
        <v>1810.2</v>
      </c>
      <c r="D458" s="4" vm="3643">
        <v>5716</v>
      </c>
      <c r="E458" s="4" vm="3644">
        <v>1194.2</v>
      </c>
      <c r="F458" s="4" vm="3645">
        <v>260.85000000000002</v>
      </c>
      <c r="G458" s="4" vm="3646">
        <v>81.010000000000005</v>
      </c>
    </row>
    <row r="459" spans="1:7" x14ac:dyDescent="0.3">
      <c r="A459" vm="915">
        <v>45842</v>
      </c>
      <c r="B459" s="4" vm="916">
        <v>25461</v>
      </c>
      <c r="C459" s="4" vm="3647">
        <v>1799.7</v>
      </c>
      <c r="D459" s="4" vm="3613">
        <v>5629</v>
      </c>
      <c r="E459" s="4" vm="3648">
        <v>1196.4000000000001</v>
      </c>
      <c r="F459" s="4" vm="3649">
        <v>261.39999999999998</v>
      </c>
      <c r="G459" s="4" vm="3650">
        <v>80.89</v>
      </c>
    </row>
    <row r="460" spans="1:7" x14ac:dyDescent="0.3">
      <c r="A460" vm="917">
        <v>45845</v>
      </c>
      <c r="B460" s="4" vm="918">
        <v>25461.3</v>
      </c>
      <c r="C460" s="4" vm="3651">
        <v>1808.3</v>
      </c>
      <c r="D460" s="4" vm="3652">
        <v>5682.5</v>
      </c>
      <c r="E460" s="4" vm="3653">
        <v>1211.05</v>
      </c>
      <c r="F460" s="4" vm="3654">
        <v>258.55</v>
      </c>
      <c r="G460" s="4" vm="3655">
        <v>80.53</v>
      </c>
    </row>
    <row r="461" spans="1:7" x14ac:dyDescent="0.3">
      <c r="A461" vm="919">
        <v>45846</v>
      </c>
      <c r="B461" s="4" vm="920">
        <v>25522.5</v>
      </c>
      <c r="C461" s="4" vm="3656">
        <v>1816.9</v>
      </c>
      <c r="D461" s="4" vm="3657">
        <v>5679.5</v>
      </c>
      <c r="E461" s="4" vm="3658">
        <v>1208.95</v>
      </c>
      <c r="F461" s="4" vm="3659">
        <v>263.5</v>
      </c>
      <c r="G461" s="4" vm="3660">
        <v>80.78</v>
      </c>
    </row>
    <row r="462" spans="1:7" x14ac:dyDescent="0.3">
      <c r="A462" vm="921">
        <v>45847</v>
      </c>
      <c r="B462" s="4" vm="922">
        <v>25476.1</v>
      </c>
      <c r="C462" s="4" vm="3661">
        <v>1814.9</v>
      </c>
      <c r="D462" s="4" vm="3662">
        <v>5695</v>
      </c>
      <c r="E462" s="4" vm="3663">
        <v>1213.9000000000001</v>
      </c>
      <c r="F462" s="4" vm="3664">
        <v>264.55</v>
      </c>
      <c r="G462" s="4" vm="3414">
        <v>80.03</v>
      </c>
    </row>
    <row r="463" spans="1:7" x14ac:dyDescent="0.3">
      <c r="A463" vm="923">
        <v>45848</v>
      </c>
      <c r="B463" s="4" vm="924">
        <v>25355.25</v>
      </c>
      <c r="C463" s="4" vm="3642">
        <v>1810.2</v>
      </c>
      <c r="D463" s="4" vm="3665">
        <v>5652</v>
      </c>
      <c r="E463" s="4" vm="3666">
        <v>1200.7</v>
      </c>
      <c r="F463" s="4" vm="3667">
        <v>262.85000000000002</v>
      </c>
      <c r="G463" s="4" vm="3668">
        <v>80.709999999999994</v>
      </c>
    </row>
    <row r="464" spans="1:7" x14ac:dyDescent="0.3">
      <c r="A464" vm="925">
        <v>45849</v>
      </c>
      <c r="B464" s="4" vm="926">
        <v>25149.85</v>
      </c>
      <c r="C464" s="4" vm="3669">
        <v>1835.2</v>
      </c>
      <c r="D464" s="4" vm="3670">
        <v>5612.5</v>
      </c>
      <c r="E464" s="4" vm="3671">
        <v>1201.75</v>
      </c>
      <c r="F464" s="4" vm="3672">
        <v>263.35000000000002</v>
      </c>
      <c r="G464" s="4" vm="3673">
        <v>81.150000000000006</v>
      </c>
    </row>
    <row r="465" spans="1:7" x14ac:dyDescent="0.3">
      <c r="A465" vm="927">
        <v>45852</v>
      </c>
      <c r="B465" s="4" vm="928">
        <v>25082.3</v>
      </c>
      <c r="C465" s="4" vm="3674">
        <v>1851.3</v>
      </c>
      <c r="D465" s="4" vm="3675">
        <v>5540.5</v>
      </c>
      <c r="E465" s="4" vm="3676">
        <v>1196.45</v>
      </c>
      <c r="F465" s="4" vm="3677">
        <v>270.60000000000002</v>
      </c>
      <c r="G465" s="4" vm="3678">
        <v>81.88</v>
      </c>
    </row>
    <row r="466" spans="1:7" x14ac:dyDescent="0.3">
      <c r="A466" vm="929">
        <v>45853</v>
      </c>
      <c r="B466" s="4" vm="930">
        <v>25195.8</v>
      </c>
      <c r="C466" s="4" vm="3679">
        <v>1824.8</v>
      </c>
      <c r="D466" s="4" vm="3680">
        <v>5591</v>
      </c>
      <c r="E466" s="4" vm="3681">
        <v>1208.1500000000001</v>
      </c>
      <c r="F466" s="4" vm="3682">
        <v>266.45</v>
      </c>
      <c r="G466" s="4" vm="3683">
        <v>81.67</v>
      </c>
    </row>
    <row r="467" spans="1:7" x14ac:dyDescent="0.3">
      <c r="A467" vm="931">
        <v>45854</v>
      </c>
      <c r="B467" s="4" vm="932">
        <v>25212.05</v>
      </c>
      <c r="C467" s="4" vm="3684">
        <v>1829.1</v>
      </c>
      <c r="D467" s="4" vm="3685">
        <v>5626.5</v>
      </c>
      <c r="E467" s="4" vm="3686">
        <v>1230</v>
      </c>
      <c r="F467" s="4" vm="3687">
        <v>262.35000000000002</v>
      </c>
      <c r="G467" s="4" vm="3688">
        <v>81.349999999999994</v>
      </c>
    </row>
    <row r="468" spans="1:7" x14ac:dyDescent="0.3">
      <c r="A468" vm="933">
        <v>45855</v>
      </c>
      <c r="B468" s="4" vm="934">
        <v>25111.45</v>
      </c>
      <c r="C468" s="4" vm="3689">
        <v>1802.8</v>
      </c>
      <c r="D468" s="4" vm="3690">
        <v>5650</v>
      </c>
      <c r="E468" s="4" vm="3691">
        <v>1224.55</v>
      </c>
      <c r="F468" s="4" vm="3692">
        <v>259.64999999999998</v>
      </c>
      <c r="G468" s="4" vm="3693">
        <v>81.16</v>
      </c>
    </row>
    <row r="469" spans="1:7" x14ac:dyDescent="0.3">
      <c r="A469" vm="935">
        <v>45856</v>
      </c>
      <c r="B469" s="4" vm="936">
        <v>24968.400000000001</v>
      </c>
      <c r="C469" s="4" vm="3694">
        <v>1788.4</v>
      </c>
      <c r="D469" s="4" vm="3695">
        <v>5627.5</v>
      </c>
      <c r="E469" s="4" vm="3696">
        <v>1236.0999999999999</v>
      </c>
      <c r="F469" s="4" vm="3697">
        <v>257.2</v>
      </c>
      <c r="G469" s="4" vm="3554">
        <v>81.73</v>
      </c>
    </row>
    <row r="470" spans="1:7" x14ac:dyDescent="0.3">
      <c r="A470" vm="937">
        <v>45859</v>
      </c>
      <c r="B470" s="4" vm="938">
        <v>25090.7</v>
      </c>
      <c r="C470" s="4" vm="3698">
        <v>1804.7</v>
      </c>
      <c r="D470" s="4" vm="3699">
        <v>5558</v>
      </c>
      <c r="E470" s="4" vm="3700">
        <v>1236.3</v>
      </c>
      <c r="F470" s="4" vm="3701">
        <v>271.7</v>
      </c>
      <c r="G470" s="4" vm="3444">
        <v>82.13</v>
      </c>
    </row>
    <row r="471" spans="1:7" x14ac:dyDescent="0.3">
      <c r="A471" vm="939">
        <v>45860</v>
      </c>
      <c r="B471" s="4" vm="940">
        <v>25060.9</v>
      </c>
      <c r="C471" s="4" vm="3702">
        <v>1809</v>
      </c>
      <c r="D471" s="4" vm="3703">
        <v>5439.5</v>
      </c>
      <c r="E471" s="4" vm="3704">
        <v>1221.75</v>
      </c>
      <c r="F471" s="4" vm="3705">
        <v>299.8</v>
      </c>
      <c r="G471" s="4" vm="3706">
        <v>82.77</v>
      </c>
    </row>
    <row r="472" spans="1:7" x14ac:dyDescent="0.3">
      <c r="A472" vm="941">
        <v>45861</v>
      </c>
      <c r="B472" s="4" vm="942">
        <v>25219.9</v>
      </c>
      <c r="C472" s="4" vm="3707">
        <v>1809.5</v>
      </c>
      <c r="D472" s="4" vm="3708">
        <v>5441.5</v>
      </c>
      <c r="E472" s="4" vm="3709">
        <v>1226.25</v>
      </c>
      <c r="F472" s="4" vm="3710">
        <v>302.05</v>
      </c>
      <c r="G472" s="4" vm="3711">
        <v>83.75</v>
      </c>
    </row>
    <row r="473" spans="1:7" x14ac:dyDescent="0.3">
      <c r="A473" vm="943">
        <v>45862</v>
      </c>
      <c r="B473" s="4" vm="844">
        <v>25062.1</v>
      </c>
      <c r="C473" s="4" vm="3712">
        <v>1793.6</v>
      </c>
      <c r="D473" s="4" vm="3713">
        <v>5469</v>
      </c>
      <c r="E473" s="4" vm="3714">
        <v>1161.05</v>
      </c>
      <c r="F473" s="4" vm="3715">
        <v>313.14999999999998</v>
      </c>
      <c r="G473" s="4" vm="3716">
        <v>82.3</v>
      </c>
    </row>
    <row r="474" spans="1:7" x14ac:dyDescent="0.3">
      <c r="A474" vm="944">
        <v>45863</v>
      </c>
      <c r="B474" s="4" vm="945">
        <v>24837</v>
      </c>
      <c r="C474" s="4" vm="3717">
        <v>1832.1</v>
      </c>
      <c r="D474" s="4" vm="3718">
        <v>5433</v>
      </c>
      <c r="E474" s="4" vm="3719">
        <v>1137.3</v>
      </c>
      <c r="F474" s="4" vm="3720">
        <v>310.55</v>
      </c>
      <c r="G474" s="4" vm="3721">
        <v>82.1</v>
      </c>
    </row>
    <row r="475" spans="1:7" x14ac:dyDescent="0.3">
      <c r="A475" vm="946">
        <v>45866</v>
      </c>
      <c r="B475" s="4" vm="947">
        <v>24680.9</v>
      </c>
      <c r="C475" s="4" vm="3722">
        <v>1850.5</v>
      </c>
      <c r="D475" s="4" vm="3723">
        <v>5386</v>
      </c>
      <c r="E475" s="4" vm="3724">
        <v>1114.6500000000001</v>
      </c>
      <c r="F475" s="4" vm="3725">
        <v>307.3</v>
      </c>
      <c r="G475" s="4" vm="3726">
        <v>82.03</v>
      </c>
    </row>
    <row r="476" spans="1:7" x14ac:dyDescent="0.3">
      <c r="A476" vm="948">
        <v>45867</v>
      </c>
      <c r="B476" s="4" vm="949">
        <v>24821.1</v>
      </c>
      <c r="C476" s="4" vm="3727">
        <v>1833.4</v>
      </c>
      <c r="D476" s="4" vm="3728">
        <v>5470.5</v>
      </c>
      <c r="E476" s="4" vm="3729">
        <v>1111.8499999999999</v>
      </c>
      <c r="F476" s="4" vm="3730">
        <v>306.55</v>
      </c>
      <c r="G476" s="4" vm="3731">
        <v>81.91</v>
      </c>
    </row>
    <row r="477" spans="1:7" x14ac:dyDescent="0.3">
      <c r="A477" vm="950">
        <v>45868</v>
      </c>
      <c r="B477" s="4" vm="951">
        <v>24855.05</v>
      </c>
      <c r="C477" s="4" vm="3732">
        <v>1839.1</v>
      </c>
      <c r="D477" s="4" vm="3733">
        <v>5481</v>
      </c>
      <c r="E477" s="4" vm="3734">
        <v>1115.75</v>
      </c>
      <c r="F477" s="4" vm="3735">
        <v>303.45</v>
      </c>
      <c r="G477" s="4" vm="3736">
        <v>82.39</v>
      </c>
    </row>
    <row r="478" spans="1:7" x14ac:dyDescent="0.3">
      <c r="A478" vm="952">
        <v>45869</v>
      </c>
      <c r="B478" s="4" vm="953">
        <v>24768.35</v>
      </c>
      <c r="C478" s="4" vm="3737">
        <v>1840.7</v>
      </c>
      <c r="D478" s="4" vm="3738">
        <v>5468.5</v>
      </c>
      <c r="E478" s="4" vm="3739">
        <v>1123.8499999999999</v>
      </c>
      <c r="F478" s="4" vm="3740">
        <v>307.8</v>
      </c>
      <c r="G478" s="4" vm="3741">
        <v>82.2</v>
      </c>
    </row>
    <row r="479" spans="1:7" x14ac:dyDescent="0.3">
      <c r="A479" vm="954">
        <v>45870</v>
      </c>
      <c r="B479" s="4" vm="955">
        <v>24565.35</v>
      </c>
      <c r="C479" s="4" vm="3742">
        <v>1796.2</v>
      </c>
      <c r="D479" s="4" vm="3743">
        <v>5528</v>
      </c>
      <c r="E479" s="4" vm="3744">
        <v>1138.25</v>
      </c>
      <c r="F479" s="4" vm="3745">
        <v>304.75</v>
      </c>
      <c r="G479" s="4" vm="3746">
        <v>81.95</v>
      </c>
    </row>
    <row r="480" spans="1:7" x14ac:dyDescent="0.3">
      <c r="A480" vm="956">
        <v>45873</v>
      </c>
      <c r="B480" s="4" vm="957">
        <v>24722.75</v>
      </c>
      <c r="C480" s="4" vm="3747">
        <v>1831.5</v>
      </c>
      <c r="D480" s="4" vm="3748">
        <v>5621</v>
      </c>
      <c r="E480" s="4" vm="3749">
        <v>1138.7</v>
      </c>
      <c r="F480" s="4" vm="3750">
        <v>305.25</v>
      </c>
      <c r="G480" s="4" vm="3751">
        <v>83.23</v>
      </c>
    </row>
    <row r="481" spans="1:7" x14ac:dyDescent="0.3">
      <c r="A481" vm="958">
        <v>45874</v>
      </c>
      <c r="B481" s="4" vm="959">
        <v>24649.55</v>
      </c>
      <c r="C481" s="4" vm="3752">
        <v>1857</v>
      </c>
      <c r="D481" s="4" vm="3753">
        <v>5681</v>
      </c>
      <c r="E481" s="4" vm="3754">
        <v>1133.6500000000001</v>
      </c>
      <c r="F481" s="4" vm="3755">
        <v>302.14999999999998</v>
      </c>
      <c r="G481" s="4" vm="3756">
        <v>83.61</v>
      </c>
    </row>
    <row r="482" spans="1:7" x14ac:dyDescent="0.3">
      <c r="A482" vm="960">
        <v>45875</v>
      </c>
      <c r="B482" s="4" vm="961">
        <v>24574.2</v>
      </c>
      <c r="C482" s="4" vm="3757">
        <v>1854.3</v>
      </c>
      <c r="D482" s="4" vm="3758">
        <v>5668</v>
      </c>
      <c r="E482" s="4" vm="3759">
        <v>1116.6500000000001</v>
      </c>
      <c r="F482" s="4" vm="3760">
        <v>298.85000000000002</v>
      </c>
      <c r="G482" s="4" vm="3761">
        <v>83.44</v>
      </c>
    </row>
    <row r="483" spans="1:7" x14ac:dyDescent="0.3">
      <c r="A483" vm="962">
        <v>45876</v>
      </c>
      <c r="B483" s="4" vm="963">
        <v>24596.15</v>
      </c>
      <c r="C483" s="4" vm="3762">
        <v>1861.1</v>
      </c>
      <c r="D483" s="4" vm="3763">
        <v>5681.5</v>
      </c>
      <c r="E483" s="4" vm="3764">
        <v>1117.3</v>
      </c>
      <c r="F483" s="4" vm="3765">
        <v>301.75</v>
      </c>
      <c r="G483" s="4" vm="3766">
        <v>83.94</v>
      </c>
    </row>
    <row r="484" spans="1:7" x14ac:dyDescent="0.3">
      <c r="A484" vm="964">
        <v>45877</v>
      </c>
      <c r="B484" s="4" vm="965">
        <v>24363.3</v>
      </c>
      <c r="C484" s="4" vm="3767">
        <v>1833.6</v>
      </c>
      <c r="D484" s="4" vm="3768">
        <v>5663</v>
      </c>
      <c r="E484" s="4" vm="3769">
        <v>1096.5</v>
      </c>
      <c r="F484" s="4" vm="3770">
        <v>300.89999999999998</v>
      </c>
      <c r="G484" s="4" vm="3771">
        <v>84.36</v>
      </c>
    </row>
    <row r="485" spans="1:7" x14ac:dyDescent="0.3">
      <c r="A485" vm="966">
        <v>45880</v>
      </c>
      <c r="B485" s="4" vm="967">
        <v>24585.05</v>
      </c>
      <c r="C485" s="4" vm="3772">
        <v>1851</v>
      </c>
      <c r="D485" s="4" vm="3773">
        <v>5671.5</v>
      </c>
      <c r="E485" s="4" vm="3774">
        <v>1105</v>
      </c>
      <c r="F485" s="4" vm="3775">
        <v>309.39999999999998</v>
      </c>
      <c r="G485" s="4" vm="3751">
        <v>83.23</v>
      </c>
    </row>
    <row r="486" spans="1:7" x14ac:dyDescent="0.3">
      <c r="A486" vm="968">
        <v>45881</v>
      </c>
      <c r="B486" s="4" vm="969">
        <v>24487.4</v>
      </c>
      <c r="C486" s="4" vm="3776">
        <v>1838</v>
      </c>
      <c r="D486" s="4" vm="3777">
        <v>5658</v>
      </c>
      <c r="E486" s="4" vm="3778">
        <v>1091.0999999999999</v>
      </c>
      <c r="F486" s="4" vm="3779">
        <v>305.89999999999998</v>
      </c>
      <c r="G486" s="4" vm="3780">
        <v>82.98</v>
      </c>
    </row>
    <row r="487" spans="1:7" x14ac:dyDescent="0.3">
      <c r="A487" vm="970">
        <v>45882</v>
      </c>
      <c r="B487" s="4" vm="971">
        <v>24619.35</v>
      </c>
      <c r="C487" s="4" vm="3781">
        <v>1840.3</v>
      </c>
      <c r="D487" s="4" vm="3782">
        <v>5714.5</v>
      </c>
      <c r="E487" s="4" vm="3783">
        <v>1096.9000000000001</v>
      </c>
      <c r="F487" s="4" vm="3784">
        <v>312.35000000000002</v>
      </c>
      <c r="G487" s="4" vm="3785">
        <v>83.19</v>
      </c>
    </row>
    <row r="488" spans="1:7" x14ac:dyDescent="0.3">
      <c r="A488" vm="972">
        <v>45883</v>
      </c>
      <c r="B488" s="4" vm="973">
        <v>24631.3</v>
      </c>
      <c r="C488" s="4" vm="3786">
        <v>1840.6</v>
      </c>
      <c r="D488" s="4" vm="3787">
        <v>5764</v>
      </c>
      <c r="E488" s="4" vm="3788">
        <v>1089.4000000000001</v>
      </c>
      <c r="F488" s="4" vm="3789">
        <v>318.39999999999998</v>
      </c>
      <c r="G488" s="4" vm="3790">
        <v>83.14</v>
      </c>
    </row>
    <row r="489" spans="1:7" x14ac:dyDescent="0.3">
      <c r="A489" vm="974">
        <v>45887</v>
      </c>
      <c r="B489" s="4" vm="975">
        <v>24876.95</v>
      </c>
      <c r="C489" s="4" vm="3791">
        <v>1863</v>
      </c>
      <c r="D489" s="4" vm="3792">
        <v>5912</v>
      </c>
      <c r="E489" s="4" vm="3793">
        <v>1144.0999999999999</v>
      </c>
      <c r="F489" s="4" vm="3794">
        <v>314.89999999999998</v>
      </c>
      <c r="G489" s="4" vm="3795">
        <v>82.75</v>
      </c>
    </row>
    <row r="490" spans="1:7" x14ac:dyDescent="0.3">
      <c r="A490" vm="976">
        <v>45888</v>
      </c>
      <c r="B490" s="4" vm="977">
        <v>24980.65</v>
      </c>
      <c r="C490" s="4" vm="3796">
        <v>1854.1</v>
      </c>
      <c r="D490" s="4" vm="3797">
        <v>5938.5</v>
      </c>
      <c r="E490" s="4" vm="3798">
        <v>1161.4000000000001</v>
      </c>
      <c r="F490" s="4" vm="3799">
        <v>321.45</v>
      </c>
      <c r="G490" s="4" vm="3800">
        <v>82.31</v>
      </c>
    </row>
    <row r="491" spans="1:7" x14ac:dyDescent="0.3">
      <c r="A491" vm="978">
        <v>45889</v>
      </c>
      <c r="B491" s="4" vm="979">
        <v>25050.55</v>
      </c>
      <c r="C491" s="4" vm="3801">
        <v>1858.5</v>
      </c>
      <c r="D491" s="4" vm="3802">
        <v>5937.5</v>
      </c>
      <c r="E491" s="4" vm="3803">
        <v>1190.3</v>
      </c>
      <c r="F491" s="4" vm="3804">
        <v>326.55</v>
      </c>
      <c r="G491" s="4" vm="3805">
        <v>82.08</v>
      </c>
    </row>
    <row r="492" spans="1:7" x14ac:dyDescent="0.3">
      <c r="A492" vm="980">
        <v>45890</v>
      </c>
      <c r="B492" s="4" vm="981">
        <v>25083.75</v>
      </c>
      <c r="C492" s="4" vm="3806">
        <v>1877.3</v>
      </c>
      <c r="D492" s="4" vm="3807">
        <v>5975</v>
      </c>
      <c r="E492" s="4" vm="3808">
        <v>1179.4000000000001</v>
      </c>
      <c r="F492" s="4" vm="3809">
        <v>321.8</v>
      </c>
      <c r="G492" s="4" vm="3810">
        <v>82.55</v>
      </c>
    </row>
    <row r="493" spans="1:7" x14ac:dyDescent="0.3">
      <c r="A493" vm="982">
        <v>45891</v>
      </c>
      <c r="B493" s="4" vm="983">
        <v>24870.1</v>
      </c>
      <c r="C493" s="4" vm="3811">
        <v>1859</v>
      </c>
      <c r="D493" s="4" vm="3812">
        <v>5924.5</v>
      </c>
      <c r="E493" s="4" vm="3813">
        <v>1162.9000000000001</v>
      </c>
      <c r="F493" s="4" vm="3814">
        <v>319.10000000000002</v>
      </c>
      <c r="G493" s="4" vm="3815">
        <v>82.62</v>
      </c>
    </row>
    <row r="494" spans="1:7" x14ac:dyDescent="0.3">
      <c r="A494" vm="984">
        <v>45894</v>
      </c>
      <c r="B494" s="4" vm="985">
        <v>24967.75</v>
      </c>
      <c r="C494" s="4" vm="3816">
        <v>1846.8</v>
      </c>
      <c r="D494" s="4" vm="3817">
        <v>5990.5</v>
      </c>
      <c r="E494" s="4" vm="3818">
        <v>1153</v>
      </c>
      <c r="F494" s="4" vm="3819">
        <v>319.25</v>
      </c>
      <c r="G494" s="4" vm="3820">
        <v>83.5</v>
      </c>
    </row>
    <row r="495" spans="1:7" x14ac:dyDescent="0.3">
      <c r="A495" vm="986">
        <v>45895</v>
      </c>
      <c r="B495" s="4" vm="987">
        <v>24712.05</v>
      </c>
      <c r="C495" s="4" vm="3821">
        <v>1816.6</v>
      </c>
      <c r="D495" s="4" vm="3822">
        <v>6151</v>
      </c>
      <c r="E495" s="4" vm="3823">
        <v>1162.2</v>
      </c>
      <c r="F495" s="4" vm="3824">
        <v>317.89999999999998</v>
      </c>
      <c r="G495" s="4" vm="3825">
        <v>83.83</v>
      </c>
    </row>
    <row r="496" spans="1:7" x14ac:dyDescent="0.3">
      <c r="A496" vm="988">
        <v>45897</v>
      </c>
      <c r="B496" s="4" vm="989">
        <v>24500.9</v>
      </c>
      <c r="C496" s="4" vm="3826">
        <v>1816.8</v>
      </c>
      <c r="D496" s="4" vm="3827">
        <v>6133</v>
      </c>
      <c r="E496" s="4" vm="3828">
        <v>1162.4000000000001</v>
      </c>
      <c r="F496" s="4" vm="3829">
        <v>315.5</v>
      </c>
      <c r="G496" s="4" vm="3830">
        <v>84.42</v>
      </c>
    </row>
    <row r="497" spans="1:7" x14ac:dyDescent="0.3">
      <c r="A497" vm="990">
        <v>45898</v>
      </c>
      <c r="B497" s="4" vm="991">
        <v>24426.85</v>
      </c>
      <c r="C497" s="4" vm="3831">
        <v>1805.5</v>
      </c>
      <c r="D497" s="4" vm="3832">
        <v>6103</v>
      </c>
      <c r="E497" s="4" vm="3833">
        <v>1156.2</v>
      </c>
      <c r="F497" s="4" vm="3834">
        <v>313.95</v>
      </c>
      <c r="G497" s="4" vm="3835">
        <v>85.34</v>
      </c>
    </row>
    <row r="498" spans="1:7" x14ac:dyDescent="0.3">
      <c r="A498" vm="992">
        <v>45901</v>
      </c>
      <c r="B498" s="4" vm="993">
        <v>24625.05</v>
      </c>
      <c r="C498" s="4" vm="3836">
        <v>1809.8</v>
      </c>
      <c r="D498" s="4" vm="3837">
        <v>6280</v>
      </c>
      <c r="E498" s="4" vm="3838">
        <v>1174.4000000000001</v>
      </c>
      <c r="F498" s="4" vm="3839">
        <v>321.10000000000002</v>
      </c>
      <c r="G498" s="4" vm="3840">
        <v>86.61</v>
      </c>
    </row>
    <row r="499" spans="1:7" x14ac:dyDescent="0.3">
      <c r="A499" vm="994">
        <v>45902</v>
      </c>
      <c r="B499" s="4" vm="995">
        <v>24579.599999999999</v>
      </c>
      <c r="C499" s="4" vm="3841">
        <v>1814.5</v>
      </c>
      <c r="D499" s="4" vm="3842">
        <v>6349</v>
      </c>
      <c r="E499" s="4" vm="3843">
        <v>1200.9000000000001</v>
      </c>
      <c r="F499" s="4" vm="3844">
        <v>322.39999999999998</v>
      </c>
      <c r="G499" s="4" vm="3840">
        <v>86.61</v>
      </c>
    </row>
    <row r="500" spans="1:7" x14ac:dyDescent="0.3">
      <c r="A500" vm="996">
        <v>45903</v>
      </c>
      <c r="B500" s="4" vm="997">
        <v>24715.05</v>
      </c>
      <c r="C500" s="4" vm="3845">
        <v>1810.7</v>
      </c>
      <c r="D500" s="4" vm="3846">
        <v>6371.5</v>
      </c>
      <c r="E500" s="4" vm="3847">
        <v>1194.8</v>
      </c>
      <c r="F500" s="4" vm="3848">
        <v>326.10000000000002</v>
      </c>
      <c r="G500" s="4" vm="3849">
        <v>87.88</v>
      </c>
    </row>
    <row r="501" spans="1:7" x14ac:dyDescent="0.3">
      <c r="A501" vm="998">
        <v>45904</v>
      </c>
      <c r="B501" s="4" vm="999">
        <v>24734.3</v>
      </c>
      <c r="C501" s="4" vm="3850">
        <v>1791.1</v>
      </c>
      <c r="D501" s="4" vm="3851">
        <v>6425</v>
      </c>
      <c r="E501" s="4" vm="3852">
        <v>1212.5999999999999</v>
      </c>
      <c r="F501" s="4" vm="3853">
        <v>326.25</v>
      </c>
      <c r="G501" s="4" vm="3854">
        <v>88.16</v>
      </c>
    </row>
    <row r="502" spans="1:7" x14ac:dyDescent="0.3">
      <c r="A502" vm="1000">
        <v>45905</v>
      </c>
      <c r="B502" s="4" vm="1001">
        <v>24741</v>
      </c>
      <c r="C502" s="4" vm="3855">
        <v>1805.3</v>
      </c>
      <c r="D502" s="4" vm="3856">
        <v>6580.5</v>
      </c>
      <c r="E502" s="4" vm="3857">
        <v>1208.5</v>
      </c>
      <c r="F502" s="4" vm="3858">
        <v>329.15</v>
      </c>
      <c r="G502" s="4" vm="3859">
        <v>88.65</v>
      </c>
    </row>
    <row r="503" spans="1:7" x14ac:dyDescent="0.3">
      <c r="A503" vm="1002">
        <v>45908</v>
      </c>
      <c r="B503" s="4" vm="1003">
        <v>24773.15</v>
      </c>
      <c r="C503" s="4" vm="3860">
        <v>1780.9</v>
      </c>
      <c r="D503" s="4" vm="3861">
        <v>6815</v>
      </c>
      <c r="E503" s="4" vm="3862">
        <v>1187.7</v>
      </c>
      <c r="F503" s="4" vm="3863">
        <v>329.65</v>
      </c>
      <c r="G503" s="4" vm="3864">
        <v>89.98</v>
      </c>
    </row>
    <row r="504" spans="1:7" x14ac:dyDescent="0.3">
      <c r="A504" vm="1004">
        <v>45909</v>
      </c>
      <c r="B504" s="4" vm="1005">
        <v>24868.6</v>
      </c>
      <c r="C504" s="4" vm="3865">
        <v>1805.7</v>
      </c>
      <c r="D504" s="4" vm="3866">
        <v>6874.5</v>
      </c>
      <c r="E504" s="4" vm="3619">
        <v>1202.2</v>
      </c>
      <c r="F504" s="4" vm="3867">
        <v>325.7</v>
      </c>
      <c r="G504" s="4" vm="3868">
        <v>91.17</v>
      </c>
    </row>
    <row r="505" spans="1:7" x14ac:dyDescent="0.3">
      <c r="A505" vm="1006">
        <v>45910</v>
      </c>
      <c r="B505" s="4" vm="1007">
        <v>24973.1</v>
      </c>
      <c r="C505" s="4" vm="3869">
        <v>1833.7</v>
      </c>
      <c r="D505" s="4" vm="3870">
        <v>6836.5</v>
      </c>
      <c r="E505" s="4" vm="3527">
        <v>1217.5</v>
      </c>
      <c r="F505" s="4" vm="3871">
        <v>324.39999999999998</v>
      </c>
      <c r="G505" s="4" vm="3872">
        <v>90.9</v>
      </c>
    </row>
    <row r="506" spans="1:7" x14ac:dyDescent="0.3">
      <c r="A506" vm="1008">
        <v>45911</v>
      </c>
      <c r="B506" s="4" vm="1009">
        <v>25005.5</v>
      </c>
      <c r="C506" s="4" vm="3873">
        <v>1814.2</v>
      </c>
      <c r="D506" s="4" vm="3874">
        <v>6758</v>
      </c>
      <c r="E506" s="4" vm="3875">
        <v>1220.8</v>
      </c>
      <c r="F506" s="4" vm="3876">
        <v>328.1</v>
      </c>
      <c r="G506" s="4" vm="3877">
        <v>90.62</v>
      </c>
    </row>
    <row r="507" spans="1:7" x14ac:dyDescent="0.3">
      <c r="A507" vm="1010">
        <v>45912</v>
      </c>
      <c r="B507" s="4" vm="1011">
        <v>25114</v>
      </c>
      <c r="C507" s="4" vm="3878">
        <v>1830.2</v>
      </c>
      <c r="D507" s="4" vm="3879">
        <v>6875</v>
      </c>
      <c r="E507" s="4" vm="3880">
        <v>1217.5999999999999</v>
      </c>
      <c r="F507" s="4" vm="3881">
        <v>321.39999999999998</v>
      </c>
      <c r="G507" s="4" vm="3882">
        <v>91.26</v>
      </c>
    </row>
    <row r="508" spans="1:7" x14ac:dyDescent="0.3">
      <c r="A508" vm="1012">
        <v>45915</v>
      </c>
      <c r="B508" s="4" vm="1013">
        <v>25069.200000000001</v>
      </c>
      <c r="C508" s="4" vm="3883">
        <v>1822.2</v>
      </c>
      <c r="D508" s="4" vm="3884">
        <v>6801</v>
      </c>
      <c r="E508" s="4" vm="3885">
        <v>1212.5</v>
      </c>
      <c r="F508" s="4" vm="3886">
        <v>323.3</v>
      </c>
      <c r="G508" s="4" vm="3887">
        <v>90.92</v>
      </c>
    </row>
    <row r="509" spans="1:7" x14ac:dyDescent="0.3">
      <c r="A509" vm="1014">
        <v>45916</v>
      </c>
      <c r="B509" s="4" vm="1015">
        <v>25239.1</v>
      </c>
      <c r="C509" s="4" vm="3888">
        <v>1818.8</v>
      </c>
      <c r="D509" s="4" vm="3889">
        <v>6927.5</v>
      </c>
      <c r="E509" s="4" vm="3890">
        <v>1204.2</v>
      </c>
      <c r="F509" s="4" vm="3891">
        <v>327.3</v>
      </c>
      <c r="G509" s="4" vm="3892">
        <v>92.27</v>
      </c>
    </row>
    <row r="510" spans="1:7" x14ac:dyDescent="0.3">
      <c r="A510" vm="1016">
        <v>45917</v>
      </c>
      <c r="B510" s="4" vm="1017">
        <v>25330.25</v>
      </c>
      <c r="C510" s="4" vm="3893">
        <v>1804</v>
      </c>
      <c r="D510" s="4" vm="3894">
        <v>6890.5</v>
      </c>
      <c r="E510" s="4" vm="3895">
        <v>1204.3</v>
      </c>
      <c r="F510" s="4" vm="3896">
        <v>328.25</v>
      </c>
      <c r="G510" s="4" vm="3897">
        <v>91.25</v>
      </c>
    </row>
    <row r="511" spans="1:7" x14ac:dyDescent="0.3">
      <c r="A511" vm="1018">
        <v>45918</v>
      </c>
      <c r="B511" s="4" vm="1019">
        <v>25423.599999999999</v>
      </c>
      <c r="C511" s="4" vm="3898">
        <v>1821.8</v>
      </c>
      <c r="D511" s="4" vm="3899">
        <v>6924.5</v>
      </c>
      <c r="E511" s="4" vm="3900">
        <v>1209.0999999999999</v>
      </c>
      <c r="F511" s="4" vm="3901">
        <v>337.85</v>
      </c>
      <c r="G511" s="4" vm="3902">
        <v>91.6</v>
      </c>
    </row>
    <row r="512" spans="1:7" x14ac:dyDescent="0.3">
      <c r="A512" vm="1020">
        <v>45919</v>
      </c>
      <c r="B512" s="4" vm="1021">
        <v>25327.05</v>
      </c>
      <c r="C512" s="4" vm="3903">
        <v>1841.7</v>
      </c>
      <c r="D512" s="4" vm="3904">
        <v>6973.5</v>
      </c>
      <c r="E512" s="4" vm="3905">
        <v>1194.5</v>
      </c>
      <c r="F512" s="4" vm="3906">
        <v>336.55</v>
      </c>
      <c r="G512" s="4" vm="3907">
        <v>91.29</v>
      </c>
    </row>
    <row r="513" spans="1:7" x14ac:dyDescent="0.3">
      <c r="A513" vm="1022">
        <v>45922</v>
      </c>
      <c r="B513" s="4" vm="1023">
        <v>25202.35</v>
      </c>
      <c r="C513" s="4" vm="3908">
        <v>1857.7</v>
      </c>
      <c r="D513" s="4" vm="3909">
        <v>6946</v>
      </c>
      <c r="E513" s="4" vm="3910">
        <v>1188.3</v>
      </c>
      <c r="F513" s="4" vm="3911">
        <v>341.85</v>
      </c>
      <c r="G513" s="4" vm="3912">
        <v>93.14</v>
      </c>
    </row>
    <row r="514" spans="1:7" x14ac:dyDescent="0.3">
      <c r="A514" vm="1024">
        <v>45923</v>
      </c>
      <c r="B514" s="4" vm="1025">
        <v>25169.5</v>
      </c>
      <c r="C514" s="4" vm="3913">
        <v>1819.4</v>
      </c>
      <c r="D514" s="4" vm="3914">
        <v>6990.5</v>
      </c>
      <c r="E514" s="4" vm="3915">
        <v>1168.4000000000001</v>
      </c>
      <c r="F514" s="4" vm="3916">
        <v>338.35</v>
      </c>
      <c r="G514" s="4" vm="3917">
        <v>95.13</v>
      </c>
    </row>
    <row r="515" spans="1:7" x14ac:dyDescent="0.3">
      <c r="A515" vm="1026">
        <v>45924</v>
      </c>
      <c r="B515" s="4" vm="1027">
        <v>25056.9</v>
      </c>
      <c r="C515" s="4" vm="3918">
        <v>1817.1</v>
      </c>
      <c r="D515" s="4" vm="3919">
        <v>7011.5</v>
      </c>
      <c r="E515" s="4" vm="3920">
        <v>1178.5999999999999</v>
      </c>
      <c r="F515" s="4" vm="3921">
        <v>335.8</v>
      </c>
      <c r="G515" s="4" vm="3922">
        <v>94.64</v>
      </c>
    </row>
    <row r="516" spans="1:7" x14ac:dyDescent="0.3">
      <c r="A516" vm="1028">
        <v>45925</v>
      </c>
      <c r="B516" s="4" vm="1029">
        <v>24890.85</v>
      </c>
      <c r="C516" s="4" vm="3836">
        <v>1809.8</v>
      </c>
      <c r="D516" s="4" vm="3923">
        <v>6986</v>
      </c>
      <c r="E516" s="4" vm="3924">
        <v>1173.5</v>
      </c>
      <c r="F516" s="4" vm="3925">
        <v>332.25</v>
      </c>
      <c r="G516" s="4" vm="3926">
        <v>94.43</v>
      </c>
    </row>
    <row r="517" spans="1:7" x14ac:dyDescent="0.3">
      <c r="A517" vm="1030">
        <v>45926</v>
      </c>
      <c r="B517" s="4" vm="1031">
        <v>24654.7</v>
      </c>
      <c r="C517" s="4" vm="3927">
        <v>1798.8</v>
      </c>
      <c r="D517" s="4" vm="3928">
        <v>7047</v>
      </c>
      <c r="E517" s="4" vm="3929">
        <v>1162.5999999999999</v>
      </c>
      <c r="F517" s="4" vm="3930">
        <v>321</v>
      </c>
      <c r="G517" s="4" vm="3931">
        <v>94.22</v>
      </c>
    </row>
    <row r="518" spans="1:7" x14ac:dyDescent="0.3">
      <c r="A518" vm="1032">
        <v>45929</v>
      </c>
      <c r="B518" s="4" vm="1033">
        <v>24634.9</v>
      </c>
      <c r="C518" s="4" vm="3932">
        <v>1788.7</v>
      </c>
      <c r="D518" s="4" vm="3933">
        <v>6985</v>
      </c>
      <c r="E518" s="4" vm="3934">
        <v>1152.5</v>
      </c>
      <c r="F518" s="4" vm="3935">
        <v>324.85000000000002</v>
      </c>
      <c r="G518" s="4" vm="3936">
        <v>95.9</v>
      </c>
    </row>
    <row r="519" spans="1:7" x14ac:dyDescent="0.3">
      <c r="A519" vm="1034">
        <v>45930</v>
      </c>
      <c r="B519" s="4" vm="1035">
        <v>24611.1</v>
      </c>
      <c r="C519" s="4" vm="3937">
        <v>1790.6</v>
      </c>
      <c r="D519" s="4" vm="3938">
        <v>7005.5</v>
      </c>
      <c r="E519" s="4" vm="3939">
        <v>1152.9000000000001</v>
      </c>
      <c r="F519" s="4" vm="3940">
        <v>325.5</v>
      </c>
      <c r="G519" s="4" vm="3941">
        <v>95.85</v>
      </c>
    </row>
    <row r="520" spans="1:7" x14ac:dyDescent="0.3">
      <c r="A520" vm="1036">
        <v>45931</v>
      </c>
      <c r="B520" s="4" vm="1037">
        <v>24836.3</v>
      </c>
      <c r="C520" s="4" vm="3942">
        <v>1801.1</v>
      </c>
      <c r="D520" s="4" vm="3943">
        <v>7021.5</v>
      </c>
      <c r="E520" s="4" vm="3944">
        <v>1166.4000000000001</v>
      </c>
      <c r="F520" s="4" vm="3945">
        <v>329</v>
      </c>
      <c r="G520" s="4" vm="3946">
        <v>97.63</v>
      </c>
    </row>
    <row r="521" spans="1:7" x14ac:dyDescent="0.3">
      <c r="A521" vm="1038">
        <v>45933</v>
      </c>
      <c r="B521" s="4" vm="1039">
        <v>24894.25</v>
      </c>
      <c r="C521" s="4" vm="3947">
        <v>1785.1</v>
      </c>
      <c r="D521" s="4" vm="3948">
        <v>6941</v>
      </c>
      <c r="E521" s="4" vm="3949">
        <v>1169.9000000000001</v>
      </c>
      <c r="F521" s="4" vm="3950">
        <v>328.45</v>
      </c>
      <c r="G521" s="4" vm="3951">
        <v>97.07</v>
      </c>
    </row>
    <row r="522" spans="1:7" x14ac:dyDescent="0.3">
      <c r="A522" vm="1040">
        <v>45936</v>
      </c>
      <c r="B522" s="4" vm="1041">
        <v>25077.65</v>
      </c>
      <c r="C522" s="4" vm="3952">
        <v>1770.9</v>
      </c>
      <c r="D522" s="4" vm="3953">
        <v>6880</v>
      </c>
      <c r="E522" s="4" vm="3954">
        <v>1181.7</v>
      </c>
      <c r="F522" s="4" vm="3955">
        <v>335.1</v>
      </c>
      <c r="G522" s="4" vm="3956">
        <v>99.22</v>
      </c>
    </row>
    <row r="523" spans="1:7" x14ac:dyDescent="0.3">
      <c r="A523" vm="1042">
        <v>45937</v>
      </c>
      <c r="B523" s="4" vm="1043">
        <v>25108.3</v>
      </c>
      <c r="C523" s="4" vm="3957">
        <v>1784.1</v>
      </c>
      <c r="D523" s="4" vm="3958">
        <v>6957</v>
      </c>
      <c r="E523" s="4" vm="3959">
        <v>1176.8</v>
      </c>
      <c r="F523" s="4" vm="3901">
        <v>337.85</v>
      </c>
      <c r="G523" s="4" vm="3960">
        <v>99.66</v>
      </c>
    </row>
    <row r="524" spans="1:7" x14ac:dyDescent="0.3">
      <c r="A524" vm="1044">
        <v>45938</v>
      </c>
      <c r="B524" s="4" vm="1045">
        <v>25046.15</v>
      </c>
      <c r="C524" s="4" vm="3961">
        <v>1772.9</v>
      </c>
      <c r="D524" s="4" vm="3962">
        <v>6902.5</v>
      </c>
      <c r="E524" s="4" vm="3963">
        <v>1180.5</v>
      </c>
      <c r="F524" s="4" vm="3964">
        <v>341.65</v>
      </c>
      <c r="G524" s="4" vm="3965">
        <v>101.69</v>
      </c>
    </row>
    <row r="525" spans="1:7" x14ac:dyDescent="0.3">
      <c r="A525" vm="1046">
        <v>45939</v>
      </c>
      <c r="B525" s="4" vm="1047">
        <v>25181.8</v>
      </c>
      <c r="C525" s="4" vm="3836">
        <v>1809.8</v>
      </c>
      <c r="D525" s="4" vm="3966">
        <v>6896.5</v>
      </c>
      <c r="E525" s="4" vm="3967">
        <v>1187.8</v>
      </c>
      <c r="F525" s="4" vm="3968">
        <v>345.5</v>
      </c>
      <c r="G525" s="4" vm="3969">
        <v>101.47</v>
      </c>
    </row>
    <row r="526" spans="1:7" x14ac:dyDescent="0.3">
      <c r="A526" vm="1048">
        <v>45940</v>
      </c>
      <c r="B526" s="4" vm="1049">
        <v>25285.35</v>
      </c>
      <c r="C526" s="4" vm="3970">
        <v>1810.4</v>
      </c>
      <c r="D526" s="4" vm="3971">
        <v>6965</v>
      </c>
      <c r="E526" s="4" vm="3972">
        <v>1199.5</v>
      </c>
      <c r="F526" s="4" vm="3973">
        <v>348.3</v>
      </c>
      <c r="G526" s="4" vm="3974">
        <v>100.67</v>
      </c>
    </row>
    <row r="527" spans="1:7" x14ac:dyDescent="0.3">
      <c r="A527" vm="1050">
        <v>45943</v>
      </c>
      <c r="B527" s="4" vm="1051">
        <v>25227.35</v>
      </c>
      <c r="C527" s="4" vm="3975">
        <v>1815.3</v>
      </c>
      <c r="D527" s="4" vm="3976">
        <v>6912</v>
      </c>
      <c r="E527" s="4" vm="3977">
        <v>1188.0999999999999</v>
      </c>
      <c r="F527" s="4" vm="3978">
        <v>348.35</v>
      </c>
      <c r="G527" s="4" vm="3979">
        <v>102.65</v>
      </c>
    </row>
    <row r="528" spans="1:7" x14ac:dyDescent="0.3">
      <c r="A528" vm="1052">
        <v>45944</v>
      </c>
      <c r="B528" s="4" vm="1053">
        <v>25145.5</v>
      </c>
      <c r="C528" s="4" vm="3980">
        <v>1816.2</v>
      </c>
      <c r="D528" s="4" vm="3981">
        <v>6887</v>
      </c>
      <c r="E528" s="4" vm="3982">
        <v>1175.5</v>
      </c>
      <c r="F528" s="4" vm="3983">
        <v>347.75</v>
      </c>
      <c r="G528" s="4" vm="3984">
        <v>105.09</v>
      </c>
    </row>
    <row r="529" spans="1:7" x14ac:dyDescent="0.3">
      <c r="A529" vm="1054">
        <v>45945</v>
      </c>
      <c r="B529" s="4" vm="1055">
        <v>25323.55</v>
      </c>
      <c r="C529" s="4" vm="3786">
        <v>1840.6</v>
      </c>
      <c r="D529" s="4" vm="3985">
        <v>6895</v>
      </c>
      <c r="E529" s="4" vm="3986">
        <v>1221.4000000000001</v>
      </c>
      <c r="F529" s="4" vm="3987">
        <v>354.35</v>
      </c>
      <c r="G529" s="4" vm="3988">
        <v>105.29</v>
      </c>
    </row>
    <row r="530" spans="1:7" x14ac:dyDescent="0.3">
      <c r="A530" vm="1056">
        <v>45946</v>
      </c>
      <c r="B530" s="4" vm="1057">
        <v>25585.3</v>
      </c>
      <c r="C530" s="4" vm="3989">
        <v>1835.7</v>
      </c>
      <c r="D530" s="4" vm="3990">
        <v>6988</v>
      </c>
      <c r="E530" s="4" vm="3991">
        <v>1276.5999999999999</v>
      </c>
      <c r="F530" s="4" vm="3992">
        <v>347.85</v>
      </c>
      <c r="G530" s="4" vm="3993">
        <v>105.37</v>
      </c>
    </row>
    <row r="531" spans="1:7" x14ac:dyDescent="0.3">
      <c r="A531" vm="1058">
        <v>45947</v>
      </c>
      <c r="B531" s="4" vm="1059">
        <v>25709.85</v>
      </c>
      <c r="C531" s="4" vm="3994">
        <v>1844.1</v>
      </c>
      <c r="D531" s="4" vm="3995">
        <v>7042.5</v>
      </c>
      <c r="E531" s="4" vm="2033">
        <v>1289.5</v>
      </c>
      <c r="F531" s="4" vm="3996">
        <v>342.65</v>
      </c>
      <c r="G531" s="4" vm="3997">
        <v>108.11</v>
      </c>
    </row>
    <row r="532" spans="1:7" x14ac:dyDescent="0.3">
      <c r="A532" vm="1060">
        <v>45950</v>
      </c>
      <c r="B532" s="4" vm="1061">
        <v>25843.15</v>
      </c>
      <c r="C532" s="4" vm="3998">
        <v>1839.7</v>
      </c>
      <c r="D532" s="4" vm="3999">
        <v>7013.5</v>
      </c>
      <c r="E532" s="4" vm="4000">
        <v>1285.4000000000001</v>
      </c>
      <c r="F532" s="4" vm="4001">
        <v>338.15</v>
      </c>
      <c r="G532" s="4" vm="4002">
        <v>105.14</v>
      </c>
    </row>
    <row r="533" spans="1:7" x14ac:dyDescent="0.3">
      <c r="A533" vm="1062">
        <v>45951</v>
      </c>
      <c r="B533" s="4" vm="1063">
        <v>25868.6</v>
      </c>
      <c r="C533" s="4" vm="4003">
        <v>1841</v>
      </c>
      <c r="D533" s="4" vm="4004">
        <v>7018.5</v>
      </c>
      <c r="E533" s="4" vm="4005">
        <v>1287.3</v>
      </c>
      <c r="F533" s="4" vm="4006">
        <v>338.1</v>
      </c>
      <c r="G533" s="4" vm="4007">
        <v>105.69</v>
      </c>
    </row>
    <row r="534" spans="1:7" x14ac:dyDescent="0.3">
      <c r="A534" vm="1064">
        <v>45953</v>
      </c>
      <c r="B534" s="4" vm="1065">
        <v>25891.4</v>
      </c>
      <c r="C534" s="4" vm="4008">
        <v>1852.7</v>
      </c>
      <c r="D534" s="4" vm="4009">
        <v>6884.5</v>
      </c>
      <c r="E534" s="4" vm="4010">
        <v>1272.8</v>
      </c>
      <c r="F534" s="4" vm="4011">
        <v>328.35</v>
      </c>
      <c r="G534" s="4" vm="4012">
        <v>101.7</v>
      </c>
    </row>
    <row r="535" spans="1:7" x14ac:dyDescent="0.3">
      <c r="A535" vm="1066">
        <v>45954</v>
      </c>
      <c r="B535" s="4" vm="1067">
        <v>25795.15</v>
      </c>
      <c r="C535" s="4" vm="4013">
        <v>1839.8</v>
      </c>
      <c r="D535" s="4" vm="4014">
        <v>6840</v>
      </c>
      <c r="E535" s="4" vm="4015">
        <v>1282</v>
      </c>
      <c r="F535" s="4" vm="4016">
        <v>326.60000000000002</v>
      </c>
      <c r="G535" s="4" vm="4017">
        <v>100.42</v>
      </c>
    </row>
    <row r="536" spans="1:7" x14ac:dyDescent="0.3">
      <c r="A536" vm="1068">
        <v>45957</v>
      </c>
      <c r="B536" s="4" vm="1069">
        <v>25966.05</v>
      </c>
      <c r="C536" s="4" vm="4018">
        <v>1903.1</v>
      </c>
      <c r="D536" s="4" vm="4019">
        <v>6906.5</v>
      </c>
      <c r="E536" s="4" vm="4020">
        <v>1283</v>
      </c>
      <c r="F536" s="4" vm="4021">
        <v>333.7</v>
      </c>
      <c r="G536" s="4" vm="4022">
        <v>100.14</v>
      </c>
    </row>
    <row r="537" spans="1:7" x14ac:dyDescent="0.3">
      <c r="A537" vm="1070">
        <v>45958</v>
      </c>
      <c r="B537" s="4" vm="1071">
        <v>25936.2</v>
      </c>
      <c r="C537" s="4" vm="4023">
        <v>1936.8</v>
      </c>
      <c r="D537" s="4" vm="4024">
        <v>7002.5</v>
      </c>
      <c r="E537" s="4" vm="4025">
        <v>1271</v>
      </c>
      <c r="F537" s="4" vm="4026">
        <v>334.6</v>
      </c>
      <c r="G537" s="4" vm="4027">
        <v>96.84</v>
      </c>
    </row>
    <row r="538" spans="1:7" x14ac:dyDescent="0.3">
      <c r="A538" vm="1072">
        <v>45959</v>
      </c>
      <c r="B538" s="4" vm="1073">
        <v>26053.9</v>
      </c>
      <c r="C538" s="4" vm="4028">
        <v>1970.4</v>
      </c>
      <c r="D538" s="4" vm="4029">
        <v>6952</v>
      </c>
      <c r="E538" s="4" vm="4030">
        <v>1273</v>
      </c>
      <c r="F538" s="4" vm="4031">
        <v>330.45</v>
      </c>
      <c r="G538" s="4" vm="1561">
        <v>99.95</v>
      </c>
    </row>
    <row r="539" spans="1:7" x14ac:dyDescent="0.3">
      <c r="A539" vm="1074">
        <v>45960</v>
      </c>
      <c r="B539" s="4" vm="1075">
        <v>25877.85</v>
      </c>
      <c r="C539" s="4" vm="4032">
        <v>1968.4</v>
      </c>
      <c r="D539" s="4" vm="4033">
        <v>6889</v>
      </c>
      <c r="E539" s="4" vm="4034">
        <v>1279.9000000000001</v>
      </c>
      <c r="F539" s="4" vm="4035">
        <v>329.35</v>
      </c>
      <c r="G539" s="4" vm="4036">
        <v>99.68</v>
      </c>
    </row>
    <row r="540" spans="1:7" x14ac:dyDescent="0.3">
      <c r="A540" vm="1076">
        <v>45961</v>
      </c>
      <c r="B540" s="4" vm="1077">
        <v>25722.1</v>
      </c>
      <c r="C540" s="4" vm="4037">
        <v>1955.7</v>
      </c>
      <c r="D540" s="4" vm="4038">
        <v>7007</v>
      </c>
      <c r="E540" s="4" vm="4039">
        <v>1271.5999999999999</v>
      </c>
      <c r="F540" s="4" vm="4040">
        <v>317.75</v>
      </c>
      <c r="G540" s="4" vm="4041">
        <v>100.02</v>
      </c>
    </row>
    <row r="541" spans="1:7" x14ac:dyDescent="0.3">
      <c r="A541" vm="1078">
        <v>45964</v>
      </c>
      <c r="B541" s="4" vm="1079">
        <v>25763.35</v>
      </c>
      <c r="C541" s="4" vm="4042">
        <v>1969.6</v>
      </c>
      <c r="D541" s="4" vm="4043">
        <v>7023.5</v>
      </c>
      <c r="E541" s="4" vm="4044">
        <v>1266.7</v>
      </c>
      <c r="F541" s="4" vm="4045">
        <v>322.60000000000002</v>
      </c>
      <c r="G541" s="4" vm="1497">
        <v>100.05</v>
      </c>
    </row>
    <row r="542" spans="1:7" x14ac:dyDescent="0.3">
      <c r="A542" vm="1080">
        <v>45965</v>
      </c>
      <c r="B542" s="4" vm="1081">
        <v>25597.65</v>
      </c>
      <c r="C542" s="4" vm="4046">
        <v>1971.5</v>
      </c>
      <c r="D542" s="4" vm="4047">
        <v>6930</v>
      </c>
      <c r="E542" s="4" vm="4048">
        <v>1265</v>
      </c>
      <c r="F542" s="4" vm="4049">
        <v>313.5</v>
      </c>
      <c r="G542" s="4" vm="4050">
        <v>99.8</v>
      </c>
    </row>
    <row r="543" spans="1:7" x14ac:dyDescent="0.3">
      <c r="A543" vm="1082">
        <v>45967</v>
      </c>
      <c r="B543" s="4" vm="1083">
        <v>25509.7</v>
      </c>
      <c r="C543" s="4" vm="4051">
        <v>1970.8</v>
      </c>
      <c r="D543" s="4" vm="4052">
        <v>6806.5</v>
      </c>
      <c r="E543" s="4" vm="4053">
        <v>1266.0999999999999</v>
      </c>
      <c r="F543" s="4" vm="4054">
        <v>305.64999999999998</v>
      </c>
      <c r="G543" s="4" vm="4055">
        <v>100.07</v>
      </c>
    </row>
    <row r="544" spans="1:7" x14ac:dyDescent="0.3">
      <c r="A544" vm="1084">
        <v>45968</v>
      </c>
      <c r="B544" s="4" vm="1085">
        <v>25492.3</v>
      </c>
      <c r="C544" s="4" vm="4056">
        <v>1998.9</v>
      </c>
      <c r="D544" s="4" vm="4057">
        <v>6886</v>
      </c>
      <c r="E544" s="4" vm="4058">
        <v>1262.7</v>
      </c>
      <c r="F544" s="4" vm="4059">
        <v>306.10000000000002</v>
      </c>
      <c r="G544" s="4" vm="4060">
        <v>99.94</v>
      </c>
    </row>
    <row r="545" spans="1:7" x14ac:dyDescent="0.3">
      <c r="A545" vm="1086">
        <v>45971</v>
      </c>
      <c r="B545" s="4" vm="1087">
        <v>25574.35</v>
      </c>
      <c r="C545" s="4" vm="4061">
        <v>1989.3</v>
      </c>
      <c r="D545" s="4" vm="4062">
        <v>6866.5</v>
      </c>
      <c r="E545" s="4" vm="4063">
        <v>1262.9000000000001</v>
      </c>
      <c r="F545" s="4" vm="4064">
        <v>301.45</v>
      </c>
      <c r="G545" s="4" vm="4012">
        <v>101.7</v>
      </c>
    </row>
    <row r="546" spans="1:7" x14ac:dyDescent="0.3">
      <c r="A546" vm="1088">
        <v>45972</v>
      </c>
      <c r="B546" s="4" vm="1089">
        <v>25694.95</v>
      </c>
      <c r="C546" s="4" vm="4065">
        <v>1997.3</v>
      </c>
      <c r="D546" s="4" vm="4066">
        <v>6873</v>
      </c>
      <c r="E546" s="4" vm="2189">
        <v>1268.0999999999999</v>
      </c>
      <c r="F546" s="4" vm="4067">
        <v>305.8</v>
      </c>
      <c r="G546" s="4" vm="4068">
        <v>103.29</v>
      </c>
    </row>
    <row r="547" spans="1:7" x14ac:dyDescent="0.3">
      <c r="A547" vm="1090">
        <v>45973</v>
      </c>
      <c r="B547" s="4" vm="1091">
        <v>25875.8</v>
      </c>
      <c r="C547" s="4" vm="4069">
        <v>1996.7</v>
      </c>
      <c r="D547" s="4" vm="4070">
        <v>6879</v>
      </c>
      <c r="E547" s="4" vm="4071">
        <v>1278.2</v>
      </c>
      <c r="F547" s="4" vm="4072">
        <v>308.8</v>
      </c>
      <c r="G547" s="4" vm="4073">
        <v>102.69</v>
      </c>
    </row>
    <row r="548" spans="1:7" x14ac:dyDescent="0.3">
      <c r="A548" vm="1092">
        <v>45974</v>
      </c>
      <c r="B548" s="4" vm="1093">
        <v>25879.15</v>
      </c>
      <c r="C548" s="4" vm="4074">
        <v>1987.9</v>
      </c>
      <c r="D548" s="4" vm="4075">
        <v>6855</v>
      </c>
      <c r="E548" s="4" vm="4076">
        <v>1275.2</v>
      </c>
      <c r="F548" s="4" vm="4077">
        <v>297.75</v>
      </c>
      <c r="G548" s="4" vm="3993">
        <v>105.37</v>
      </c>
    </row>
    <row r="549" spans="1:7" x14ac:dyDescent="0.3">
      <c r="A549" vm="1094">
        <v>45975</v>
      </c>
      <c r="B549" s="4" vm="1095">
        <v>25910.05</v>
      </c>
      <c r="C549" s="4" vm="4078">
        <v>2000.9</v>
      </c>
      <c r="D549" s="4" vm="4079">
        <v>6695</v>
      </c>
      <c r="E549" s="4" vm="4039">
        <v>1271.5999999999999</v>
      </c>
      <c r="F549" s="4" vm="4080">
        <v>303.75</v>
      </c>
      <c r="G549" s="4" vm="4081">
        <v>103.81</v>
      </c>
    </row>
    <row r="550" spans="1:7" x14ac:dyDescent="0.3">
      <c r="A550" vm="1096">
        <v>45978</v>
      </c>
      <c r="B550" s="4" vm="1097">
        <v>26013.45</v>
      </c>
      <c r="C550" s="4" vm="4082">
        <v>1996</v>
      </c>
      <c r="D550" s="4" vm="4083">
        <v>6799</v>
      </c>
      <c r="E550" s="4" vm="4084">
        <v>1270.3</v>
      </c>
      <c r="F550" s="4" vm="4085">
        <v>309.55</v>
      </c>
      <c r="G550" s="4" vm="4086">
        <v>101.94</v>
      </c>
    </row>
    <row r="551" spans="1:7" x14ac:dyDescent="0.3">
      <c r="A551" vm="1098">
        <v>45979</v>
      </c>
      <c r="B551" s="4" vm="1095">
        <v>25910.05</v>
      </c>
      <c r="C551" s="4" vm="4087">
        <v>1993.3</v>
      </c>
      <c r="D551" s="4" vm="4088">
        <v>6814.5</v>
      </c>
      <c r="E551" s="4" vm="4089">
        <v>1265.0999999999999</v>
      </c>
      <c r="F551" s="4" vm="4090">
        <v>306.14999999999998</v>
      </c>
      <c r="G551" s="4" vm="4091">
        <v>100.91</v>
      </c>
    </row>
    <row r="552" spans="1:7" x14ac:dyDescent="0.3">
      <c r="A552" vm="1099">
        <v>45980</v>
      </c>
      <c r="B552" s="4" vm="1100">
        <v>26052.65</v>
      </c>
      <c r="C552" s="4" vm="4092">
        <v>2004.8</v>
      </c>
      <c r="D552" s="4" vm="3966">
        <v>6896.5</v>
      </c>
      <c r="E552" s="4" vm="4093">
        <v>1279</v>
      </c>
      <c r="F552" s="4" vm="4094">
        <v>306.60000000000002</v>
      </c>
      <c r="G552" s="4" vm="4095">
        <v>102.23</v>
      </c>
    </row>
    <row r="553" spans="1:7" x14ac:dyDescent="0.3">
      <c r="A553" vm="1101">
        <v>45981</v>
      </c>
      <c r="B553" s="4" vm="1102">
        <v>26192.15</v>
      </c>
      <c r="C553" s="4" vm="4096">
        <v>2027.1</v>
      </c>
      <c r="D553" s="4" vm="4097">
        <v>7125.5</v>
      </c>
      <c r="E553" s="4" vm="4098">
        <v>1279.2</v>
      </c>
      <c r="F553" s="4" vm="4099">
        <v>306.89999999999998</v>
      </c>
      <c r="G553" s="4" vm="4100">
        <v>101.55</v>
      </c>
    </row>
    <row r="554" spans="1:7" x14ac:dyDescent="0.3">
      <c r="A554" vm="1103">
        <v>45982</v>
      </c>
      <c r="B554" s="4" vm="1104">
        <v>26068.15</v>
      </c>
      <c r="C554" s="4" vm="4101">
        <v>2022.5</v>
      </c>
      <c r="D554" s="4" vm="4102">
        <v>7134.5</v>
      </c>
      <c r="E554" s="4" vm="4103">
        <v>1280.7</v>
      </c>
      <c r="F554" s="4" vm="4104">
        <v>301.95</v>
      </c>
      <c r="G554" s="4" vm="4105">
        <v>102</v>
      </c>
    </row>
    <row r="555" spans="1:7" x14ac:dyDescent="0.3">
      <c r="A555" vm="1105">
        <v>45985</v>
      </c>
      <c r="B555" s="4" vm="1106">
        <v>25959.5</v>
      </c>
      <c r="C555" s="4" vm="4106">
        <v>2014.8</v>
      </c>
      <c r="D555" s="4" vm="4107">
        <v>7258.5</v>
      </c>
      <c r="E555" s="4" vm="4108">
        <v>1269.2</v>
      </c>
      <c r="F555" s="4" vm="4109">
        <v>301</v>
      </c>
      <c r="G555" s="4" vm="4095">
        <v>102.23</v>
      </c>
    </row>
    <row r="556" spans="1:7" x14ac:dyDescent="0.3">
      <c r="A556" vm="1107">
        <v>45986</v>
      </c>
      <c r="B556" s="4" vm="1108">
        <v>25884.799999999999</v>
      </c>
      <c r="C556" s="4" vm="4110">
        <v>2031</v>
      </c>
      <c r="D556" s="4" vm="4111">
        <v>7218.5</v>
      </c>
      <c r="E556" s="4" vm="4112">
        <v>1263.2</v>
      </c>
      <c r="F556" s="4" vm="4113">
        <v>302.3</v>
      </c>
      <c r="G556" s="4" vm="4114">
        <v>103.46</v>
      </c>
    </row>
    <row r="557" spans="1:7" x14ac:dyDescent="0.3">
      <c r="A557" vm="1109">
        <v>45987</v>
      </c>
      <c r="B557" s="4" vm="1110">
        <v>26205.3</v>
      </c>
      <c r="C557" s="4" vm="4115">
        <v>2029.1</v>
      </c>
      <c r="D557" s="4" vm="4116">
        <v>7198.5</v>
      </c>
      <c r="E557" s="4" vm="4117">
        <v>1276.8</v>
      </c>
      <c r="F557" s="4" vm="4118">
        <v>306.85000000000002</v>
      </c>
      <c r="G557" s="4" vm="4119">
        <v>104.18</v>
      </c>
    </row>
    <row r="558" spans="1:7" x14ac:dyDescent="0.3">
      <c r="A558" vm="1111">
        <v>45988</v>
      </c>
      <c r="B558" s="4" vm="1112">
        <v>26215.55</v>
      </c>
      <c r="C558" s="4" vm="4120">
        <v>2004.5</v>
      </c>
      <c r="D558" s="4" vm="4121">
        <v>6999</v>
      </c>
      <c r="E558" s="4" vm="4122">
        <v>1266.4000000000001</v>
      </c>
      <c r="F558" s="4" vm="4123">
        <v>302.75</v>
      </c>
      <c r="G558" s="4" vm="4124">
        <v>104.11</v>
      </c>
    </row>
    <row r="559" spans="1:7" x14ac:dyDescent="0.3">
      <c r="A559" vm="1113">
        <v>45989</v>
      </c>
      <c r="B559" s="4" vm="1114">
        <v>26202.95</v>
      </c>
      <c r="C559" s="4" vm="4125">
        <v>1966</v>
      </c>
      <c r="D559" s="4" vm="4126">
        <v>7053.5</v>
      </c>
      <c r="E559" s="4" vm="4127">
        <v>1261.0999999999999</v>
      </c>
      <c r="F559" s="4" vm="4128">
        <v>300.10000000000002</v>
      </c>
      <c r="G559" s="4" vm="4129">
        <v>104.62</v>
      </c>
    </row>
    <row r="560" spans="1:7" x14ac:dyDescent="0.3">
      <c r="A560" vm="1115">
        <v>45992</v>
      </c>
      <c r="B560" s="4" vm="1116">
        <v>26175.75</v>
      </c>
      <c r="C560" s="4" vm="4130">
        <v>1971.6</v>
      </c>
      <c r="D560" s="4" vm="4097">
        <v>7125.5</v>
      </c>
      <c r="E560" s="4" vm="4131">
        <v>1260.5999999999999</v>
      </c>
      <c r="F560" s="4" vm="4132">
        <v>301.5</v>
      </c>
      <c r="G560" s="4" vm="4133">
        <v>106.72</v>
      </c>
    </row>
    <row r="561" spans="1:7" x14ac:dyDescent="0.3">
      <c r="A561" vm="1117">
        <v>45993</v>
      </c>
      <c r="B561" s="4" vm="1118">
        <v>26032.2</v>
      </c>
      <c r="C561" s="4" vm="4134">
        <v>1981.5</v>
      </c>
      <c r="D561" s="4" vm="4135">
        <v>7112.5</v>
      </c>
      <c r="E561" s="4" vm="4136">
        <v>1258.9000000000001</v>
      </c>
      <c r="F561" s="4" vm="4137">
        <v>300.55</v>
      </c>
      <c r="G561" s="4" vm="4138">
        <v>105.63</v>
      </c>
    </row>
    <row r="562" spans="1:7" x14ac:dyDescent="0.3">
      <c r="A562" vm="1119">
        <v>45994</v>
      </c>
      <c r="B562" s="4" vm="1120">
        <v>25986</v>
      </c>
      <c r="C562" s="4" vm="4139">
        <v>1972.8</v>
      </c>
      <c r="D562" s="4" vm="4140">
        <v>7081.5</v>
      </c>
      <c r="E562" s="4" vm="4141">
        <v>1241.9000000000001</v>
      </c>
      <c r="F562" s="4" vm="4077">
        <v>297.75</v>
      </c>
      <c r="G562" s="4" vm="4142">
        <v>106.51</v>
      </c>
    </row>
    <row r="563" spans="1:7" x14ac:dyDescent="0.3">
      <c r="A563" vm="1121">
        <v>45995</v>
      </c>
      <c r="B563" s="4" vm="1122">
        <v>26033.75</v>
      </c>
      <c r="C563" s="4" vm="4143">
        <v>2002.9</v>
      </c>
      <c r="D563" s="4" vm="4144">
        <v>7100</v>
      </c>
      <c r="E563" s="4" vm="4145">
        <v>1242.4000000000001</v>
      </c>
      <c r="F563" s="4" vm="4146">
        <v>295.75</v>
      </c>
      <c r="G563" s="4" vm="4147">
        <v>105.92</v>
      </c>
    </row>
    <row r="564" spans="1:7" x14ac:dyDescent="0.3">
      <c r="A564" vm="1123">
        <v>45996</v>
      </c>
      <c r="B564" s="4" vm="1124">
        <v>26186.45</v>
      </c>
      <c r="C564" s="4" vm="4148">
        <v>2023.7</v>
      </c>
      <c r="D564" s="4" vm="4149">
        <v>7208</v>
      </c>
      <c r="E564" s="4" vm="4150">
        <v>1246.9000000000001</v>
      </c>
      <c r="F564" s="4" vm="4151">
        <v>292.39999999999998</v>
      </c>
      <c r="G564" s="4" vm="4152">
        <v>106.89</v>
      </c>
    </row>
    <row r="565" spans="1:7" x14ac:dyDescent="0.3">
      <c r="A565" vm="1125">
        <v>45999</v>
      </c>
      <c r="B565" s="4" vm="1126">
        <v>25960.55</v>
      </c>
      <c r="C565" s="4" vm="4153">
        <v>2020.7</v>
      </c>
      <c r="D565" s="4" vm="4154">
        <v>7142</v>
      </c>
      <c r="E565" s="4" vm="4155">
        <v>1214.8</v>
      </c>
      <c r="F565" s="4" vm="4156">
        <v>285.25</v>
      </c>
      <c r="G565" s="4" vm="4157">
        <v>106.85</v>
      </c>
    </row>
    <row r="566" spans="1:7" x14ac:dyDescent="0.3">
      <c r="A566" vm="1127">
        <v>46000</v>
      </c>
      <c r="B566" s="4" vm="1128">
        <v>25839.65</v>
      </c>
      <c r="C566" s="4" vm="4158">
        <v>2006.2</v>
      </c>
      <c r="D566" s="4" vm="4159">
        <v>7123</v>
      </c>
      <c r="E566" s="4" vm="4160">
        <v>1215.8</v>
      </c>
      <c r="F566" s="4" vm="2716">
        <v>291.7</v>
      </c>
      <c r="G566" s="4" vm="4161">
        <v>106.28</v>
      </c>
    </row>
    <row r="567" spans="1:7" x14ac:dyDescent="0.3">
      <c r="A567" vm="1129">
        <v>46001</v>
      </c>
      <c r="B567" s="4" vm="1130">
        <v>25758</v>
      </c>
      <c r="C567" s="4" vm="4162">
        <v>2014.5</v>
      </c>
      <c r="D567" s="4" vm="4163">
        <v>7228.5</v>
      </c>
      <c r="E567" s="4" vm="4164">
        <v>1209.3</v>
      </c>
      <c r="F567" s="4" vm="4165">
        <v>283.25</v>
      </c>
      <c r="G567" s="4" vm="4166">
        <v>106.23</v>
      </c>
    </row>
    <row r="568" spans="1:7" x14ac:dyDescent="0.3">
      <c r="A568" vm="1131">
        <v>46002</v>
      </c>
      <c r="B568" s="4" vm="1132">
        <v>25898.55</v>
      </c>
      <c r="C568" s="4" vm="4167">
        <v>2006.9</v>
      </c>
      <c r="D568" s="4" vm="4168">
        <v>7256</v>
      </c>
      <c r="E568" s="4" vm="4169">
        <v>1215</v>
      </c>
      <c r="F568" s="4" vm="4170">
        <v>290.95</v>
      </c>
      <c r="G568" s="4" vm="4171">
        <v>107.15</v>
      </c>
    </row>
    <row r="569" spans="1:7" x14ac:dyDescent="0.3">
      <c r="A569" vm="1133">
        <v>46003</v>
      </c>
      <c r="B569" s="4" vm="1134">
        <v>26046.95</v>
      </c>
      <c r="C569" s="4" vm="4172">
        <v>2025.9</v>
      </c>
      <c r="D569" s="4" vm="4173">
        <v>7229</v>
      </c>
      <c r="E569" s="4" vm="4174">
        <v>1238.3</v>
      </c>
      <c r="F569" s="4" vm="4175">
        <v>298.05</v>
      </c>
      <c r="G569" s="4" vm="4176">
        <v>109.61</v>
      </c>
    </row>
    <row r="570" spans="1:7" x14ac:dyDescent="0.3">
      <c r="A570" vm="1135">
        <v>46006</v>
      </c>
      <c r="B570" s="4" vm="1136">
        <v>26027.3</v>
      </c>
      <c r="C570" s="4" vm="4177">
        <v>2034.9</v>
      </c>
      <c r="D570" s="4" vm="4178">
        <v>7121.5</v>
      </c>
      <c r="E570" s="4" vm="2001">
        <v>1243.5</v>
      </c>
      <c r="F570" s="4" vm="4179">
        <v>298.45</v>
      </c>
      <c r="G570" s="4" vm="4180">
        <v>110.95</v>
      </c>
    </row>
    <row r="571" spans="1:7" x14ac:dyDescent="0.3">
      <c r="A571" vm="1137">
        <v>46007</v>
      </c>
      <c r="B571" s="4" vm="1138">
        <v>25860.1</v>
      </c>
      <c r="C571" s="4" vm="4181">
        <v>2036</v>
      </c>
      <c r="D571" s="4" vm="4182">
        <v>7061.5</v>
      </c>
      <c r="E571" s="4" vm="4183">
        <v>1240.5999999999999</v>
      </c>
      <c r="F571" s="4" vm="4184">
        <v>284.45</v>
      </c>
      <c r="G571" s="4" vm="4185">
        <v>109.56</v>
      </c>
    </row>
    <row r="572" spans="1:7" x14ac:dyDescent="0.3">
      <c r="A572" vm="1139">
        <v>46008</v>
      </c>
      <c r="B572" s="4" vm="1140">
        <v>25818.55</v>
      </c>
      <c r="C572" s="4" vm="4186">
        <v>2010.2</v>
      </c>
      <c r="D572" s="4" vm="4102">
        <v>7134.5</v>
      </c>
      <c r="E572" s="4" vm="4187">
        <v>1234.5999999999999</v>
      </c>
      <c r="F572" s="4" vm="4184">
        <v>284.45</v>
      </c>
      <c r="G572" s="4" vm="4188">
        <v>109.99</v>
      </c>
    </row>
    <row r="573" spans="1:7" x14ac:dyDescent="0.3">
      <c r="A573" vm="1141">
        <v>46009</v>
      </c>
      <c r="B573" s="4" vm="1142">
        <v>25815.55</v>
      </c>
      <c r="C573" s="4" vm="4189">
        <v>2014.4</v>
      </c>
      <c r="D573" s="4" vm="4190">
        <v>7106.5</v>
      </c>
      <c r="E573" s="4" vm="4191">
        <v>1233.5</v>
      </c>
      <c r="F573" s="4" vm="4192">
        <v>284.75</v>
      </c>
      <c r="G573" s="4" vm="4193">
        <v>109.88</v>
      </c>
    </row>
    <row r="574" spans="1:7" x14ac:dyDescent="0.3">
      <c r="A574" vm="1143">
        <v>46010</v>
      </c>
      <c r="B574" s="4" vm="1144">
        <v>25966.400000000001</v>
      </c>
      <c r="C574" s="4" vm="4194">
        <v>2028.4</v>
      </c>
      <c r="D574" s="4" vm="4195">
        <v>7217</v>
      </c>
      <c r="E574" s="4" vm="4196">
        <v>1244.4000000000001</v>
      </c>
      <c r="F574" s="4" vm="4197">
        <v>286.05</v>
      </c>
      <c r="G574" s="4" vm="4198">
        <v>109.82</v>
      </c>
    </row>
    <row r="575" spans="1:7" x14ac:dyDescent="0.3">
      <c r="A575" vm="1145">
        <v>46013</v>
      </c>
      <c r="B575" s="4" vm="1146">
        <v>26172.400000000001</v>
      </c>
      <c r="C575" s="4" vm="4199">
        <v>2022.3</v>
      </c>
      <c r="D575" s="4" vm="4200">
        <v>7291.5</v>
      </c>
      <c r="E575" s="4" vm="4201">
        <v>1257.2</v>
      </c>
      <c r="F575" s="4" vm="4202">
        <v>286.7</v>
      </c>
      <c r="G575" s="4" vm="4203">
        <v>111.39</v>
      </c>
    </row>
    <row r="576" spans="1:7" x14ac:dyDescent="0.3">
      <c r="A576" vm="1147">
        <v>46014</v>
      </c>
      <c r="B576" s="4" vm="1148">
        <v>26177.15</v>
      </c>
      <c r="C576" s="4" vm="4204">
        <v>2024.8</v>
      </c>
      <c r="D576" s="4" vm="4205">
        <v>7303</v>
      </c>
      <c r="E576" s="4" vm="4206">
        <v>1256.5</v>
      </c>
      <c r="F576" s="4" vm="4207">
        <v>284.35000000000002</v>
      </c>
      <c r="G576" s="4" vm="4208">
        <v>113.1</v>
      </c>
    </row>
    <row r="577" spans="1:7" x14ac:dyDescent="0.3">
      <c r="A577" vm="1149">
        <v>46015</v>
      </c>
      <c r="B577" s="4" vm="1150">
        <v>26142.1</v>
      </c>
      <c r="C577" s="4" vm="4209">
        <v>2025.4</v>
      </c>
      <c r="D577" s="4" vm="4210">
        <v>7312.5</v>
      </c>
      <c r="E577" s="4" vm="4211">
        <v>1259.7</v>
      </c>
      <c r="F577" s="4" vm="4212">
        <v>284.85000000000002</v>
      </c>
      <c r="G577" s="4" vm="4213">
        <v>113.21</v>
      </c>
    </row>
    <row r="578" spans="1:7" x14ac:dyDescent="0.3">
      <c r="A578" vm="1151">
        <v>46017</v>
      </c>
      <c r="B578" s="4" vm="1152">
        <v>26042.3</v>
      </c>
      <c r="C578" s="4" vm="4214">
        <v>2019.1</v>
      </c>
      <c r="D578" s="4" vm="4215">
        <v>7324</v>
      </c>
      <c r="E578" s="4" vm="4216">
        <v>1272.5999999999999</v>
      </c>
      <c r="F578" s="4" vm="4217">
        <v>281.75</v>
      </c>
      <c r="G578" s="4" vm="4218">
        <v>114.31</v>
      </c>
    </row>
    <row r="579" spans="1:7" x14ac:dyDescent="0.3">
      <c r="A579" vm="1153">
        <v>46020</v>
      </c>
      <c r="B579" s="4" vm="1154">
        <v>25942.1</v>
      </c>
      <c r="C579" s="4" vm="4219">
        <v>2009.8</v>
      </c>
      <c r="D579" s="4" vm="4220">
        <v>7272</v>
      </c>
      <c r="E579" s="4" vm="4221">
        <v>1280</v>
      </c>
      <c r="F579" s="4" vm="4222">
        <v>282.85000000000002</v>
      </c>
      <c r="G579" s="4" vm="4223">
        <v>113.03</v>
      </c>
    </row>
    <row r="580" spans="1:7" x14ac:dyDescent="0.3">
      <c r="A580" vm="1155">
        <v>46021</v>
      </c>
      <c r="B580" s="4" vm="1156">
        <v>25938.85</v>
      </c>
      <c r="C580" s="4" vm="4224">
        <v>1995.5</v>
      </c>
      <c r="D580" s="4" vm="4225">
        <v>7192.5</v>
      </c>
      <c r="E580" s="4" vm="2376">
        <v>1274.0999999999999</v>
      </c>
      <c r="F580" s="4" vm="4226">
        <v>277.10000000000002</v>
      </c>
      <c r="G580" s="4" vm="4227">
        <v>111.17</v>
      </c>
    </row>
    <row r="581" spans="1:7" x14ac:dyDescent="0.3">
      <c r="A581" vm="1157">
        <v>46022</v>
      </c>
      <c r="B581" s="4" vm="1158">
        <v>26129.599999999999</v>
      </c>
      <c r="C581" s="4" vm="4177">
        <v>2034.9</v>
      </c>
      <c r="D581" s="4" vm="4210">
        <v>7312.5</v>
      </c>
      <c r="E581" s="4" vm="4228">
        <v>1288</v>
      </c>
      <c r="F581" s="4" vm="3033">
        <v>278.05</v>
      </c>
      <c r="G581" s="4" vm="4229">
        <v>110.11</v>
      </c>
    </row>
    <row r="582" spans="1:7" x14ac:dyDescent="0.3">
      <c r="A582" vm="1159">
        <v>46023</v>
      </c>
      <c r="B582" s="4" vm="1160">
        <v>26146.55</v>
      </c>
      <c r="C582" s="4" vm="4230">
        <v>2040.4</v>
      </c>
      <c r="D582" s="4" vm="4231">
        <v>7348</v>
      </c>
      <c r="E582" s="4" vm="4232">
        <v>1295</v>
      </c>
      <c r="F582" s="4" vm="4233">
        <v>283.8</v>
      </c>
      <c r="G582" s="4" vm="4234">
        <v>110.52</v>
      </c>
    </row>
    <row r="583" spans="1:7" x14ac:dyDescent="0.3">
      <c r="A583" vm="1161">
        <v>46024</v>
      </c>
      <c r="B583" s="4" vm="1162">
        <v>26328.55</v>
      </c>
      <c r="C583" s="4" vm="4235">
        <v>2067.4</v>
      </c>
      <c r="D583" s="4" vm="4236">
        <v>7334.5</v>
      </c>
      <c r="E583" s="4" vm="4237">
        <v>1279.7</v>
      </c>
      <c r="F583" s="4" vm="4238">
        <v>284.14999999999998</v>
      </c>
      <c r="G583" s="4" vm="4239">
        <v>111.82</v>
      </c>
    </row>
    <row r="584" spans="1:7" x14ac:dyDescent="0.3">
      <c r="A584" vm="1163">
        <v>46027</v>
      </c>
      <c r="B584" s="4" vm="1164">
        <v>26250.3</v>
      </c>
      <c r="C584" s="4" vm="4240">
        <v>2075.6</v>
      </c>
      <c r="D584" s="4" vm="4241">
        <v>7482.5</v>
      </c>
      <c r="E584" s="4" vm="4242">
        <v>1314.6</v>
      </c>
      <c r="F584" s="4" vm="4243">
        <v>281.8</v>
      </c>
      <c r="G584" s="4" vm="4244">
        <v>112.92</v>
      </c>
    </row>
    <row r="585" spans="1:7" x14ac:dyDescent="0.3">
      <c r="A585" vm="1165">
        <v>46028</v>
      </c>
      <c r="B585" s="4" vm="1166">
        <v>26178.7</v>
      </c>
      <c r="C585" s="4" vm="4245">
        <v>2095.8000000000002</v>
      </c>
      <c r="D585" s="4" vm="4246">
        <v>7522.5</v>
      </c>
      <c r="E585" s="4" vm="4247">
        <v>1319.9</v>
      </c>
      <c r="F585" s="4" vm="4248">
        <v>279.05</v>
      </c>
      <c r="G585" s="4" vm="4249">
        <v>113.14</v>
      </c>
    </row>
    <row r="586" spans="1:7" x14ac:dyDescent="0.3">
      <c r="A586" vm="1167">
        <v>46029</v>
      </c>
      <c r="B586" s="4" vm="1168">
        <v>26140.75</v>
      </c>
      <c r="C586" s="4" vm="4250">
        <v>2070.8000000000002</v>
      </c>
      <c r="D586" s="4" vm="4251">
        <v>7582.5</v>
      </c>
      <c r="E586" s="4" vm="4252">
        <v>1314.8</v>
      </c>
      <c r="F586" s="4" vm="4253">
        <v>280.95</v>
      </c>
      <c r="G586" s="4" vm="4254">
        <v>112.91</v>
      </c>
    </row>
    <row r="587" spans="1:7" x14ac:dyDescent="0.3">
      <c r="A587" vm="1169">
        <v>46030</v>
      </c>
      <c r="B587" s="4" vm="1170">
        <v>25876.85</v>
      </c>
      <c r="C587" s="4" vm="4255">
        <v>2082.9</v>
      </c>
      <c r="D587" s="4" vm="4256">
        <v>7551</v>
      </c>
      <c r="E587" s="4" vm="4257">
        <v>1306.9000000000001</v>
      </c>
      <c r="F587" s="4" vm="4258">
        <v>283.55</v>
      </c>
      <c r="G587" s="4" vm="4259">
        <v>112.29</v>
      </c>
    </row>
    <row r="588" spans="1:7" x14ac:dyDescent="0.3">
      <c r="A588" vm="1171">
        <v>46031</v>
      </c>
      <c r="B588" s="4" vm="1172">
        <v>25683.3</v>
      </c>
      <c r="C588" s="4" vm="4260">
        <v>2070</v>
      </c>
      <c r="D588" s="4" vm="4261">
        <v>7507</v>
      </c>
      <c r="E588" s="4" vm="4262">
        <v>1299.0999999999999</v>
      </c>
      <c r="F588" s="4" vm="4207">
        <v>284.35000000000002</v>
      </c>
      <c r="G588" s="4" vm="4263">
        <v>113.61</v>
      </c>
    </row>
    <row r="589" spans="1:7" x14ac:dyDescent="0.3">
      <c r="A589" vm="1173">
        <v>46034</v>
      </c>
      <c r="B589" s="4" vm="1174">
        <v>25790.25</v>
      </c>
      <c r="C589" s="4" vm="4264">
        <v>2098</v>
      </c>
      <c r="D589" s="4" vm="4265">
        <v>7436</v>
      </c>
      <c r="E589" s="4" vm="4266">
        <v>1312.4</v>
      </c>
      <c r="F589" s="4" vm="4156">
        <v>285.25</v>
      </c>
      <c r="G589" s="4" vm="4267">
        <v>116.76</v>
      </c>
    </row>
    <row r="590" spans="1:7" x14ac:dyDescent="0.3">
      <c r="A590" vm="1175">
        <v>46035</v>
      </c>
      <c r="B590" s="4" vm="1176">
        <v>25732.3</v>
      </c>
      <c r="C590" s="4" vm="4268">
        <v>2082.4</v>
      </c>
      <c r="D590" s="4" vm="4269">
        <v>7404</v>
      </c>
      <c r="E590" s="4" vm="4270">
        <v>1318.7</v>
      </c>
      <c r="F590" s="4" vm="4271">
        <v>294.55</v>
      </c>
      <c r="G590" s="4" vm="4272">
        <v>116.37</v>
      </c>
    </row>
    <row r="591" spans="1:7" x14ac:dyDescent="0.3">
      <c r="A591" vm="1177">
        <v>46036</v>
      </c>
      <c r="B591" s="4" vm="1178">
        <v>25665.599999999999</v>
      </c>
      <c r="C591" s="4" vm="4273">
        <v>2068.8000000000002</v>
      </c>
      <c r="D591" s="4" vm="4274">
        <v>7358</v>
      </c>
      <c r="E591" s="4" vm="4275">
        <v>1307.0999999999999</v>
      </c>
      <c r="F591" s="4" vm="4276">
        <v>299.25</v>
      </c>
      <c r="G591" s="4" vm="4277">
        <v>118.01</v>
      </c>
    </row>
    <row r="592" spans="1:7" x14ac:dyDescent="0.3">
      <c r="A592" vm="1179">
        <v>46038</v>
      </c>
      <c r="B592" s="4" vm="1180">
        <v>25694.35</v>
      </c>
      <c r="C592" s="4" vm="4278">
        <v>2081</v>
      </c>
      <c r="D592" s="4" vm="4279">
        <v>7315</v>
      </c>
      <c r="E592" s="4" vm="4280">
        <v>1315.9</v>
      </c>
      <c r="F592" s="4" vm="4281">
        <v>287.7</v>
      </c>
      <c r="G592" s="4" vm="4282">
        <v>117.78</v>
      </c>
    </row>
    <row r="593" spans="1:7" x14ac:dyDescent="0.3">
      <c r="A593" vm="1181">
        <v>46041</v>
      </c>
      <c r="B593" s="4" vm="1182">
        <v>25585.5</v>
      </c>
      <c r="C593" s="4" vm="4283">
        <v>2073.6999999999998</v>
      </c>
      <c r="D593" s="4" vm="4284">
        <v>7323.5</v>
      </c>
      <c r="E593" s="4" vm="4285">
        <v>1315.6</v>
      </c>
      <c r="F593" s="4" vm="4286">
        <v>281.35000000000002</v>
      </c>
      <c r="G593" s="4" vm="4287">
        <v>121.1</v>
      </c>
    </row>
    <row r="594" spans="1:7" x14ac:dyDescent="0.3">
      <c r="A594" vm="1183">
        <v>46042</v>
      </c>
      <c r="B594" s="4" vm="1184">
        <v>25232.5</v>
      </c>
      <c r="C594" s="4" vm="4288">
        <v>2049.1</v>
      </c>
      <c r="D594" s="4" vm="4289">
        <v>7173.5</v>
      </c>
      <c r="E594" s="4" vm="4290">
        <v>1295.7</v>
      </c>
      <c r="F594" s="4" vm="4291">
        <v>269.60000000000002</v>
      </c>
      <c r="G594" s="4" vm="4292">
        <v>125.86</v>
      </c>
    </row>
    <row r="595" spans="1:7" x14ac:dyDescent="0.3">
      <c r="A595" vm="1185">
        <v>46043</v>
      </c>
      <c r="B595" s="4" vm="1186">
        <v>25157.5</v>
      </c>
      <c r="C595" s="4" vm="4293">
        <v>2055.4</v>
      </c>
      <c r="D595" s="4" vm="4294">
        <v>7140</v>
      </c>
      <c r="E595" s="4" vm="4295">
        <v>1283.2</v>
      </c>
      <c r="F595" s="4" vm="4296">
        <v>283.5</v>
      </c>
      <c r="G595" s="4" vm="4297">
        <v>134.97</v>
      </c>
    </row>
    <row r="596" spans="1:7" x14ac:dyDescent="0.3">
      <c r="A596" vm="1187">
        <v>46044</v>
      </c>
      <c r="B596" s="4" vm="1188">
        <v>25289.9</v>
      </c>
      <c r="C596" s="4" vm="4298">
        <v>2022</v>
      </c>
      <c r="D596" s="4" vm="4299">
        <v>7049</v>
      </c>
      <c r="E596" s="4" vm="4300">
        <v>1306</v>
      </c>
      <c r="F596" s="4" vm="4301">
        <v>275.89999999999998</v>
      </c>
      <c r="G596" s="4" vm="4302">
        <v>124.34</v>
      </c>
    </row>
    <row r="597" spans="1:7" x14ac:dyDescent="0.3">
      <c r="A597" vm="1189">
        <v>46045</v>
      </c>
      <c r="B597" s="4" vm="1190">
        <v>25048.65</v>
      </c>
      <c r="C597" s="4" vm="4303">
        <v>2002.6</v>
      </c>
      <c r="D597" s="4" vm="4304">
        <v>6973</v>
      </c>
      <c r="E597" s="4" vm="4305">
        <v>1293.8</v>
      </c>
      <c r="F597" s="4" vm="4306">
        <v>258.7</v>
      </c>
      <c r="G597" s="4" vm="4307">
        <v>127.42</v>
      </c>
    </row>
    <row r="598" spans="1:7" x14ac:dyDescent="0.3">
      <c r="A598" vm="1191">
        <v>46049</v>
      </c>
      <c r="B598" s="4" vm="1192">
        <v>25175.4</v>
      </c>
      <c r="C598" s="4" vm="4308">
        <v>2038.2</v>
      </c>
      <c r="D598" s="4" vm="4309">
        <v>7164.5</v>
      </c>
      <c r="E598" s="4" vm="4310">
        <v>1303.3</v>
      </c>
      <c r="F598" s="4" vm="4311">
        <v>253.85</v>
      </c>
      <c r="G598" s="4" vm="4312">
        <v>131.44999999999999</v>
      </c>
    </row>
    <row r="599" spans="1:7" x14ac:dyDescent="0.3">
      <c r="A599" vm="1193">
        <v>46050</v>
      </c>
      <c r="B599" s="4" vm="1194">
        <v>25342.75</v>
      </c>
      <c r="C599" s="4" vm="4313">
        <v>2053.1999999999998</v>
      </c>
      <c r="D599" s="4" vm="4314">
        <v>7071</v>
      </c>
      <c r="E599" s="4" vm="4315">
        <v>1292.4000000000001</v>
      </c>
      <c r="F599" s="4" vm="4316">
        <v>266.3</v>
      </c>
      <c r="G599" s="4" vm="4317">
        <v>135.82</v>
      </c>
    </row>
    <row r="600" spans="1:7" x14ac:dyDescent="0.3">
      <c r="A600" vm="1195">
        <v>46051</v>
      </c>
      <c r="B600" s="4" vm="1196">
        <v>25418.9</v>
      </c>
      <c r="C600" s="4" vm="4318">
        <v>1996.3</v>
      </c>
      <c r="D600" s="4" vm="4319">
        <v>7056.5</v>
      </c>
      <c r="E600" s="4" vm="4320">
        <v>1287.9000000000001</v>
      </c>
      <c r="F600" s="4" vm="2770">
        <v>275.35000000000002</v>
      </c>
      <c r="G600" s="4" vm="4321">
        <v>146.53</v>
      </c>
    </row>
    <row r="601" spans="1:7" x14ac:dyDescent="0.3">
      <c r="A601" vm="1197">
        <v>46052</v>
      </c>
      <c r="B601" s="4" vm="1198">
        <v>25320.65</v>
      </c>
      <c r="C601" s="4" vm="4322">
        <v>1998.5</v>
      </c>
      <c r="D601" s="4" vm="4323">
        <v>7122.5</v>
      </c>
      <c r="E601" s="4" vm="4324">
        <v>1332.4</v>
      </c>
      <c r="F601" s="4" vm="4325">
        <v>273.60000000000002</v>
      </c>
      <c r="G601" s="4" vm="4326">
        <v>131.12</v>
      </c>
    </row>
    <row r="602" spans="1:7" x14ac:dyDescent="0.3">
      <c r="A602" vm="1199">
        <v>46054</v>
      </c>
      <c r="B602" s="4" vm="1200">
        <v>24825.45</v>
      </c>
      <c r="C602" s="4" vm="4327">
        <v>1974.3</v>
      </c>
      <c r="D602" s="4" vm="4328">
        <v>6889.5</v>
      </c>
      <c r="E602" s="4" vm="4329">
        <v>1282.5</v>
      </c>
      <c r="F602" s="4" vm="4330">
        <v>269.55</v>
      </c>
      <c r="G602" s="4" vm="4331">
        <v>118.67</v>
      </c>
    </row>
    <row r="603" spans="1:7" x14ac:dyDescent="0.3">
      <c r="A603" vm="1201">
        <v>46055</v>
      </c>
      <c r="B603" s="4" vm="1202">
        <v>25088.400000000001</v>
      </c>
      <c r="C603" s="4" vm="4332">
        <v>2001</v>
      </c>
      <c r="D603" s="4" vm="4333">
        <v>6985.5</v>
      </c>
      <c r="E603" s="4" vm="4334">
        <v>1308.3</v>
      </c>
      <c r="F603" s="4" vm="4335">
        <v>272.64999999999998</v>
      </c>
      <c r="G603" s="4" vm="4336">
        <v>125.2</v>
      </c>
    </row>
    <row r="604" spans="1:7" x14ac:dyDescent="0.3">
      <c r="A604" vm="1203">
        <v>46056</v>
      </c>
      <c r="B604" s="4" vm="1204">
        <v>25727.55</v>
      </c>
      <c r="C604" s="4" vm="4337">
        <v>2002.1</v>
      </c>
      <c r="D604" s="4" vm="4338">
        <v>7215</v>
      </c>
      <c r="E604" s="4" vm="4339">
        <v>1308</v>
      </c>
      <c r="F604" s="4" vm="4340">
        <v>279.8</v>
      </c>
      <c r="G604" s="4" vm="4341">
        <v>129.6</v>
      </c>
    </row>
    <row r="605" spans="1:7" x14ac:dyDescent="0.3">
      <c r="A605" vm="1205">
        <v>46057</v>
      </c>
      <c r="B605" s="4" vm="1206">
        <v>25776</v>
      </c>
      <c r="C605" s="4" vm="4342">
        <v>2041.7</v>
      </c>
      <c r="D605" s="4" vm="4343">
        <v>7277.5</v>
      </c>
      <c r="E605" s="4" vm="4344">
        <v>1303.2</v>
      </c>
      <c r="F605" s="4" vm="2989">
        <v>294.14999999999998</v>
      </c>
      <c r="G605" s="4" vm="4345">
        <v>125.22</v>
      </c>
    </row>
    <row r="606" spans="1:7" x14ac:dyDescent="0.3">
      <c r="A606" vm="1207">
        <v>46058</v>
      </c>
      <c r="B606" s="4" vm="1208">
        <v>25642.799999999999</v>
      </c>
      <c r="C606" s="4" vm="4346">
        <v>2017.8</v>
      </c>
      <c r="D606" s="4" vm="4347">
        <v>7209.5</v>
      </c>
      <c r="E606" s="4" vm="4348">
        <v>1303.5</v>
      </c>
      <c r="F606" s="4" vm="4349">
        <v>286.85000000000002</v>
      </c>
      <c r="G606" s="4" vm="4350">
        <v>125.04</v>
      </c>
    </row>
    <row r="607" spans="1:7" x14ac:dyDescent="0.3">
      <c r="A607" vm="1209">
        <v>46059</v>
      </c>
      <c r="B607" s="4" vm="1210">
        <v>25693.7</v>
      </c>
      <c r="C607" s="4" vm="4069">
        <v>1996.7</v>
      </c>
      <c r="D607" s="4" vm="4351">
        <v>7177.5</v>
      </c>
      <c r="E607" s="4" vm="4310">
        <v>1303.3</v>
      </c>
      <c r="F607" s="4" vm="4258">
        <v>283.55</v>
      </c>
      <c r="G607" s="4" vm="4352">
        <v>127.98</v>
      </c>
    </row>
    <row r="608" spans="1:7" x14ac:dyDescent="0.3">
      <c r="A608" vm="1211">
        <v>46062</v>
      </c>
      <c r="B608" s="4" vm="1212">
        <v>25867.3</v>
      </c>
      <c r="C608" s="4" vm="4353">
        <v>2024</v>
      </c>
      <c r="D608" s="4" vm="4354">
        <v>7195.5</v>
      </c>
      <c r="E608" s="4" vm="4355">
        <v>1295.5999999999999</v>
      </c>
      <c r="F608" s="4" vm="4356">
        <v>288.85000000000002</v>
      </c>
      <c r="G608" s="4" vm="4357">
        <v>128.34</v>
      </c>
    </row>
    <row r="609" spans="1:7" x14ac:dyDescent="0.3">
      <c r="A609" vm="1213">
        <v>46063</v>
      </c>
      <c r="B609" s="4" vm="1214">
        <v>25935.15</v>
      </c>
      <c r="C609" s="4" vm="4358">
        <v>2018.3</v>
      </c>
      <c r="D609" s="4" vm="4359">
        <v>7296</v>
      </c>
      <c r="E609" s="4" vm="4360">
        <v>1308.5999999999999</v>
      </c>
      <c r="F609" s="4" vm="4361">
        <v>303.8</v>
      </c>
      <c r="G609" s="4" vm="1864">
        <v>128.69999999999999</v>
      </c>
    </row>
    <row r="610" spans="1:7" x14ac:dyDescent="0.3">
      <c r="A610" vm="1215">
        <v>46064</v>
      </c>
      <c r="B610" s="4" vm="1216">
        <v>25953.85</v>
      </c>
      <c r="C610" s="4" vm="4362">
        <v>2026.3</v>
      </c>
      <c r="D610" s="4" vm="4363">
        <v>7771</v>
      </c>
      <c r="E610" s="4" vm="4364">
        <v>1305.3</v>
      </c>
      <c r="F610" s="4" vm="4365">
        <v>300.7</v>
      </c>
      <c r="G610" s="4" vm="4366">
        <v>128.52000000000001</v>
      </c>
    </row>
    <row r="611" spans="1:7" x14ac:dyDescent="0.3">
      <c r="A611" vm="1217">
        <v>46065</v>
      </c>
      <c r="B611" s="4" vm="1218">
        <v>25807.200000000001</v>
      </c>
      <c r="C611" s="4" vm="4367">
        <v>2022.1</v>
      </c>
      <c r="D611" s="4" vm="4368">
        <v>7943</v>
      </c>
      <c r="E611" s="4" vm="4369">
        <v>1305.5</v>
      </c>
      <c r="F611" s="4" vm="4370">
        <v>298</v>
      </c>
      <c r="G611" s="4" vm="4371">
        <v>126.1</v>
      </c>
    </row>
    <row r="612" spans="1:7" x14ac:dyDescent="0.3">
      <c r="A612" vm="1219">
        <v>46066</v>
      </c>
      <c r="B612" s="4" vm="1220">
        <v>25471.1</v>
      </c>
      <c r="C612" s="4" vm="4372">
        <v>2034.2</v>
      </c>
      <c r="D612" s="4" vm="4373">
        <v>8065</v>
      </c>
      <c r="E612" s="4" vm="4374">
        <v>1282.5999999999999</v>
      </c>
      <c r="F612" s="4" vm="4375">
        <v>285.2</v>
      </c>
      <c r="G612" s="4" vm="4376">
        <v>126.92</v>
      </c>
    </row>
    <row r="613" spans="1:7" x14ac:dyDescent="0.3">
      <c r="A613" vm="1221">
        <v>46069</v>
      </c>
      <c r="B613" s="4" vm="1222">
        <v>25682.75</v>
      </c>
      <c r="C613" s="4" vm="4377">
        <v>2042.4</v>
      </c>
      <c r="D613" s="4" vm="4378">
        <v>8010.5</v>
      </c>
      <c r="E613" s="4" vm="4379">
        <v>1289.8</v>
      </c>
      <c r="F613" s="4" vm="4380">
        <v>286.60000000000002</v>
      </c>
      <c r="G613" s="4" vm="4381">
        <v>124.58</v>
      </c>
    </row>
    <row r="614" spans="1:7" x14ac:dyDescent="0.3">
      <c r="A614" vm="1223">
        <v>46070</v>
      </c>
      <c r="B614" s="4" vm="1224">
        <v>25725.4</v>
      </c>
      <c r="C614" s="4" vm="4382">
        <v>2039.5</v>
      </c>
      <c r="D614" s="4" vm="4383">
        <v>8035</v>
      </c>
      <c r="E614" s="4" vm="4384">
        <v>1285.3</v>
      </c>
      <c r="F614" s="4" vm="4385">
        <v>281.5</v>
      </c>
      <c r="G614" s="4" vm="4386">
        <v>124.64</v>
      </c>
    </row>
    <row r="615" spans="1:7" x14ac:dyDescent="0.3">
      <c r="A615" vm="1225">
        <v>46071</v>
      </c>
      <c r="B615" s="4" vm="1226">
        <v>25819.35</v>
      </c>
      <c r="C615" s="4" vm="4387">
        <v>2059.6</v>
      </c>
      <c r="D615" s="4" vm="4388">
        <v>8009.5</v>
      </c>
      <c r="E615" s="4" vm="4389">
        <v>1300.9000000000001</v>
      </c>
      <c r="F615" s="4" vm="4390">
        <v>277.35000000000002</v>
      </c>
      <c r="G615" s="4" vm="4391">
        <v>127.09</v>
      </c>
    </row>
    <row r="616" spans="1:7" x14ac:dyDescent="0.3">
      <c r="A616" vm="1227">
        <v>46072</v>
      </c>
      <c r="B616" s="4" vm="1228">
        <v>25454.35</v>
      </c>
      <c r="C616" s="4" vm="4392">
        <v>2043</v>
      </c>
      <c r="D616" s="4" vm="4393">
        <v>7897</v>
      </c>
      <c r="E616" s="4" vm="4394">
        <v>1278.5</v>
      </c>
      <c r="F616" s="4" vm="2675">
        <v>271.75</v>
      </c>
      <c r="G616" s="4" vm="4395">
        <v>127.54</v>
      </c>
    </row>
    <row r="617" spans="1:7" x14ac:dyDescent="0.3">
      <c r="A617" vm="1229">
        <v>46073</v>
      </c>
      <c r="B617" s="4" vm="1230">
        <v>25571.25</v>
      </c>
      <c r="C617" s="4" vm="4396">
        <v>2080</v>
      </c>
      <c r="D617" s="4" vm="4397">
        <v>7936.5</v>
      </c>
      <c r="E617" s="4" vm="4305">
        <v>1293.8</v>
      </c>
      <c r="F617" s="4" vm="4398">
        <v>269.45</v>
      </c>
      <c r="G617" s="4" vm="4399">
        <v>130</v>
      </c>
    </row>
    <row r="618" spans="1:7" x14ac:dyDescent="0.3">
      <c r="A618" vm="1231">
        <v>46076</v>
      </c>
      <c r="B618" s="4" vm="1232">
        <v>25713</v>
      </c>
      <c r="C618" s="4" vm="4400">
        <v>2109.6</v>
      </c>
      <c r="D618" s="4" vm="4401">
        <v>8038.5</v>
      </c>
      <c r="E618" s="4" vm="4402">
        <v>1315.1</v>
      </c>
      <c r="F618" s="4" vm="4403">
        <v>268</v>
      </c>
      <c r="G618" s="4" vm="4404">
        <v>131.22</v>
      </c>
    </row>
    <row r="619" spans="1:7" x14ac:dyDescent="0.3">
      <c r="A619" vm="1233">
        <v>46077</v>
      </c>
      <c r="B619" s="4" vm="1234">
        <v>25424.65</v>
      </c>
      <c r="C619" s="4" vm="4255">
        <v>2082.9</v>
      </c>
      <c r="D619" s="4" vm="4405">
        <v>7929</v>
      </c>
      <c r="E619" s="4" vm="4406">
        <v>1320</v>
      </c>
      <c r="F619" s="4" vm="4407">
        <v>254</v>
      </c>
      <c r="G619" s="4" vm="4408">
        <v>131.69</v>
      </c>
    </row>
    <row r="620" spans="1:7" x14ac:dyDescent="0.3">
      <c r="A620" vm="1235">
        <v>46078</v>
      </c>
      <c r="B620" s="4" vm="1236">
        <v>25482.5</v>
      </c>
      <c r="C620" s="4" vm="4409">
        <v>2073.6</v>
      </c>
      <c r="D620" s="4" vm="4410">
        <v>8008</v>
      </c>
      <c r="E620" s="4" vm="4411">
        <v>1323.4</v>
      </c>
      <c r="F620" s="4" vm="4412">
        <v>250.2</v>
      </c>
      <c r="G620" s="4" vm="4413">
        <v>130.47999999999999</v>
      </c>
    </row>
    <row r="621" spans="1:7" x14ac:dyDescent="0.3">
      <c r="A621" vm="1237">
        <v>46079</v>
      </c>
      <c r="B621" s="4" vm="1238">
        <v>25496.55</v>
      </c>
      <c r="C621" s="4" vm="4414">
        <v>2082.8000000000002</v>
      </c>
      <c r="D621" s="4" vm="4415">
        <v>8190</v>
      </c>
      <c r="E621" s="4" vm="4416">
        <v>1318</v>
      </c>
      <c r="F621" s="4" vm="4417">
        <v>246.5</v>
      </c>
      <c r="G621" s="4" vm="4418">
        <v>131.6</v>
      </c>
    </row>
    <row r="622" spans="1:7" x14ac:dyDescent="0.3">
      <c r="A622" vm="1239">
        <v>46080</v>
      </c>
      <c r="B622" s="4" vm="1240">
        <v>25178.65</v>
      </c>
      <c r="C622" s="4" vm="4419">
        <v>2037.2</v>
      </c>
      <c r="D622" s="4" vm="4378">
        <v>8010.5</v>
      </c>
      <c r="E622" s="4" vm="4420">
        <v>1291.7</v>
      </c>
      <c r="F622" s="4" vm="4421">
        <v>246.3</v>
      </c>
      <c r="G622" s="4" vm="4422">
        <v>138.32</v>
      </c>
    </row>
    <row r="623" spans="1:7" x14ac:dyDescent="0.3">
      <c r="A623" vm="1241">
        <v>46083</v>
      </c>
      <c r="B623" s="4" vm="1242">
        <v>24865.7</v>
      </c>
      <c r="C623" s="4" vm="4423">
        <v>2032.2</v>
      </c>
      <c r="D623" s="4" vm="4424">
        <v>7826</v>
      </c>
      <c r="E623" s="4" vm="4237">
        <v>1279.7</v>
      </c>
      <c r="F623" s="4" vm="4425">
        <v>242.87</v>
      </c>
      <c r="G623" s="4" vm="4426">
        <v>133.96</v>
      </c>
    </row>
    <row r="624" spans="1:7" x14ac:dyDescent="0.3">
      <c r="A624" vm="1243">
        <v>46085</v>
      </c>
      <c r="B624" s="4" vm="1244">
        <v>24480.5</v>
      </c>
      <c r="C624" s="4" vm="4427">
        <v>1930.6</v>
      </c>
      <c r="D624" s="4" vm="4428">
        <v>7626.5</v>
      </c>
      <c r="E624" s="4" vm="4429">
        <v>1245.3</v>
      </c>
      <c r="F624" s="4" vm="4430">
        <v>240.73</v>
      </c>
      <c r="G624" s="4" vm="4431">
        <v>132.24</v>
      </c>
    </row>
    <row r="625" spans="1:7" x14ac:dyDescent="0.3">
      <c r="A625" vm="1245">
        <v>46086</v>
      </c>
      <c r="B625" s="4" vm="1246">
        <v>24765.9</v>
      </c>
      <c r="C625" s="4" vm="4432">
        <v>1945</v>
      </c>
      <c r="D625" s="4" vm="4433">
        <v>7755</v>
      </c>
      <c r="E625" s="4" vm="4434">
        <v>1250.9000000000001</v>
      </c>
      <c r="F625" s="4" vm="4435">
        <v>240.14</v>
      </c>
      <c r="G625" s="4" vm="4436">
        <v>130.82</v>
      </c>
    </row>
    <row r="626" spans="1:7" x14ac:dyDescent="0.3">
      <c r="A626" vm="1247">
        <v>46087</v>
      </c>
      <c r="B626" s="4" vm="1248">
        <v>24450.45</v>
      </c>
      <c r="C626" s="4" vm="4437">
        <v>1941.6</v>
      </c>
      <c r="D626" s="4" vm="4438">
        <v>7620.5</v>
      </c>
      <c r="E626" s="4" vm="4439">
        <v>1252.4000000000001</v>
      </c>
      <c r="F626" s="4" vm="4440">
        <v>232.57</v>
      </c>
      <c r="G626" s="4" vm="4441">
        <v>131.35</v>
      </c>
    </row>
    <row r="627" spans="1:7" x14ac:dyDescent="0.3">
      <c r="A627" vm="1249">
        <v>46090</v>
      </c>
      <c r="B627" s="4" vm="1250">
        <v>24028.05</v>
      </c>
      <c r="C627" s="4" vm="4442">
        <v>1912.5</v>
      </c>
      <c r="D627" s="4" vm="4443">
        <v>7266</v>
      </c>
      <c r="E627" s="4" vm="4444">
        <v>1235.8</v>
      </c>
      <c r="F627" s="4" vm="4445">
        <v>229.56</v>
      </c>
      <c r="G627" s="4" vm="4446">
        <v>132.19999999999999</v>
      </c>
    </row>
    <row r="628" spans="1:7" x14ac:dyDescent="0.3">
      <c r="A628" vm="1251">
        <v>46091</v>
      </c>
      <c r="B628" s="4" vm="1252">
        <v>24261.599999999999</v>
      </c>
      <c r="C628" s="4" vm="4447">
        <v>1963.7</v>
      </c>
      <c r="D628" s="4" vm="4448">
        <v>7536.5</v>
      </c>
      <c r="E628" s="4" vm="4449">
        <v>1241.2</v>
      </c>
      <c r="F628" s="4" vm="4450">
        <v>226.62</v>
      </c>
      <c r="G628" s="4" vm="4451">
        <v>132.71</v>
      </c>
    </row>
    <row r="629" spans="1:7" x14ac:dyDescent="0.3">
      <c r="A629" vm="1253">
        <v>46092</v>
      </c>
      <c r="B629" s="4" vm="1254">
        <v>23866.85</v>
      </c>
      <c r="C629" s="4" vm="4452">
        <v>1938.6</v>
      </c>
      <c r="D629" s="4" vm="4453">
        <v>7253.5</v>
      </c>
      <c r="E629" s="4" vm="4454">
        <v>1233.7</v>
      </c>
      <c r="F629" s="4" vm="4455">
        <v>223.8</v>
      </c>
      <c r="G629" s="4" vm="4456">
        <v>132.43</v>
      </c>
    </row>
    <row r="630" spans="1:7" x14ac:dyDescent="0.3">
      <c r="A630" vm="1255">
        <v>46093</v>
      </c>
      <c r="B630" s="4" vm="1256">
        <v>23639.15</v>
      </c>
      <c r="C630" s="4" vm="4457">
        <v>1939.4</v>
      </c>
      <c r="D630" s="4" vm="4458">
        <v>6975.5</v>
      </c>
      <c r="E630" s="4" vm="3875">
        <v>1220.8</v>
      </c>
      <c r="F630" s="4" vm="4459">
        <v>221.17</v>
      </c>
      <c r="G630" s="4" vm="4460">
        <v>130.32</v>
      </c>
    </row>
    <row r="631" spans="1:7" x14ac:dyDescent="0.3">
      <c r="A631" vm="1257">
        <v>46094</v>
      </c>
      <c r="B631" s="4" vm="1258">
        <v>23151.1</v>
      </c>
      <c r="C631" s="4" vm="4461">
        <v>1904.4</v>
      </c>
      <c r="D631" s="4" vm="4462">
        <v>6741</v>
      </c>
      <c r="E631" s="4" vm="3619">
        <v>1202.2</v>
      </c>
      <c r="F631" s="4" vm="4463">
        <v>215.68</v>
      </c>
      <c r="G631" s="4" vm="4464">
        <v>127.22</v>
      </c>
    </row>
    <row r="632" spans="1:7" x14ac:dyDescent="0.3">
      <c r="A632" vm="1259">
        <v>46097</v>
      </c>
      <c r="B632" s="4" vm="1260">
        <v>23408.799999999999</v>
      </c>
      <c r="C632" s="4" vm="4465">
        <v>1909.2</v>
      </c>
      <c r="D632" s="4" vm="4466">
        <v>6827.5</v>
      </c>
      <c r="E632" s="4" vm="4467">
        <v>1213.4000000000001</v>
      </c>
      <c r="F632" s="4" vm="4468">
        <v>222.04</v>
      </c>
      <c r="G632" s="4" vm="4469">
        <v>128.22</v>
      </c>
    </row>
    <row r="633" spans="1:7" x14ac:dyDescent="0.3">
      <c r="A633" vm="1261">
        <v>46098</v>
      </c>
      <c r="B633" s="4" vm="1262">
        <v>23581.15</v>
      </c>
      <c r="C633" s="4" vm="4470">
        <v>1932.1</v>
      </c>
      <c r="D633" s="4" vm="4471">
        <v>6910</v>
      </c>
      <c r="E633" s="4" vm="4472">
        <v>1206.9000000000001</v>
      </c>
      <c r="F633" s="4" vm="4473">
        <v>234.63</v>
      </c>
      <c r="G633" s="4" vm="4474">
        <v>127.91</v>
      </c>
    </row>
    <row r="634" spans="1:7" x14ac:dyDescent="0.3">
      <c r="A634" vm="1263">
        <v>46099</v>
      </c>
      <c r="B634" s="4" vm="1264">
        <v>23777.8</v>
      </c>
      <c r="C634" s="4" vm="4475">
        <v>1962.5</v>
      </c>
      <c r="D634" s="4" vm="4476">
        <v>7027.5</v>
      </c>
      <c r="E634" s="4" vm="4477">
        <v>1204.8</v>
      </c>
      <c r="F634" s="4" vm="4478">
        <v>242.54</v>
      </c>
      <c r="G634" s="4" vm="4479">
        <v>121.32</v>
      </c>
    </row>
    <row r="635" spans="1:7" x14ac:dyDescent="0.3">
      <c r="A635" vm="1265">
        <v>46100</v>
      </c>
      <c r="B635" s="4" vm="1266">
        <v>23002.15</v>
      </c>
      <c r="C635" s="4" vm="4018">
        <v>1903.1</v>
      </c>
      <c r="D635" s="4" vm="4480">
        <v>6793</v>
      </c>
      <c r="E635" s="4" vm="4481">
        <v>1186.3</v>
      </c>
      <c r="F635" s="4" vm="4482">
        <v>228.74</v>
      </c>
      <c r="G635" s="4" vm="4483">
        <v>121.06</v>
      </c>
    </row>
    <row r="636" spans="1:7" x14ac:dyDescent="0.3">
      <c r="A636" vm="1267">
        <v>46101</v>
      </c>
      <c r="B636" s="4" vm="1268">
        <v>23114.5</v>
      </c>
      <c r="C636" s="4" vm="4484">
        <v>1896.9</v>
      </c>
      <c r="D636" s="4" vm="4485">
        <v>6909</v>
      </c>
      <c r="E636" s="4" vm="4486">
        <v>1193.5999999999999</v>
      </c>
      <c r="F636" s="4" vm="4487">
        <v>232.29</v>
      </c>
      <c r="G636" s="4" vm="4488">
        <v>110.72</v>
      </c>
    </row>
    <row r="637" spans="1:7" x14ac:dyDescent="0.3">
      <c r="A637" vm="1269">
        <v>46104</v>
      </c>
      <c r="B637" s="4" vm="1270">
        <v>22512.65</v>
      </c>
      <c r="C637" s="4" vm="4489">
        <v>1832.3</v>
      </c>
      <c r="D637" s="4" vm="4490">
        <v>6681.5</v>
      </c>
      <c r="E637" s="4" vm="4491">
        <v>1166.8</v>
      </c>
      <c r="F637" s="4" vm="4492">
        <v>226.96</v>
      </c>
      <c r="G637" s="4" vm="4493">
        <v>115.49</v>
      </c>
    </row>
    <row r="638" spans="1:7" x14ac:dyDescent="0.3">
      <c r="A638" vm="1271">
        <v>46105</v>
      </c>
      <c r="B638" s="4" vm="1272">
        <v>22912.400000000001</v>
      </c>
      <c r="C638" s="4" vm="4494">
        <v>1836</v>
      </c>
      <c r="D638" s="4" vm="4495">
        <v>6871</v>
      </c>
      <c r="E638" s="4" vm="4496">
        <v>1183.2</v>
      </c>
      <c r="F638" s="4" vm="4497">
        <v>237.94</v>
      </c>
      <c r="G638" s="4" vm="4498">
        <v>119.29</v>
      </c>
    </row>
    <row r="639" spans="1:7" x14ac:dyDescent="0.3">
      <c r="A639" vm="1273">
        <v>46106</v>
      </c>
      <c r="B639" s="4" vm="1274">
        <v>23306.45</v>
      </c>
      <c r="C639" s="4" vm="4499">
        <v>1851.8</v>
      </c>
      <c r="D639" s="4" vm="4500">
        <v>6992.5</v>
      </c>
      <c r="E639" s="4" vm="4501">
        <v>1204.0999999999999</v>
      </c>
      <c r="F639" s="4" vm="4502">
        <v>242.18</v>
      </c>
      <c r="G639" s="4" vm="4503">
        <v>117.53</v>
      </c>
    </row>
    <row r="640" spans="1:7" x14ac:dyDescent="0.3">
      <c r="A640" vm="1275">
        <v>46108</v>
      </c>
      <c r="B640" s="4" vm="1276">
        <v>22819.599999999999</v>
      </c>
      <c r="C640" s="4" vm="4504">
        <v>1837.6</v>
      </c>
      <c r="D640" s="4" vm="4505">
        <v>6811.5</v>
      </c>
      <c r="E640" s="4" vm="4506">
        <v>1193.2</v>
      </c>
      <c r="F640" s="4" vm="4507">
        <v>233.17</v>
      </c>
      <c r="G640" s="4" vm="4508">
        <v>121.19</v>
      </c>
    </row>
    <row r="641" spans="1:7" x14ac:dyDescent="0.3">
      <c r="A641" vm="1277">
        <v>46111</v>
      </c>
      <c r="B641" s="4" vm="1278">
        <v>22331.4</v>
      </c>
      <c r="C641" s="4" vm="4509">
        <v>1777.3</v>
      </c>
      <c r="D641" s="4" vm="4510">
        <v>6586</v>
      </c>
      <c r="E641" s="4" vm="4511">
        <v>1174.8</v>
      </c>
      <c r="F641" s="4" vm="4512">
        <v>228.98</v>
      </c>
      <c r="G641" s="4" vm="4513">
        <v>123.37</v>
      </c>
    </row>
    <row r="642" spans="1:7" x14ac:dyDescent="0.3">
      <c r="A642" vm="1279">
        <v>46113</v>
      </c>
      <c r="B642" s="4" vm="1280">
        <v>22679.4</v>
      </c>
      <c r="C642" s="4" vm="4514">
        <v>1790.5</v>
      </c>
      <c r="D642" s="4" vm="4515">
        <v>6825.5</v>
      </c>
      <c r="E642" s="4" vm="4516">
        <v>1180.8</v>
      </c>
      <c r="F642" s="4" vm="4517">
        <v>236.52</v>
      </c>
      <c r="G642" s="4" vm="4518">
        <v>120.58</v>
      </c>
    </row>
    <row r="643" spans="1:7" x14ac:dyDescent="0.3">
      <c r="A643" vm="1281">
        <v>46114</v>
      </c>
      <c r="B643" s="4" vm="1282">
        <v>22713.1</v>
      </c>
      <c r="C643" s="4" vm="4519">
        <v>1774</v>
      </c>
      <c r="D643" s="4" vm="4520">
        <v>6649.5</v>
      </c>
      <c r="E643" s="4" vm="4521">
        <v>1191.3</v>
      </c>
      <c r="F643" s="4" vm="4522">
        <v>231.72</v>
      </c>
      <c r="G643" s="4" vm="4523">
        <v>122.81</v>
      </c>
    </row>
    <row r="644" spans="1:7" x14ac:dyDescent="0.3">
      <c r="A644" vm="1283">
        <v>46118</v>
      </c>
      <c r="B644" s="4" vm="1284">
        <v>22968.25</v>
      </c>
      <c r="C644" s="4" vm="4524">
        <v>1836.8</v>
      </c>
      <c r="D644" s="4" vm="4525">
        <v>6596</v>
      </c>
      <c r="E644" s="4" vm="4526">
        <v>1216</v>
      </c>
      <c r="F644" s="4" vm="4527">
        <v>232.2</v>
      </c>
      <c r="G644" s="4" vm="4528">
        <v>121.78</v>
      </c>
    </row>
    <row r="645" spans="1:7" x14ac:dyDescent="0.3">
      <c r="A645" vm="1285">
        <v>46119</v>
      </c>
      <c r="B645" s="4" vm="1286">
        <v>23123.65</v>
      </c>
      <c r="C645" s="4" vm="4529">
        <v>1841.4</v>
      </c>
      <c r="D645" s="4" vm="4530">
        <v>6605.5</v>
      </c>
      <c r="E645" s="4" vm="4531">
        <v>1222.8</v>
      </c>
      <c r="F645" s="4" vm="4532">
        <v>231.97</v>
      </c>
      <c r="G645" s="4" vm="4533">
        <v>124.39</v>
      </c>
    </row>
    <row r="646" spans="1:7" x14ac:dyDescent="0.3">
      <c r="A646" vm="1287">
        <v>46120</v>
      </c>
      <c r="B646" s="4" vm="1288">
        <v>23997.35</v>
      </c>
      <c r="C646" s="4" vm="4534">
        <v>1907.6</v>
      </c>
      <c r="D646" s="4" vm="4535">
        <v>7131</v>
      </c>
      <c r="E646" s="4" vm="4536">
        <v>1213.7</v>
      </c>
      <c r="F646" s="4" vm="4537">
        <v>243.62</v>
      </c>
      <c r="G646" s="4" vm="4538">
        <v>123.21</v>
      </c>
    </row>
    <row r="647" spans="1:7" x14ac:dyDescent="0.3">
      <c r="A647" vm="1289">
        <v>46121</v>
      </c>
      <c r="B647" s="4" vm="1290">
        <v>23775.1</v>
      </c>
      <c r="C647" s="4" vm="4539">
        <v>1904</v>
      </c>
      <c r="D647" s="4" vm="4540">
        <v>7147.5</v>
      </c>
      <c r="E647" s="4" vm="2256">
        <v>1228.7</v>
      </c>
      <c r="F647" s="4" vm="4541">
        <v>237.89</v>
      </c>
      <c r="G647" s="4" vm="4542">
        <v>123.49</v>
      </c>
    </row>
    <row r="648" spans="1:7" x14ac:dyDescent="0.3">
      <c r="A648" vm="1291">
        <v>46122</v>
      </c>
      <c r="B648" s="4" vm="1292">
        <v>24050.6</v>
      </c>
      <c r="C648" s="4" vm="4543">
        <v>1923.2</v>
      </c>
      <c r="D648" s="4" vm="4544">
        <v>7424</v>
      </c>
      <c r="E648" s="4" vm="4545">
        <v>1249.3</v>
      </c>
      <c r="F648" s="4" vm="4546">
        <v>240.23</v>
      </c>
      <c r="G648" s="4" vm="4547">
        <v>123.76</v>
      </c>
    </row>
    <row r="649" spans="1:7" x14ac:dyDescent="0.3">
      <c r="A649" vm="1293">
        <v>46125</v>
      </c>
      <c r="B649" s="4" vm="1294">
        <v>23842.65</v>
      </c>
      <c r="C649" s="4" vm="4548">
        <v>1914.4</v>
      </c>
      <c r="D649" s="4" vm="4549">
        <v>7050</v>
      </c>
      <c r="E649" s="4" vm="4550">
        <v>1226.0999999999999</v>
      </c>
      <c r="F649" s="4" vm="4551">
        <v>236.22</v>
      </c>
      <c r="G649" s="4" vm="4552">
        <v>125.06</v>
      </c>
    </row>
    <row r="650" spans="1:7" x14ac:dyDescent="0.3">
      <c r="A650" vm="1295">
        <v>46127</v>
      </c>
      <c r="B650" s="4" vm="1296">
        <v>24231.3</v>
      </c>
      <c r="C650" s="4" vm="4553">
        <v>1971</v>
      </c>
      <c r="D650" s="4" vm="4554">
        <v>7128</v>
      </c>
      <c r="E650" s="4" vm="4555">
        <v>1256.5999999999999</v>
      </c>
      <c r="F650" s="4" vm="4556">
        <v>246.67</v>
      </c>
      <c r="G650" s="4" vm="4557">
        <v>125.61</v>
      </c>
    </row>
    <row r="651" spans="1:7" x14ac:dyDescent="0.3">
      <c r="A651" vm="1297">
        <v>46128</v>
      </c>
      <c r="B651" s="4" vm="1298">
        <v>24196.75</v>
      </c>
      <c r="C651" s="4" vm="4558">
        <v>1974.7</v>
      </c>
      <c r="D651" s="4" vm="4535">
        <v>7131</v>
      </c>
      <c r="E651" s="4" vm="4559">
        <v>1257.4000000000001</v>
      </c>
      <c r="F651" s="4" vm="4560">
        <v>252.7</v>
      </c>
      <c r="G651" s="4" vm="4561">
        <v>124.8</v>
      </c>
    </row>
    <row r="652" spans="1:7" x14ac:dyDescent="0.3">
      <c r="A652" vm="1299">
        <v>46129</v>
      </c>
      <c r="B652" s="4" vm="1300">
        <v>24353.55</v>
      </c>
      <c r="C652" s="4" vm="4562">
        <v>1970.9</v>
      </c>
      <c r="D652" s="4" vm="4563">
        <v>7189.5</v>
      </c>
      <c r="E652" s="4" vm="4564">
        <v>1285.5999999999999</v>
      </c>
      <c r="F652" s="4" vm="4565">
        <v>252.61</v>
      </c>
      <c r="G652" s="4" vm="1839">
        <v>125</v>
      </c>
    </row>
    <row r="653" spans="1:7" x14ac:dyDescent="0.3">
      <c r="A653" vm="1301">
        <v>46132</v>
      </c>
      <c r="B653" s="4" vm="1302">
        <v>24364.85</v>
      </c>
      <c r="C653" s="4" vm="4566">
        <v>1982.5</v>
      </c>
      <c r="D653" s="4" vm="4567">
        <v>7243</v>
      </c>
      <c r="E653" s="4" vm="4568">
        <v>1286.4000000000001</v>
      </c>
      <c r="F653" s="4" vm="4569">
        <v>254.88</v>
      </c>
      <c r="G653" s="4" vm="4345">
        <v>125.22</v>
      </c>
    </row>
    <row r="654" spans="1:7" x14ac:dyDescent="0.3">
      <c r="A654" vm="1303">
        <v>46133</v>
      </c>
      <c r="B654" s="4" vm="1304">
        <v>24576.6</v>
      </c>
      <c r="C654" s="4" vm="4570">
        <v>1911.6</v>
      </c>
      <c r="D654" s="4" vm="4571">
        <v>7240.5</v>
      </c>
      <c r="E654" s="4" vm="4572">
        <v>1379.9</v>
      </c>
      <c r="F654" s="4" vm="4573">
        <v>259.48</v>
      </c>
      <c r="G654" s="4" vm="4574">
        <v>124.99</v>
      </c>
    </row>
    <row r="655" spans="1:7" x14ac:dyDescent="0.3">
      <c r="A655" vm="1305">
        <v>46134</v>
      </c>
      <c r="B655" s="4" vm="1306">
        <v>24378.1</v>
      </c>
      <c r="C655" s="4" vm="4575">
        <v>1884.8</v>
      </c>
      <c r="D655" s="4" vm="4576">
        <v>7230</v>
      </c>
      <c r="E655" s="4" vm="4577">
        <v>1395.8</v>
      </c>
      <c r="F655" s="4" vm="4578">
        <v>262.99</v>
      </c>
      <c r="G655" s="4" vm="4579">
        <v>124.08</v>
      </c>
    </row>
    <row r="656" spans="1:7" x14ac:dyDescent="0.3">
      <c r="A656" vm="1307">
        <v>46135</v>
      </c>
      <c r="B656" s="4" vm="1308">
        <v>24173.05</v>
      </c>
      <c r="C656" s="4" vm="4580">
        <v>1828.1</v>
      </c>
      <c r="D656" s="4" vm="4581">
        <v>7092.5</v>
      </c>
      <c r="E656" s="4" vm="4582">
        <v>1410.5</v>
      </c>
      <c r="F656" s="4" vm="4583">
        <v>259.92</v>
      </c>
      <c r="G656" s="4" vm="4584">
        <v>123.94</v>
      </c>
    </row>
    <row r="657" spans="1:7" x14ac:dyDescent="0.3">
      <c r="A657" vm="1309">
        <v>46136</v>
      </c>
      <c r="B657" s="4" vm="1310">
        <v>23897.95</v>
      </c>
      <c r="C657" s="4" vm="4585">
        <v>1768.9</v>
      </c>
      <c r="D657" s="4" vm="4586">
        <v>7111.5</v>
      </c>
      <c r="E657" s="4" vm="3260">
        <v>1421.3</v>
      </c>
      <c r="F657" s="4" vm="4587">
        <v>256.79000000000002</v>
      </c>
      <c r="G657" s="4" vm="4588">
        <v>124.25</v>
      </c>
    </row>
    <row r="658" spans="1:7" x14ac:dyDescent="0.3">
      <c r="A658" vm="1311">
        <v>46139</v>
      </c>
      <c r="B658" s="4" vm="1312">
        <v>24092.7</v>
      </c>
      <c r="C658" s="4" vm="4589">
        <v>1815.4</v>
      </c>
      <c r="D658" s="4" vm="4590">
        <v>7174</v>
      </c>
      <c r="E658" s="4" vm="4591">
        <v>1417.3</v>
      </c>
      <c r="F658" s="4" vm="4592">
        <v>255.49</v>
      </c>
      <c r="G658" s="4" vm="4593">
        <v>122.68</v>
      </c>
    </row>
    <row r="659" spans="1:7" x14ac:dyDescent="0.3">
      <c r="A659" vm="1313">
        <v>46140</v>
      </c>
      <c r="B659" s="4" vm="1314">
        <v>23995.7</v>
      </c>
      <c r="C659" s="4" vm="3651">
        <v>1808.3</v>
      </c>
      <c r="D659" s="4" vm="4594">
        <v>7071.5</v>
      </c>
      <c r="E659" s="4" vm="4595">
        <v>1440</v>
      </c>
      <c r="F659" s="4" vm="4596">
        <v>253.07</v>
      </c>
      <c r="G659" s="4" vm="4597">
        <v>121.58</v>
      </c>
    </row>
    <row r="660" spans="1:7" x14ac:dyDescent="0.3">
      <c r="A660" vm="1315">
        <v>46141</v>
      </c>
      <c r="B660" s="4" vm="1316">
        <v>24177.65</v>
      </c>
      <c r="C660" s="4" vm="3980">
        <v>1816.2</v>
      </c>
      <c r="D660" s="4" vm="4563">
        <v>7189.5</v>
      </c>
      <c r="E660" s="4" vm="4598">
        <v>1465.6</v>
      </c>
      <c r="F660" s="4" vm="4599">
        <v>254.03</v>
      </c>
      <c r="G660" s="4" vm="4600">
        <v>123.43</v>
      </c>
    </row>
    <row r="661" spans="1:7" x14ac:dyDescent="0.3">
      <c r="A661" vm="1317">
        <v>46142</v>
      </c>
      <c r="B661" s="4" vm="1318">
        <v>23997.55</v>
      </c>
      <c r="C661" s="4" vm="4601">
        <v>1819</v>
      </c>
      <c r="D661" s="4" vm="4602">
        <v>7109</v>
      </c>
      <c r="E661" s="4" vm="4603">
        <v>1458.6</v>
      </c>
      <c r="F661" s="4" vm="4604">
        <v>247.03</v>
      </c>
      <c r="G661" s="4" vm="4605">
        <v>122.38</v>
      </c>
    </row>
    <row r="662" spans="1:7" x14ac:dyDescent="0.3">
      <c r="A662" vm="1319">
        <v>46146</v>
      </c>
      <c r="B662" s="4" vm="1320">
        <v>24119.3</v>
      </c>
      <c r="C662" s="4" vm="4606">
        <v>1820.1</v>
      </c>
      <c r="D662" s="4" vm="4607">
        <v>7329</v>
      </c>
      <c r="E662" s="4" vm="4608">
        <v>1457.1</v>
      </c>
      <c r="F662" s="4" vm="4609">
        <v>251.9</v>
      </c>
      <c r="G662" s="4" vm="4610">
        <v>122.16</v>
      </c>
    </row>
    <row r="663" spans="1:7" x14ac:dyDescent="0.3">
      <c r="A663" vm="1321">
        <v>46147</v>
      </c>
      <c r="B663" s="4" vm="1322">
        <v>24032.799999999999</v>
      </c>
      <c r="C663" s="4" vm="4611">
        <v>1821.2</v>
      </c>
      <c r="D663" s="4" vm="4612">
        <v>7301.5</v>
      </c>
      <c r="E663" s="4" vm="4613">
        <v>1477.8</v>
      </c>
      <c r="F663" s="4" vm="4614">
        <v>248.47</v>
      </c>
      <c r="G663" s="4" vm="4615">
        <v>124.02</v>
      </c>
    </row>
    <row r="664" spans="1:7" x14ac:dyDescent="0.3">
      <c r="A664" vm="1323">
        <v>46148</v>
      </c>
      <c r="B664" s="4" vm="1324">
        <v>24330.95</v>
      </c>
      <c r="C664" s="4" vm="3811">
        <v>1859</v>
      </c>
      <c r="D664" s="4" vm="4616">
        <v>7310.5</v>
      </c>
      <c r="E664" s="4" vm="4617">
        <v>1486.1</v>
      </c>
      <c r="F664" s="4" vm="2628">
        <v>256.05</v>
      </c>
      <c r="G664" s="4" vm="4618">
        <v>124.47</v>
      </c>
    </row>
    <row r="665" spans="1:7" x14ac:dyDescent="0.3">
      <c r="A665" vm="1325">
        <v>46149</v>
      </c>
      <c r="B665" s="4" vm="1326">
        <v>24326.65</v>
      </c>
      <c r="C665" s="4" vm="4619">
        <v>1872.2</v>
      </c>
      <c r="D665" s="4" vm="4620">
        <v>7327.5</v>
      </c>
      <c r="E665" s="4" vm="4621">
        <v>1476</v>
      </c>
      <c r="F665" s="4" vm="4622">
        <v>257.42</v>
      </c>
      <c r="G665" s="4" vm="4623">
        <v>124.31</v>
      </c>
    </row>
    <row r="666" spans="1:7" x14ac:dyDescent="0.3">
      <c r="A666" vm="1327">
        <v>46150</v>
      </c>
      <c r="B666" s="4" vm="1328">
        <v>24176.15</v>
      </c>
      <c r="C666" s="4" vm="4624">
        <v>1872.1</v>
      </c>
      <c r="D666" s="4" vm="4625">
        <v>7302.5</v>
      </c>
      <c r="E666" s="4" vm="4626">
        <v>1482.4</v>
      </c>
      <c r="F666" s="4" vm="4627">
        <v>256.39</v>
      </c>
      <c r="G666" s="4" vm="4628">
        <v>123.23</v>
      </c>
    </row>
    <row r="667" spans="1:7" x14ac:dyDescent="0.3">
      <c r="A667" vm="1329">
        <v>46153</v>
      </c>
      <c r="B667" s="4" vm="1330">
        <v>23815.85</v>
      </c>
      <c r="C667" s="4" vm="4629">
        <v>1884.4</v>
      </c>
      <c r="D667" s="4" vm="4630">
        <v>7202.5</v>
      </c>
      <c r="E667" s="4" vm="4631">
        <v>1481.9</v>
      </c>
      <c r="F667" s="4" vm="4632">
        <v>245.87</v>
      </c>
      <c r="G667" s="4" vm="4633">
        <v>124.61</v>
      </c>
    </row>
    <row r="668" spans="1:7" x14ac:dyDescent="0.3">
      <c r="A668" vm="1331">
        <v>46154</v>
      </c>
      <c r="B668" s="4" vm="1332">
        <v>23379.55</v>
      </c>
      <c r="C668" s="4" vm="4634">
        <v>1833.9</v>
      </c>
      <c r="D668" s="4" vm="4635">
        <v>7126</v>
      </c>
      <c r="E668" s="4" vm="4636">
        <v>1468.6</v>
      </c>
      <c r="F668" s="4" vm="4637">
        <v>239.98</v>
      </c>
      <c r="G668" s="4" vm="4638">
        <v>131.74</v>
      </c>
    </row>
    <row r="669" spans="1:7" x14ac:dyDescent="0.3">
      <c r="A669" vm="1333">
        <v>46155</v>
      </c>
      <c r="B669" s="4" vm="1334">
        <v>23412.6</v>
      </c>
      <c r="C669" s="4" vm="4639">
        <v>1837.5</v>
      </c>
      <c r="D669" s="4" vm="4640">
        <v>6971.5</v>
      </c>
      <c r="E669" s="4" vm="4641">
        <v>1468.9</v>
      </c>
      <c r="F669" s="4" vm="4642">
        <v>237.82</v>
      </c>
      <c r="G669" s="4" vm="4643">
        <v>131.78</v>
      </c>
    </row>
    <row r="670" spans="1:7" x14ac:dyDescent="0.3">
      <c r="A670" vm="1335">
        <v>46156</v>
      </c>
      <c r="B670" s="4" vm="1336">
        <v>23689.599999999999</v>
      </c>
      <c r="C670" s="4" vm="4644">
        <v>1866.7</v>
      </c>
      <c r="D670" s="4" vm="4645">
        <v>7034</v>
      </c>
      <c r="E670" s="4" vm="4646">
        <v>1459.6</v>
      </c>
      <c r="F670" s="4" vm="4647">
        <v>245.82</v>
      </c>
      <c r="G670" s="4" vm="4648">
        <v>129.41</v>
      </c>
    </row>
    <row r="671" spans="1:7" x14ac:dyDescent="0.3">
      <c r="A671" vm="1337">
        <v>46157</v>
      </c>
      <c r="B671" s="4" vm="1338">
        <v>23643.5</v>
      </c>
      <c r="C671" s="4" vm="4649">
        <v>1864.5</v>
      </c>
      <c r="D671" s="4" vm="4650">
        <v>7014.5</v>
      </c>
      <c r="E671" s="4" vm="3240">
        <v>1430.5</v>
      </c>
      <c r="F671" s="4" vm="4651">
        <v>241.18</v>
      </c>
      <c r="G671" s="4" vm="4652">
        <v>129.69999999999999</v>
      </c>
    </row>
    <row r="672" spans="1:7" x14ac:dyDescent="0.3">
      <c r="A672" vm="1339">
        <v>46160</v>
      </c>
      <c r="B672" s="4" vm="1340">
        <v>23649.95</v>
      </c>
      <c r="C672" s="4" vm="4653">
        <v>1860.4</v>
      </c>
      <c r="D672" s="4" vm="4654">
        <v>6913</v>
      </c>
      <c r="E672" s="4" vm="4655">
        <v>1431.7</v>
      </c>
      <c r="F672" s="4" vm="4656">
        <v>241.4</v>
      </c>
      <c r="G672" s="4" vm="4657">
        <v>130.63999999999999</v>
      </c>
    </row>
    <row r="673" spans="1:7" x14ac:dyDescent="0.3">
      <c r="A673" vm="1341">
        <v>46161</v>
      </c>
      <c r="B673" s="4" vm="1342">
        <v>23618</v>
      </c>
      <c r="C673" s="4" vm="4658">
        <v>1881.4</v>
      </c>
      <c r="D673" s="4" vm="4659">
        <v>6882.5</v>
      </c>
      <c r="E673" s="4" vm="4660">
        <v>1431.4</v>
      </c>
      <c r="F673" s="4" vm="4661">
        <v>247.21</v>
      </c>
      <c r="G673" s="4" vm="4662">
        <v>130.19999999999999</v>
      </c>
    </row>
    <row r="674" spans="1:7" x14ac:dyDescent="0.3">
      <c r="A674" vm="1343">
        <v>46162</v>
      </c>
      <c r="B674" s="4" vm="1344">
        <v>23659</v>
      </c>
      <c r="C674" s="4" vm="4663">
        <v>1864.2</v>
      </c>
      <c r="D674" s="4" vm="4664">
        <v>6849.5</v>
      </c>
      <c r="E674" s="4" vm="4665">
        <v>1420.1</v>
      </c>
      <c r="F674" s="4" vm="4666">
        <v>243.34</v>
      </c>
      <c r="G674" s="4" vm="4667">
        <v>130.74</v>
      </c>
    </row>
    <row r="675" spans="1:7" x14ac:dyDescent="0.3">
      <c r="A675" vm="1345">
        <v>46163</v>
      </c>
      <c r="B675" s="4" vm="1346">
        <v>23654.7</v>
      </c>
      <c r="C675" s="4" vm="4668">
        <v>1859.9</v>
      </c>
      <c r="D675" s="4" vm="4669">
        <v>6892</v>
      </c>
      <c r="E675" s="4" vm="4670">
        <v>1406.5</v>
      </c>
      <c r="F675" s="4" vm="4671">
        <v>242.05</v>
      </c>
      <c r="G675" s="4" vm="4672">
        <v>130.5</v>
      </c>
    </row>
    <row r="676" spans="1:7" x14ac:dyDescent="0.3">
      <c r="A676" vm="1347">
        <v>46164</v>
      </c>
      <c r="B676" s="4" vm="1348">
        <v>23719.3</v>
      </c>
      <c r="C676" s="4" vm="4673">
        <v>1870.7</v>
      </c>
      <c r="D676" s="4" vm="4674">
        <v>6981.5</v>
      </c>
      <c r="E676" s="4" vm="4675">
        <v>1423.1</v>
      </c>
      <c r="F676" s="4" vm="4676">
        <v>241.95</v>
      </c>
      <c r="G676" s="4" vm="4677">
        <v>130.51</v>
      </c>
    </row>
    <row r="677" spans="1:7" x14ac:dyDescent="0.3">
      <c r="A677" vm="1349">
        <v>46167</v>
      </c>
      <c r="B677" s="4" vm="1350">
        <v>24031.7</v>
      </c>
      <c r="C677" s="4" vm="4678">
        <v>1901.9</v>
      </c>
      <c r="D677" s="4" vm="4679">
        <v>7414</v>
      </c>
      <c r="E677" s="4" vm="4680">
        <v>1413.6</v>
      </c>
      <c r="F677" s="4" vm="4681">
        <v>247.67</v>
      </c>
      <c r="G677" s="4" vm="4682">
        <v>129.58000000000001</v>
      </c>
    </row>
    <row r="678" spans="1:7" x14ac:dyDescent="0.3">
      <c r="A678" vm="1351">
        <v>46168</v>
      </c>
      <c r="B678" s="4" vm="1352">
        <v>23913.7</v>
      </c>
      <c r="C678" s="4" vm="4683">
        <v>1883.2</v>
      </c>
      <c r="D678" s="4" vm="4684">
        <v>7376</v>
      </c>
      <c r="E678" s="4" vm="2930">
        <v>1428.6</v>
      </c>
      <c r="F678" s="4" vm="4685">
        <v>250.17</v>
      </c>
      <c r="G678" s="4" vm="4686">
        <v>129.04</v>
      </c>
    </row>
    <row r="679" spans="1:7" x14ac:dyDescent="0.3">
      <c r="A679" vm="1353">
        <v>46169</v>
      </c>
      <c r="B679" s="4" vm="1354">
        <v>23907.15</v>
      </c>
      <c r="C679" s="4" vm="4649">
        <v>1864.5</v>
      </c>
      <c r="D679" s="4" vm="4687">
        <v>7419</v>
      </c>
      <c r="E679" s="4" vm="4688">
        <v>1427.5</v>
      </c>
      <c r="F679" s="4" vm="4689">
        <v>256.51</v>
      </c>
      <c r="G679" s="4" vm="4690">
        <v>128.65</v>
      </c>
    </row>
    <row r="680" spans="1:7" x14ac:dyDescent="0.3">
      <c r="A680" vm="1355">
        <v>46171</v>
      </c>
      <c r="B680" s="4" vm="1356">
        <v>23547.75</v>
      </c>
      <c r="C680" s="4" vm="4691">
        <v>1830.1</v>
      </c>
      <c r="D680" s="4" vm="4692">
        <v>7177</v>
      </c>
      <c r="E680" s="4" vm="4693">
        <v>1421.5</v>
      </c>
      <c r="F680" s="4" vm="4694">
        <v>250.58</v>
      </c>
      <c r="G680" s="4" vm="4695">
        <v>127.49</v>
      </c>
    </row>
    <row r="681" spans="1:7" x14ac:dyDescent="0.3">
      <c r="A681" vm="1357">
        <v>46174</v>
      </c>
      <c r="B681" s="4" vm="1358">
        <v>23382.6</v>
      </c>
      <c r="C681" s="4" vm="4696">
        <v>1812.5</v>
      </c>
      <c r="D681" s="4" vm="4697">
        <v>7100.5</v>
      </c>
      <c r="E681" s="4" vm="4698">
        <v>1391.8</v>
      </c>
      <c r="F681" s="4" vm="4699">
        <v>248.1</v>
      </c>
      <c r="G681" s="4" vm="4700">
        <v>128.66999999999999</v>
      </c>
    </row>
    <row r="682" spans="1:7" x14ac:dyDescent="0.3">
      <c r="A682" vm="1359">
        <v>46175</v>
      </c>
      <c r="B682" s="4" vm="1360">
        <v>23483.55</v>
      </c>
      <c r="C682" s="4" vm="4701">
        <v>1801.7</v>
      </c>
      <c r="D682" s="4" vm="4702">
        <v>7141.5</v>
      </c>
      <c r="E682" s="4" vm="4703">
        <v>1398.7</v>
      </c>
      <c r="F682" s="4" vm="4704">
        <v>250.75</v>
      </c>
      <c r="G682" s="4" vm="4705">
        <v>127.64</v>
      </c>
    </row>
    <row r="683" spans="1:7" x14ac:dyDescent="0.3">
      <c r="A683" vm="1361">
        <v>46176</v>
      </c>
      <c r="B683" s="4" vm="1362">
        <v>23405.599999999999</v>
      </c>
      <c r="C683" s="4" vm="4706">
        <v>1784.2</v>
      </c>
      <c r="D683" s="4" vm="4707">
        <v>7130</v>
      </c>
      <c r="E683" s="4" vm="2351">
        <v>1391.5</v>
      </c>
      <c r="F683" s="4" vm="4708">
        <v>247</v>
      </c>
      <c r="G683" s="4" vm="1834">
        <v>128.5</v>
      </c>
    </row>
    <row r="684" spans="1:7" x14ac:dyDescent="0.3">
      <c r="A684" vm="1363">
        <v>46177</v>
      </c>
      <c r="B684" s="4" vm="1364">
        <v>23416.55</v>
      </c>
      <c r="C684" s="4" vm="4709">
        <v>1764.9</v>
      </c>
      <c r="D684" s="4" vm="4710">
        <v>7110</v>
      </c>
      <c r="E684" s="4" vm="4711">
        <v>1382.9</v>
      </c>
      <c r="F684" s="4" vm="4712">
        <v>254.35</v>
      </c>
      <c r="G684" s="4" vm="4713">
        <v>127.78</v>
      </c>
    </row>
    <row r="685" spans="1:7" x14ac:dyDescent="0.3">
      <c r="A685" vm="1365">
        <v>46178</v>
      </c>
      <c r="B685" s="4" vm="1366">
        <v>23366.7</v>
      </c>
      <c r="C685" s="4" vm="4714">
        <v>1782.8</v>
      </c>
      <c r="D685" s="4" vm="4715">
        <v>7070</v>
      </c>
      <c r="E685" s="4" vm="4716">
        <v>1386.2</v>
      </c>
      <c r="F685" s="4" vm="4717">
        <v>256.5</v>
      </c>
      <c r="G685" s="4" vm="4718">
        <v>124.16</v>
      </c>
    </row>
    <row r="686" spans="1:7" x14ac:dyDescent="0.3">
      <c r="A686" vm="1367">
        <v>46181</v>
      </c>
      <c r="B686" s="4" vm="1368">
        <v>23123</v>
      </c>
      <c r="C686" s="4" vm="4719">
        <v>1764.4</v>
      </c>
      <c r="D686" s="4" vm="4549">
        <v>7050</v>
      </c>
      <c r="E686" s="4" vm="4720">
        <v>1398.9</v>
      </c>
      <c r="F686" s="4" vm="4721">
        <v>248.3</v>
      </c>
      <c r="G686" s="4" vm="4722">
        <v>125.39</v>
      </c>
    </row>
    <row r="687" spans="1:7" x14ac:dyDescent="0.3">
      <c r="A687" vm="1369">
        <v>46182</v>
      </c>
      <c r="B687" s="4" vm="1370">
        <v>23242.1</v>
      </c>
      <c r="C687" s="4" vm="4723">
        <v>1769.1</v>
      </c>
      <c r="D687" s="4" vm="4724">
        <v>7203</v>
      </c>
      <c r="E687" s="4" vm="4725">
        <v>1410.4</v>
      </c>
      <c r="F687" s="4" vm="4726">
        <v>245.65</v>
      </c>
      <c r="G687" s="4" vm="4727">
        <v>121.15</v>
      </c>
    </row>
    <row r="688" spans="1:7" x14ac:dyDescent="0.3">
      <c r="A688" vm="1371">
        <v>46183</v>
      </c>
      <c r="B688" s="4" vm="1372">
        <v>23214.95</v>
      </c>
      <c r="C688" s="4" vm="4728">
        <v>1728.7</v>
      </c>
      <c r="D688" s="4" vm="4729">
        <v>7219.5</v>
      </c>
      <c r="E688" s="4" vm="4730">
        <v>1438.3</v>
      </c>
      <c r="F688" s="4" vm="4731">
        <v>239.8</v>
      </c>
      <c r="G688" s="4" vm="4732">
        <v>119.28</v>
      </c>
    </row>
    <row r="689" spans="1:7" x14ac:dyDescent="0.3">
      <c r="A689" vm="1373">
        <v>46184</v>
      </c>
      <c r="B689" s="4" vm="1374">
        <v>23161.599999999999</v>
      </c>
      <c r="C689" s="4" vm="4733">
        <v>1719.1</v>
      </c>
      <c r="D689" s="4" vm="4734">
        <v>7179.5</v>
      </c>
      <c r="E689" s="4" vm="4735">
        <v>1422.5</v>
      </c>
      <c r="F689" s="4" vm="4736">
        <v>235.2</v>
      </c>
      <c r="G689" s="4" vm="4737">
        <v>121.92</v>
      </c>
    </row>
    <row r="690" spans="1:7" x14ac:dyDescent="0.3">
      <c r="A690" vm="1375">
        <v>46185</v>
      </c>
      <c r="B690" s="4" vm="1376">
        <v>23622.9</v>
      </c>
      <c r="C690" s="4" vm="4738">
        <v>1706</v>
      </c>
      <c r="D690" s="4" vm="4739">
        <v>7312</v>
      </c>
      <c r="E690" s="4" vm="4740">
        <v>1375.7</v>
      </c>
      <c r="F690" s="4" vm="4741">
        <v>243.8</v>
      </c>
      <c r="G690" s="4" vm="4742">
        <v>124.11</v>
      </c>
    </row>
    <row r="691" spans="1:7" x14ac:dyDescent="0.3">
      <c r="A691" vm="1377">
        <v>46188</v>
      </c>
      <c r="B691" s="4" vm="1378">
        <v>23853.9</v>
      </c>
      <c r="C691" s="4" vm="4743">
        <v>1759.5</v>
      </c>
      <c r="D691" s="4" vm="4744">
        <v>7624.5</v>
      </c>
      <c r="E691" s="4" vm="4745">
        <v>1374.7</v>
      </c>
      <c r="F691" s="4" vm="4746">
        <v>252</v>
      </c>
      <c r="G691" s="4" vm="4747">
        <v>124.14</v>
      </c>
    </row>
    <row r="692" spans="1:7" x14ac:dyDescent="0.3">
      <c r="A692" vm="1379">
        <v>46189</v>
      </c>
      <c r="B692" s="4" vm="1380">
        <v>23989.15</v>
      </c>
      <c r="C692" s="4" vm="4748">
        <v>1767.6</v>
      </c>
      <c r="D692" s="4" vm="4749">
        <v>7560.5</v>
      </c>
      <c r="E692" s="4" vm="4750">
        <v>1391.7</v>
      </c>
      <c r="F692" s="4" vm="4751">
        <v>253.6</v>
      </c>
      <c r="G692" s="4" vm="4752">
        <v>123.75</v>
      </c>
    </row>
    <row r="693" spans="1:7" x14ac:dyDescent="0.3">
      <c r="A693" vm="1381">
        <v>46190</v>
      </c>
      <c r="B693" s="4" vm="1382">
        <v>24085.7</v>
      </c>
      <c r="C693" s="4" vm="3712">
        <v>1793.6</v>
      </c>
      <c r="D693" s="4" vm="4753">
        <v>7509</v>
      </c>
      <c r="E693" s="4" vm="4754">
        <v>1407.3</v>
      </c>
      <c r="F693" s="4" vm="2888">
        <v>258.39999999999998</v>
      </c>
      <c r="G693" s="4" vm="4755">
        <v>122.12</v>
      </c>
    </row>
    <row r="694" spans="1:7" x14ac:dyDescent="0.3">
      <c r="A694" vm="1383">
        <v>46191</v>
      </c>
      <c r="B694" s="4" vm="1384">
        <v>24168</v>
      </c>
      <c r="C694" s="4" vm="4756">
        <v>1807.6</v>
      </c>
      <c r="D694" s="4" vm="4757">
        <v>7601</v>
      </c>
      <c r="E694" s="4" vm="3035">
        <v>1400.4</v>
      </c>
      <c r="F694" s="4" vm="3654">
        <v>258.55</v>
      </c>
      <c r="G694" s="4" vm="4758">
        <v>119.79</v>
      </c>
    </row>
    <row r="695" spans="1:7" x14ac:dyDescent="0.3">
      <c r="A695" vm="1385">
        <v>46192</v>
      </c>
      <c r="B695" s="4" vm="1386">
        <v>24013.1</v>
      </c>
      <c r="C695" s="4" vm="3588">
        <v>1800.2</v>
      </c>
      <c r="D695" s="4" vm="4759">
        <v>7611</v>
      </c>
      <c r="E695" s="4" vm="4760">
        <v>1414.8</v>
      </c>
      <c r="F695" s="4" vm="4761">
        <v>264.3</v>
      </c>
      <c r="G695" s="4" vm="4762">
        <v>121.12</v>
      </c>
    </row>
    <row r="696" spans="1:7" x14ac:dyDescent="0.3">
      <c r="A696" vm="1387">
        <v>46195</v>
      </c>
      <c r="B696" s="4" vm="1388">
        <v>24102.9</v>
      </c>
      <c r="C696" s="4" vm="3831">
        <v>1805.5</v>
      </c>
      <c r="D696" s="4" vm="4763">
        <v>7639.5</v>
      </c>
      <c r="E696" s="4" vm="4764">
        <v>1401.9</v>
      </c>
      <c r="F696" s="4" vm="4765">
        <v>263.64999999999998</v>
      </c>
      <c r="G696" s="4" vm="1780">
        <v>118.9</v>
      </c>
    </row>
    <row r="697" spans="1:7" x14ac:dyDescent="0.3">
      <c r="A697" vm="1389">
        <v>46196</v>
      </c>
      <c r="B697" s="4" vm="1390">
        <v>23824.1</v>
      </c>
      <c r="C697" s="4" vm="4766">
        <v>1786.2</v>
      </c>
      <c r="D697" s="4" vm="4767">
        <v>7578</v>
      </c>
      <c r="E697" s="4" vm="4768">
        <v>1392.2</v>
      </c>
      <c r="F697" s="4" vm="4769">
        <v>258.95</v>
      </c>
      <c r="G697" s="4" vm="4770">
        <v>117.56</v>
      </c>
    </row>
    <row r="698" spans="1:7" x14ac:dyDescent="0.3">
      <c r="A698" vm="1391">
        <v>46197</v>
      </c>
      <c r="B698" s="4" vm="1392">
        <v>24021.65</v>
      </c>
      <c r="C698" s="4" vm="4771">
        <v>1767.7</v>
      </c>
      <c r="D698" s="4" vm="4772">
        <v>7572</v>
      </c>
      <c r="E698" s="4" vm="4773">
        <v>1382.6</v>
      </c>
      <c r="F698" s="4" vm="2808">
        <v>256.35000000000002</v>
      </c>
      <c r="G698" s="4" vm="4774">
        <v>114.96</v>
      </c>
    </row>
    <row r="699" spans="1:7" x14ac:dyDescent="0.3">
      <c r="A699" vm="1393">
        <v>46198</v>
      </c>
      <c r="B699" s="4" vm="1394">
        <v>24056</v>
      </c>
      <c r="C699" s="4" vm="2547">
        <v>1744.9</v>
      </c>
      <c r="D699" s="4" vm="4775">
        <v>7598</v>
      </c>
      <c r="E699" s="4" vm="4776">
        <v>1402.6</v>
      </c>
      <c r="F699" s="4" vm="4777">
        <v>255.15</v>
      </c>
      <c r="G699" s="4" vm="4778">
        <v>116.43</v>
      </c>
    </row>
    <row r="700" spans="1:7" x14ac:dyDescent="0.3">
      <c r="A700" vm="1395">
        <v>46202</v>
      </c>
      <c r="B700" s="4" vm="1396">
        <v>23946.25</v>
      </c>
      <c r="C700" s="4" vm="4779">
        <v>1755.4</v>
      </c>
      <c r="D700" s="4" vm="4780">
        <v>7426</v>
      </c>
      <c r="E700" s="4" vm="4781">
        <v>1387.3</v>
      </c>
      <c r="F700" s="4" vm="4782">
        <v>259.39999999999998</v>
      </c>
      <c r="G700" s="4" vm="4783">
        <v>115.97</v>
      </c>
    </row>
    <row r="701" spans="1:7" x14ac:dyDescent="0.3">
      <c r="A701" vm="1397">
        <v>46203</v>
      </c>
      <c r="B701" s="4" vm="1398">
        <v>23865.75</v>
      </c>
      <c r="C701" s="4" vm="4784">
        <v>1765.7</v>
      </c>
      <c r="D701" s="4" vm="4785">
        <v>7073.5</v>
      </c>
      <c r="E701" s="4" vm="4786">
        <v>1405.2</v>
      </c>
      <c r="F701" s="4" vm="4787">
        <v>264.60000000000002</v>
      </c>
      <c r="G701" s="4" vm="4788">
        <v>115.46</v>
      </c>
    </row>
    <row r="702" spans="1:7" x14ac:dyDescent="0.3">
      <c r="A702" vm="1399">
        <v>46204</v>
      </c>
      <c r="B702" s="4" vm="1400">
        <v>24005.85</v>
      </c>
      <c r="C702" s="4" vm="4789">
        <v>1790.9</v>
      </c>
      <c r="D702" s="4" vm="4790">
        <v>7139</v>
      </c>
      <c r="E702" s="4" vm="4791">
        <v>1453.8</v>
      </c>
      <c r="F702" s="4" vm="4792">
        <v>279.7</v>
      </c>
      <c r="G702" s="4" vm="4793">
        <v>117.69</v>
      </c>
    </row>
    <row r="703" spans="1:7" x14ac:dyDescent="0.3">
      <c r="A703" vm="1401">
        <v>46205</v>
      </c>
      <c r="B703" s="4" vm="1402">
        <v>24175.7</v>
      </c>
      <c r="C703" s="4" vm="4794">
        <v>1784.4</v>
      </c>
      <c r="D703" s="4" vm="4795">
        <v>7250</v>
      </c>
      <c r="E703" s="4" vm="4796">
        <v>1446.2</v>
      </c>
      <c r="F703" s="4" vm="4792">
        <v>279.7</v>
      </c>
      <c r="G703" s="4" vm="4797">
        <v>120.31</v>
      </c>
    </row>
    <row r="704" spans="1:7" x14ac:dyDescent="0.3">
      <c r="A704" vm="1403">
        <v>46206</v>
      </c>
      <c r="B704" s="4" vm="1404">
        <v>24270.85</v>
      </c>
      <c r="C704" s="4" vm="3932">
        <v>1788.7</v>
      </c>
      <c r="D704" s="4" vm="4798">
        <v>7339.5</v>
      </c>
      <c r="E704" s="4" vm="4799">
        <v>1459.8</v>
      </c>
      <c r="F704" s="4" vm="4800">
        <v>281.64999999999998</v>
      </c>
      <c r="G704" s="4" vm="4801">
        <v>119.51</v>
      </c>
    </row>
    <row r="705" spans="1:7" x14ac:dyDescent="0.3">
      <c r="A705" vm="1405">
        <v>46209</v>
      </c>
      <c r="B705" s="4" vm="1406">
        <v>24430.35</v>
      </c>
      <c r="C705" s="4" vm="4802">
        <v>1787.7</v>
      </c>
      <c r="D705" s="4" vm="4803">
        <v>7471.5</v>
      </c>
      <c r="E705" s="4" vm="4804">
        <v>1473.7</v>
      </c>
      <c r="F705" s="4" vm="4805">
        <v>283.39999999999998</v>
      </c>
      <c r="G705" s="4" vm="4806">
        <v>118.58</v>
      </c>
    </row>
    <row r="706" spans="1:7" x14ac:dyDescent="0.3">
      <c r="A706" vm="1407">
        <v>46210</v>
      </c>
      <c r="B706" s="4" vm="1408">
        <v>24398.7</v>
      </c>
      <c r="C706" s="4" vm="4489">
        <v>1832.3</v>
      </c>
      <c r="D706" s="4" vm="4807">
        <v>7536</v>
      </c>
      <c r="E706" s="4" vm="4808">
        <v>1471.8</v>
      </c>
      <c r="F706" s="4" vm="4809">
        <v>289.39999999999998</v>
      </c>
      <c r="G706" s="4" vm="4810">
        <v>116.96</v>
      </c>
    </row>
    <row r="707" spans="1:7" x14ac:dyDescent="0.3">
      <c r="A707" vm="1409">
        <v>46211</v>
      </c>
      <c r="B707" s="4" vm="1410">
        <v>23882.05</v>
      </c>
      <c r="C707" s="4" vm="4811">
        <v>1789</v>
      </c>
      <c r="D707" s="4" vm="4812">
        <v>7418.5</v>
      </c>
      <c r="E707" s="4" vm="4813">
        <v>1450.5</v>
      </c>
      <c r="F707" s="4" vm="4202">
        <v>286.7</v>
      </c>
      <c r="G707" s="4" vm="4814">
        <v>118.42</v>
      </c>
    </row>
    <row r="708" spans="1:7" x14ac:dyDescent="0.3">
      <c r="A708" vm="1411">
        <v>46212</v>
      </c>
      <c r="B708" s="4" vm="1412">
        <v>23962.799999999999</v>
      </c>
      <c r="C708" s="4" vm="4815">
        <v>1821.7</v>
      </c>
      <c r="D708" s="4" vm="4816">
        <v>7361</v>
      </c>
      <c r="E708" s="4" vm="4817">
        <v>1463.2</v>
      </c>
      <c r="F708" s="4" vm="4818">
        <v>292.45</v>
      </c>
      <c r="G708" s="4" vm="4819">
        <v>118.14</v>
      </c>
    </row>
    <row r="709" spans="1:7" x14ac:dyDescent="0.3">
      <c r="A709" vm="1413">
        <v>46213</v>
      </c>
      <c r="B709" s="4" vm="1414">
        <v>24206.9</v>
      </c>
      <c r="C709" s="4" vm="4820">
        <v>1862.9</v>
      </c>
      <c r="D709" s="4" vm="4821">
        <v>7365.5</v>
      </c>
      <c r="E709" s="4" vm="4822">
        <v>1455.2</v>
      </c>
      <c r="F709" s="4" vm="4823">
        <v>289.64999999999998</v>
      </c>
      <c r="G709" s="4" vm="4824">
        <v>116.95</v>
      </c>
    </row>
    <row r="710" spans="1:7" x14ac:dyDescent="0.3">
      <c r="A710" vm="1415">
        <v>46216</v>
      </c>
      <c r="B710" s="4" vm="1416">
        <v>24211</v>
      </c>
      <c r="C710" s="4" vm="4825">
        <v>1855.9</v>
      </c>
      <c r="D710" s="4" vm="4826">
        <v>7296.5</v>
      </c>
      <c r="E710" s="4" vm="4827">
        <v>1427</v>
      </c>
      <c r="F710" s="4" vm="4375">
        <v>285.2</v>
      </c>
      <c r="G710" s="4" vm="4828">
        <v>115.98</v>
      </c>
    </row>
    <row r="711" spans="1:7" x14ac:dyDescent="0.3">
      <c r="A711" vm="1417">
        <v>46217</v>
      </c>
      <c r="B711" s="4" vm="1418">
        <v>24052.05</v>
      </c>
      <c r="C711" s="4" vm="3781">
        <v>1840.3</v>
      </c>
      <c r="D711" s="4" vm="4829">
        <v>7279.5</v>
      </c>
      <c r="E711" s="4" vm="4830">
        <v>1427.1</v>
      </c>
      <c r="F711" s="4" vm="4831">
        <v>286.14999999999998</v>
      </c>
      <c r="G711" s="4" vm="4832">
        <v>116.39</v>
      </c>
    </row>
    <row r="712" spans="1:7" x14ac:dyDescent="0.3">
      <c r="A712" vm="1419">
        <v>46218</v>
      </c>
      <c r="B712" s="4" vm="1420">
        <v>24078.5</v>
      </c>
      <c r="C712" s="4" vm="4833">
        <v>1866.4</v>
      </c>
      <c r="D712" s="4" vm="4834">
        <v>7404.5</v>
      </c>
      <c r="E712" s="4" vm="3122">
        <v>1424.4</v>
      </c>
      <c r="F712" s="4" vm="4835">
        <v>294.8</v>
      </c>
      <c r="G712" s="4" vm="4836">
        <v>116.47</v>
      </c>
    </row>
    <row r="713" spans="1:7" x14ac:dyDescent="0.3">
      <c r="A713" vm="1421">
        <v>46219</v>
      </c>
      <c r="B713" s="4" vm="1422">
        <v>24072.75</v>
      </c>
      <c r="C713" s="4" vm="4837">
        <v>1822.1</v>
      </c>
      <c r="D713" s="4" vm="4812">
        <v>7418.5</v>
      </c>
      <c r="E713" s="4" vm="4838">
        <v>1423.5</v>
      </c>
      <c r="F713" s="4" vm="4839">
        <v>286.45</v>
      </c>
      <c r="G713" s="4" vm="4840">
        <v>115.79</v>
      </c>
    </row>
    <row r="714" spans="1:7" x14ac:dyDescent="0.3">
      <c r="A714" vm="1423">
        <v>46220</v>
      </c>
      <c r="B714" s="4" vm="1424">
        <v>24334.3</v>
      </c>
      <c r="C714" s="4" vm="4841">
        <v>1829.4</v>
      </c>
      <c r="D714" s="4" vm="4842">
        <v>7563.5</v>
      </c>
      <c r="E714" s="4" vm="4843">
        <v>1427.2</v>
      </c>
      <c r="F714" s="4" vm="4380">
        <v>286.60000000000002</v>
      </c>
      <c r="G714" s="4" vm="4844">
        <v>116.84</v>
      </c>
    </row>
    <row r="715" spans="1:7" x14ac:dyDescent="0.3">
      <c r="A715" vm="1425">
        <v>46223</v>
      </c>
      <c r="B715" s="4" vm="1426">
        <v>24238.5</v>
      </c>
      <c r="C715" s="4" vm="4845">
        <v>1824.5</v>
      </c>
      <c r="D715" s="4" vm="4842">
        <v>7563.5</v>
      </c>
      <c r="E715" s="4" vm="4846">
        <v>1446.3</v>
      </c>
      <c r="F715" s="4" vm="4847">
        <v>286.95</v>
      </c>
      <c r="G715" s="4" vm="4848">
        <v>117.73</v>
      </c>
    </row>
    <row r="716" spans="1:7" x14ac:dyDescent="0.3">
      <c r="A716" vm="1427">
        <v>46224</v>
      </c>
      <c r="B716" s="4" vm="1428">
        <v>24187.7</v>
      </c>
      <c r="C716" s="4" vm="4849">
        <v>1827.9</v>
      </c>
      <c r="D716" s="4" vm="4850">
        <v>7689.5</v>
      </c>
      <c r="E716" s="4" vm="4851">
        <v>1451.9</v>
      </c>
      <c r="F716" s="4" vm="4380">
        <v>286.60000000000002</v>
      </c>
      <c r="G716" s="4" vm="4852">
        <v>117.37</v>
      </c>
    </row>
    <row r="717" spans="1:7" x14ac:dyDescent="0.3">
      <c r="A717" vm="1429">
        <v>46225</v>
      </c>
      <c r="B717" s="4" vm="1430">
        <v>23996.25</v>
      </c>
      <c r="C717" s="4" vm="4853">
        <v>1806.7</v>
      </c>
      <c r="D717" s="4" vm="4854">
        <v>7632</v>
      </c>
      <c r="E717" s="4" vm="4855">
        <v>1493.6</v>
      </c>
      <c r="F717" s="4" vm="4856">
        <v>284.39999999999998</v>
      </c>
      <c r="G717" s="4" vm="4857">
        <v>119.14</v>
      </c>
    </row>
    <row r="718" spans="1:7" x14ac:dyDescent="0.3">
      <c r="A718" vm="1431">
        <v>46226</v>
      </c>
      <c r="B718" s="4" vm="1432">
        <v>23869.599999999999</v>
      </c>
      <c r="C718" s="4" vm="4858">
        <v>1853.5</v>
      </c>
      <c r="D718" s="4" vm="4859">
        <v>7721.5</v>
      </c>
      <c r="E718" s="4" vm="4860">
        <v>1447.9</v>
      </c>
      <c r="F718" s="4" vm="4861">
        <v>287.10000000000002</v>
      </c>
      <c r="G718" s="4" vm="4862">
        <v>118.69</v>
      </c>
    </row>
    <row r="719" spans="1:7" x14ac:dyDescent="0.3">
      <c r="A719" vm="1433">
        <v>46227</v>
      </c>
      <c r="B719" s="4" vm="1434">
        <v>23767.45</v>
      </c>
      <c r="C719" s="4" vm="4863">
        <v>1858.6</v>
      </c>
      <c r="D719" s="4" vm="4864">
        <v>7628</v>
      </c>
      <c r="E719" s="4" vm="4865">
        <v>1443.5</v>
      </c>
      <c r="F719" s="4" vm="4866">
        <v>280</v>
      </c>
      <c r="G719" s="4" vm="4867">
        <v>117.91</v>
      </c>
    </row>
    <row r="720" spans="1:7" x14ac:dyDescent="0.3">
      <c r="A720" vm="1435">
        <v>46230</v>
      </c>
      <c r="B720" s="4" vm="1436">
        <v>23995.95</v>
      </c>
      <c r="C720" s="4" vm="4868">
        <v>1866.8</v>
      </c>
      <c r="D720" s="4" vm="4869">
        <v>7769.5</v>
      </c>
      <c r="E720" s="4" vm="4870">
        <v>1446.1</v>
      </c>
      <c r="F720" s="4" vm="2969">
        <v>295.85000000000002</v>
      </c>
      <c r="G720" s="4" vm="4871">
        <v>118.62</v>
      </c>
    </row>
    <row r="721" spans="1:7" x14ac:dyDescent="0.3">
      <c r="A721" vm="1437">
        <v>46231</v>
      </c>
      <c r="B721" s="4" vm="1438">
        <v>23985.35</v>
      </c>
      <c r="C721" s="4" vm="4872">
        <v>1889.1</v>
      </c>
      <c r="D721" s="4" vm="4873">
        <v>7836</v>
      </c>
      <c r="E721" s="4" vm="4874">
        <v>1491.8</v>
      </c>
      <c r="F721" s="4" vm="4875">
        <v>308.35000000000002</v>
      </c>
      <c r="G721" s="4" vm="4876">
        <v>116.83</v>
      </c>
    </row>
    <row r="722" spans="1:7" x14ac:dyDescent="0.3">
      <c r="A722" vm="1439">
        <v>46232</v>
      </c>
      <c r="B722" s="4" vm="1440">
        <v>24250.2</v>
      </c>
      <c r="C722" s="4" vm="4877">
        <v>1894.9</v>
      </c>
      <c r="D722" s="4" vm="4878">
        <v>7779</v>
      </c>
      <c r="E722" s="4" vm="4879">
        <v>1503.3</v>
      </c>
      <c r="F722" s="4" vm="4880">
        <v>311.8</v>
      </c>
      <c r="G722" s="4" vm="4881">
        <v>116.85</v>
      </c>
    </row>
    <row r="723" spans="1:7" x14ac:dyDescent="0.3">
      <c r="A723" vm="1441">
        <v>46233</v>
      </c>
      <c r="B723" s="4" vm="1442">
        <v>24317.15</v>
      </c>
      <c r="C723" s="4" vm="4882">
        <v>1877.5</v>
      </c>
      <c r="D723" s="4" vm="4883">
        <v>7912.5</v>
      </c>
      <c r="E723" s="4" vm="4884">
        <v>1520.7</v>
      </c>
      <c r="F723" s="4" vm="4885">
        <v>310.64999999999998</v>
      </c>
      <c r="G723" s="4" vm="4852">
        <v>117.37</v>
      </c>
    </row>
    <row r="724" spans="1:7" x14ac:dyDescent="0.3">
      <c r="A724" vm="1443">
        <v>46234</v>
      </c>
      <c r="B724" s="4" vm="1444">
        <v>24383.599999999999</v>
      </c>
      <c r="C724" s="4" vm="4886">
        <v>1882</v>
      </c>
      <c r="D724" s="4" vm="4887">
        <v>7833.5</v>
      </c>
      <c r="E724" s="4" vm="4888">
        <v>1509.6</v>
      </c>
      <c r="F724" s="4" vm="4889">
        <v>302.45</v>
      </c>
      <c r="G724" s="4" vm="4890">
        <v>117.11</v>
      </c>
    </row>
    <row r="725" spans="1:7" x14ac:dyDescent="0.3">
      <c r="A725" vm="1445">
        <v>46237</v>
      </c>
      <c r="B725" s="4" vm="1446">
        <v>24774.3</v>
      </c>
      <c r="C725" s="4" vm="4891">
        <v>1915</v>
      </c>
      <c r="D725" s="4" vm="4892">
        <v>8050</v>
      </c>
      <c r="E725" s="4" vm="4893">
        <v>1530</v>
      </c>
      <c r="F725" s="4" vm="4894">
        <v>310.5</v>
      </c>
      <c r="G725" s="4" vm="4895">
        <v>117.26</v>
      </c>
    </row>
    <row r="726" spans="1:7" x14ac:dyDescent="0.3">
      <c r="A726" vm="1447">
        <v>46238</v>
      </c>
      <c r="B726" s="4" vm="1448">
        <v>24614.9</v>
      </c>
      <c r="C726" s="4" vm="4896">
        <v>1899</v>
      </c>
      <c r="D726" s="4" vm="4897">
        <v>7935</v>
      </c>
      <c r="E726" s="4" vm="4898">
        <v>1520</v>
      </c>
      <c r="F726" s="4" vm="4899">
        <v>312.39999999999998</v>
      </c>
      <c r="G726" s="4" vm="4900">
        <v>117.15</v>
      </c>
    </row>
    <row r="727" spans="1:7" x14ac:dyDescent="0.3">
      <c r="A727" vm="1449">
        <v>46239</v>
      </c>
      <c r="B727" s="4" vm="1450">
        <v>24624.65</v>
      </c>
      <c r="C727" s="4" vm="4901">
        <v>1879.9</v>
      </c>
      <c r="D727" s="4" vm="4902">
        <v>7986.5</v>
      </c>
      <c r="E727" s="4" vm="4898">
        <v>1520</v>
      </c>
      <c r="F727" s="4" vm="4903">
        <v>310.35000000000002</v>
      </c>
      <c r="G727" s="4" vm="4904">
        <v>119.39</v>
      </c>
    </row>
    <row r="728" spans="1:7" x14ac:dyDescent="0.3">
      <c r="A728" vm="1451">
        <v>46240</v>
      </c>
      <c r="B728" s="4" vm="1452">
        <v>24636</v>
      </c>
      <c r="C728" s="4" vm="4905">
        <v>1861.5</v>
      </c>
      <c r="D728" s="4" vm="4906">
        <v>7967.5</v>
      </c>
      <c r="E728" s="4" vm="4907">
        <v>1535</v>
      </c>
      <c r="F728" s="4" vm="4908">
        <v>316.25</v>
      </c>
      <c r="G728" s="4" vm="4909">
        <v>122.48</v>
      </c>
    </row>
    <row r="729" spans="1:7" x14ac:dyDescent="0.3">
      <c r="A729" vm="1453">
        <v>46241</v>
      </c>
      <c r="B729" s="4" vm="1454">
        <v>24570.65</v>
      </c>
      <c r="C729" s="4" vm="4910">
        <v>1855.5</v>
      </c>
      <c r="D729" s="4" vm="4911">
        <v>8020</v>
      </c>
      <c r="E729" s="4" vm="4912">
        <v>1540</v>
      </c>
      <c r="F729" s="4" vm="4913">
        <v>315</v>
      </c>
      <c r="G729" s="4" vm="4914">
        <v>123.4</v>
      </c>
    </row>
    <row r="730" spans="1:7" x14ac:dyDescent="0.3">
      <c r="A730" vm="1455">
        <v>46244</v>
      </c>
      <c r="B730" s="4" vm="1456">
        <v>24583.8</v>
      </c>
      <c r="C730" s="4" vm="4915">
        <v>1855</v>
      </c>
      <c r="D730" s="4" vm="4916">
        <v>7975</v>
      </c>
      <c r="E730" s="4" vm="4917">
        <v>1528.6</v>
      </c>
      <c r="F730" s="4" vm="4918">
        <v>310.25</v>
      </c>
      <c r="G730" s="4" vm="4381">
        <v>124.58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0971-7CD7-4132-AB95-E32D71BD886B}">
  <dimension ref="A1:N732"/>
  <sheetViews>
    <sheetView tabSelected="1" workbookViewId="0"/>
  </sheetViews>
  <sheetFormatPr defaultColWidth="15.77734375" defaultRowHeight="14.4" x14ac:dyDescent="0.3"/>
  <cols>
    <col min="11" max="11" width="18.77734375" bestFit="1" customWidth="1"/>
  </cols>
  <sheetData>
    <row r="1" spans="1:14" x14ac:dyDescent="0.3">
      <c r="A1" s="5"/>
      <c r="B1" s="5" t="s">
        <v>28</v>
      </c>
      <c r="C1" s="5" t="s">
        <v>29</v>
      </c>
      <c r="D1" s="5" t="s">
        <v>31</v>
      </c>
      <c r="E1" s="5" t="s">
        <v>30</v>
      </c>
      <c r="F1" s="5" t="s">
        <v>26</v>
      </c>
      <c r="G1" s="5" t="s">
        <v>27</v>
      </c>
      <c r="H1" s="5" t="s">
        <v>37</v>
      </c>
      <c r="I1" s="5"/>
    </row>
    <row r="2" spans="1:14" x14ac:dyDescent="0.3">
      <c r="A2" s="5" t="s">
        <v>33</v>
      </c>
      <c r="B2" s="24"/>
      <c r="C2" s="24"/>
      <c r="D2" s="24"/>
      <c r="E2" s="24"/>
      <c r="F2" s="24"/>
      <c r="G2" s="24"/>
      <c r="H2" s="27">
        <f>SUM(C2:G2)</f>
        <v>0</v>
      </c>
      <c r="K2" s="1" t="s">
        <v>35</v>
      </c>
      <c r="L2" s="23">
        <v>100000</v>
      </c>
      <c r="N2" s="1"/>
    </row>
    <row r="3" spans="1:14" x14ac:dyDescent="0.3">
      <c r="A3" s="5" t="s">
        <v>34</v>
      </c>
      <c r="B3" s="5"/>
      <c r="C3" s="25">
        <f>$L$2*C2/C4</f>
        <v>0</v>
      </c>
      <c r="D3" s="25">
        <f t="shared" ref="D3:G3" si="0">$L$2*D2/D4</f>
        <v>0</v>
      </c>
      <c r="E3" s="25">
        <f t="shared" si="0"/>
        <v>0</v>
      </c>
      <c r="F3" s="25">
        <f t="shared" si="0"/>
        <v>0</v>
      </c>
      <c r="G3" s="25">
        <f t="shared" si="0"/>
        <v>0</v>
      </c>
      <c r="H3" s="26"/>
      <c r="K3" s="1" t="s">
        <v>39</v>
      </c>
      <c r="L3" s="23">
        <f>H732</f>
        <v>0</v>
      </c>
    </row>
    <row r="4" spans="1:14" x14ac:dyDescent="0.3">
      <c r="A4" vm="2">
        <v>45169</v>
      </c>
      <c r="B4" s="4" vm="3">
        <v>19253.8</v>
      </c>
      <c r="C4" s="4" vm="1471">
        <v>1292.55</v>
      </c>
      <c r="D4" s="4" vm="1472">
        <v>3336.6</v>
      </c>
      <c r="E4" s="4" vm="1473">
        <v>1099.32</v>
      </c>
      <c r="F4" s="4" vm="1474">
        <v>97.6</v>
      </c>
      <c r="G4" s="4" vm="1475">
        <v>50.35</v>
      </c>
      <c r="H4" s="4">
        <f>SUMPRODUCT($C$3:$G$3,C4:G4)</f>
        <v>0</v>
      </c>
      <c r="K4" s="1"/>
    </row>
    <row r="5" spans="1:14" x14ac:dyDescent="0.3">
      <c r="A5" vm="4">
        <v>45170</v>
      </c>
      <c r="B5" s="4" vm="5">
        <v>19435.3</v>
      </c>
      <c r="C5" s="4" vm="1476">
        <v>1320.55</v>
      </c>
      <c r="D5" s="4" vm="1477">
        <v>3400.4</v>
      </c>
      <c r="E5" s="4" vm="1478">
        <v>1095.7774999999999</v>
      </c>
      <c r="F5" s="4" vm="1479">
        <v>97.2</v>
      </c>
      <c r="G5" s="4" vm="1480">
        <v>50.37</v>
      </c>
      <c r="H5" s="4">
        <f t="shared" ref="H5:H68" si="1">SUMPRODUCT($C$3:$G$3,C5:G5)</f>
        <v>0</v>
      </c>
      <c r="K5" s="1"/>
      <c r="L5" s="5" t="s">
        <v>36</v>
      </c>
      <c r="M5" s="5" t="s">
        <v>42</v>
      </c>
      <c r="N5" s="5" t="s">
        <v>0</v>
      </c>
    </row>
    <row r="6" spans="1:14" x14ac:dyDescent="0.3">
      <c r="A6" vm="6">
        <v>45173</v>
      </c>
      <c r="B6" s="4" vm="7">
        <v>19528.8</v>
      </c>
      <c r="C6" s="4" vm="1481">
        <v>1328.35</v>
      </c>
      <c r="D6" s="4" vm="1482">
        <v>3434.15</v>
      </c>
      <c r="E6" s="4" vm="1483">
        <v>1086.9100000000001</v>
      </c>
      <c r="F6" s="4" vm="1484">
        <v>98.05</v>
      </c>
      <c r="G6" s="4" vm="1485">
        <v>50.44</v>
      </c>
      <c r="H6" s="4">
        <f t="shared" si="1"/>
        <v>0</v>
      </c>
      <c r="K6" s="1" t="s">
        <v>40</v>
      </c>
    </row>
    <row r="7" spans="1:14" x14ac:dyDescent="0.3">
      <c r="A7" vm="8">
        <v>45174</v>
      </c>
      <c r="B7" s="4" vm="9">
        <v>19574.900000000001</v>
      </c>
      <c r="C7" s="4" vm="1486">
        <v>1309.45</v>
      </c>
      <c r="D7" s="4" vm="1487">
        <v>3403.45</v>
      </c>
      <c r="E7" s="4" vm="1488">
        <v>1097.7225000000001</v>
      </c>
      <c r="F7" s="4" vm="1489">
        <v>98.2</v>
      </c>
      <c r="G7" s="4" vm="1475">
        <v>50.35</v>
      </c>
      <c r="H7" s="4">
        <f t="shared" si="1"/>
        <v>0</v>
      </c>
      <c r="K7" s="1" t="s">
        <v>41</v>
      </c>
    </row>
    <row r="8" spans="1:14" x14ac:dyDescent="0.3">
      <c r="A8" vm="10">
        <v>45175</v>
      </c>
      <c r="B8" s="4" vm="11">
        <v>19611.05</v>
      </c>
      <c r="C8" s="4" vm="1490">
        <v>1319.8</v>
      </c>
      <c r="D8" s="4" vm="1491">
        <v>3391.3</v>
      </c>
      <c r="E8" s="4" vm="1492">
        <v>1100.2049999999999</v>
      </c>
      <c r="F8" s="4" vm="1489">
        <v>98.2</v>
      </c>
      <c r="G8" s="4" vm="1493">
        <v>50.31</v>
      </c>
      <c r="H8" s="4">
        <f t="shared" si="1"/>
        <v>0</v>
      </c>
      <c r="K8" s="1" t="s">
        <v>21</v>
      </c>
    </row>
    <row r="9" spans="1:14" x14ac:dyDescent="0.3">
      <c r="A9" vm="12">
        <v>45176</v>
      </c>
      <c r="B9" s="4" vm="13">
        <v>19727.05</v>
      </c>
      <c r="C9" s="4" vm="1494">
        <v>1347.5</v>
      </c>
      <c r="D9" s="4" vm="1495">
        <v>3402.45</v>
      </c>
      <c r="E9" s="4" vm="1496">
        <v>1094.8150000000001</v>
      </c>
      <c r="F9" s="4" vm="1497">
        <v>100.05</v>
      </c>
      <c r="G9" s="4">
        <v>50.225000000000001</v>
      </c>
      <c r="H9" s="4">
        <f t="shared" si="1"/>
        <v>0</v>
      </c>
      <c r="K9" s="1" t="s">
        <v>43</v>
      </c>
    </row>
    <row r="10" spans="1:14" x14ac:dyDescent="0.3">
      <c r="A10" vm="14">
        <v>45177</v>
      </c>
      <c r="B10" s="4" vm="15">
        <v>19819.95</v>
      </c>
      <c r="C10" s="4" vm="1498">
        <v>1341.45</v>
      </c>
      <c r="D10" s="4" vm="1499">
        <v>3370.9</v>
      </c>
      <c r="E10" s="4" vm="1500">
        <v>1094.1624999999999</v>
      </c>
      <c r="F10" s="4" vm="1501">
        <v>99.6</v>
      </c>
      <c r="G10" s="4">
        <v>50.27</v>
      </c>
      <c r="H10" s="4">
        <f t="shared" si="1"/>
        <v>0</v>
      </c>
    </row>
    <row r="11" spans="1:14" x14ac:dyDescent="0.3">
      <c r="A11" vm="16">
        <v>45180</v>
      </c>
      <c r="B11" s="4" vm="17">
        <v>19996.349999999999</v>
      </c>
      <c r="C11" s="4" vm="1502">
        <v>1350.15</v>
      </c>
      <c r="D11" s="4" vm="1503">
        <v>3404.5</v>
      </c>
      <c r="E11" s="4" vm="1504">
        <v>1106.3525</v>
      </c>
      <c r="F11" s="4" vm="1505">
        <v>101.35</v>
      </c>
      <c r="G11" s="4" vm="1506">
        <v>50.17</v>
      </c>
      <c r="H11" s="4">
        <f t="shared" si="1"/>
        <v>0</v>
      </c>
    </row>
    <row r="12" spans="1:14" x14ac:dyDescent="0.3">
      <c r="A12" vm="18">
        <v>45181</v>
      </c>
      <c r="B12" s="4" vm="19">
        <v>19993.2</v>
      </c>
      <c r="C12" s="4" vm="1507">
        <v>1346.5</v>
      </c>
      <c r="D12" s="4" vm="1508">
        <v>3341.25</v>
      </c>
      <c r="E12" s="4" vm="1509">
        <v>1115.8875</v>
      </c>
      <c r="F12" s="4" vm="1510">
        <v>98.75</v>
      </c>
      <c r="G12" s="4" vm="1511">
        <v>50.21</v>
      </c>
      <c r="H12" s="4">
        <f t="shared" si="1"/>
        <v>0</v>
      </c>
    </row>
    <row r="13" spans="1:14" x14ac:dyDescent="0.3">
      <c r="A13" vm="20">
        <v>45182</v>
      </c>
      <c r="B13" s="4" vm="21">
        <v>20070</v>
      </c>
      <c r="C13" s="4" vm="1512">
        <v>1345.5</v>
      </c>
      <c r="D13" s="4" vm="1513">
        <v>3320.3</v>
      </c>
      <c r="E13" s="4" vm="1514">
        <v>1108.99</v>
      </c>
      <c r="F13" s="4" vm="1515">
        <v>97.9</v>
      </c>
      <c r="G13" s="4" vm="1516">
        <v>50.16</v>
      </c>
      <c r="H13" s="4">
        <f t="shared" si="1"/>
        <v>0</v>
      </c>
    </row>
    <row r="14" spans="1:14" x14ac:dyDescent="0.3">
      <c r="A14" vm="22">
        <v>45183</v>
      </c>
      <c r="B14" s="4" vm="23">
        <v>20103.099999999999</v>
      </c>
      <c r="C14" s="4" vm="1517">
        <v>1352.75</v>
      </c>
      <c r="D14" s="4" vm="1518">
        <v>3381.4</v>
      </c>
      <c r="E14" s="4" vm="1519">
        <v>1123.885</v>
      </c>
      <c r="F14" s="4" vm="1520">
        <v>99.45</v>
      </c>
      <c r="G14" s="4" vm="1521">
        <v>50.02</v>
      </c>
      <c r="H14" s="4">
        <f t="shared" si="1"/>
        <v>0</v>
      </c>
    </row>
    <row r="15" spans="1:14" x14ac:dyDescent="0.3">
      <c r="A15" vm="24">
        <v>45184</v>
      </c>
      <c r="B15" s="4" vm="25">
        <v>20192.349999999999</v>
      </c>
      <c r="C15" s="4" vm="1522">
        <v>1372.65</v>
      </c>
      <c r="D15" s="4" vm="1523">
        <v>3427.2</v>
      </c>
      <c r="E15" s="4" vm="1524">
        <v>1131.115</v>
      </c>
      <c r="F15" s="4" vm="1525">
        <v>102.95</v>
      </c>
      <c r="G15" s="4" vm="1526">
        <v>49.88</v>
      </c>
      <c r="H15" s="4">
        <f t="shared" si="1"/>
        <v>0</v>
      </c>
    </row>
    <row r="16" spans="1:14" x14ac:dyDescent="0.3">
      <c r="A16" vm="26">
        <v>45187</v>
      </c>
      <c r="B16" s="4" vm="27">
        <v>20133.3</v>
      </c>
      <c r="C16" s="4" vm="1527">
        <v>1373.7</v>
      </c>
      <c r="D16" s="4" vm="1528">
        <v>3431.75</v>
      </c>
      <c r="E16" s="4" vm="1529">
        <v>1140.97</v>
      </c>
      <c r="F16" s="4" vm="1530">
        <v>102.15</v>
      </c>
      <c r="G16" s="4" vm="1526">
        <v>49.88</v>
      </c>
      <c r="H16" s="4">
        <f t="shared" si="1"/>
        <v>0</v>
      </c>
    </row>
    <row r="17" spans="1:8" x14ac:dyDescent="0.3">
      <c r="A17" vm="28">
        <v>45189</v>
      </c>
      <c r="B17" s="4" vm="29">
        <v>19901.400000000001</v>
      </c>
      <c r="C17" s="4" vm="1531">
        <v>1345.2</v>
      </c>
      <c r="D17" s="4" vm="1532">
        <v>3441.2</v>
      </c>
      <c r="E17" s="4" vm="1533">
        <v>1134.0125</v>
      </c>
      <c r="F17" s="4" vm="1534">
        <v>100</v>
      </c>
      <c r="G17" s="4" vm="1535">
        <v>50.12</v>
      </c>
      <c r="H17" s="4">
        <f t="shared" si="1"/>
        <v>0</v>
      </c>
    </row>
    <row r="18" spans="1:8" x14ac:dyDescent="0.3">
      <c r="A18" vm="30">
        <v>45190</v>
      </c>
      <c r="B18" s="4" vm="31">
        <v>19742.349999999999</v>
      </c>
      <c r="C18" s="4" vm="1536">
        <v>1334.2</v>
      </c>
      <c r="D18" s="4" vm="1537">
        <v>3435.85</v>
      </c>
      <c r="E18" s="4" vm="1538">
        <v>1126.675</v>
      </c>
      <c r="F18" s="4" vm="1539">
        <v>99.15</v>
      </c>
      <c r="G18" s="4" vm="1485">
        <v>50.44</v>
      </c>
      <c r="H18" s="4">
        <f t="shared" si="1"/>
        <v>0</v>
      </c>
    </row>
    <row r="19" spans="1:8" x14ac:dyDescent="0.3">
      <c r="A19" vm="32">
        <v>45191</v>
      </c>
      <c r="B19" s="4" vm="33">
        <v>19674.25</v>
      </c>
      <c r="C19" s="4" vm="1540">
        <v>1318.85</v>
      </c>
      <c r="D19" s="4" vm="1541">
        <v>3409.45</v>
      </c>
      <c r="E19" s="4" vm="1542">
        <v>1126.625</v>
      </c>
      <c r="F19" s="4" vm="1543">
        <v>99.9</v>
      </c>
      <c r="G19" s="4" vm="1544">
        <v>50.38</v>
      </c>
      <c r="H19" s="4">
        <f t="shared" si="1"/>
        <v>0</v>
      </c>
    </row>
    <row r="20" spans="1:8" x14ac:dyDescent="0.3">
      <c r="A20" vm="34">
        <v>45194</v>
      </c>
      <c r="B20" s="4" vm="35">
        <v>19674.55</v>
      </c>
      <c r="C20" s="4" vm="1545">
        <v>1294.1500000000001</v>
      </c>
      <c r="D20" s="4" vm="1546">
        <v>3386.65</v>
      </c>
      <c r="E20" s="4" vm="1547">
        <v>1131.9375</v>
      </c>
      <c r="F20" s="4" vm="1548">
        <v>98.45</v>
      </c>
      <c r="G20" s="4" vm="1549">
        <v>50.27</v>
      </c>
      <c r="H20" s="4">
        <f t="shared" si="1"/>
        <v>0</v>
      </c>
    </row>
    <row r="21" spans="1:8" x14ac:dyDescent="0.3">
      <c r="A21" vm="36">
        <v>45195</v>
      </c>
      <c r="B21" s="4" vm="37">
        <v>19664.7</v>
      </c>
      <c r="C21" s="4" vm="1550">
        <v>1289.7</v>
      </c>
      <c r="D21" s="4" vm="1551">
        <v>3472.15</v>
      </c>
      <c r="E21" s="4" vm="1552">
        <v>1150.2774999999999</v>
      </c>
      <c r="F21" s="4" vm="1543">
        <v>99.9</v>
      </c>
      <c r="G21" s="4" vm="1553">
        <v>50.22</v>
      </c>
      <c r="H21" s="4">
        <f t="shared" si="1"/>
        <v>0</v>
      </c>
    </row>
    <row r="22" spans="1:8" x14ac:dyDescent="0.3">
      <c r="A22" vm="38">
        <v>45196</v>
      </c>
      <c r="B22" s="4" vm="39">
        <v>19716.45</v>
      </c>
      <c r="C22" s="4" vm="1554">
        <v>1301</v>
      </c>
      <c r="D22" s="4" vm="1555">
        <v>3479.7</v>
      </c>
      <c r="E22" s="4" vm="1556">
        <v>1143.6500000000001</v>
      </c>
      <c r="F22" s="4" vm="1557">
        <v>100.1</v>
      </c>
      <c r="G22" s="4" vm="1553">
        <v>50.22</v>
      </c>
      <c r="H22" s="4">
        <f t="shared" si="1"/>
        <v>0</v>
      </c>
    </row>
    <row r="23" spans="1:8" x14ac:dyDescent="0.3">
      <c r="A23" vm="40">
        <v>45197</v>
      </c>
      <c r="B23" s="4" vm="41">
        <v>19523.55</v>
      </c>
      <c r="C23" s="4" vm="1558">
        <v>1289.4000000000001</v>
      </c>
      <c r="D23" s="4" vm="1559">
        <v>3440.25</v>
      </c>
      <c r="E23" s="4" vm="1560">
        <v>1126.9224999999999</v>
      </c>
      <c r="F23" s="4" vm="1561">
        <v>99.95</v>
      </c>
      <c r="G23" s="4" vm="1521">
        <v>50.02</v>
      </c>
      <c r="H23" s="4">
        <f t="shared" si="1"/>
        <v>0</v>
      </c>
    </row>
    <row r="24" spans="1:8" x14ac:dyDescent="0.3">
      <c r="A24" vm="42">
        <v>45198</v>
      </c>
      <c r="B24" s="4" vm="43">
        <v>19638.3</v>
      </c>
      <c r="C24" s="4" vm="1562">
        <v>1305.4000000000001</v>
      </c>
      <c r="D24" s="4" vm="1563">
        <v>3446.95</v>
      </c>
      <c r="E24" s="4" vm="1564">
        <v>1125.345</v>
      </c>
      <c r="F24" s="4" vm="1565">
        <v>101.5</v>
      </c>
      <c r="G24" s="4" vm="1566">
        <v>49.7</v>
      </c>
      <c r="H24" s="4">
        <f t="shared" si="1"/>
        <v>0</v>
      </c>
    </row>
    <row r="25" spans="1:8" x14ac:dyDescent="0.3">
      <c r="A25" vm="44">
        <v>45202</v>
      </c>
      <c r="B25" s="4" vm="45">
        <v>19528.75</v>
      </c>
      <c r="C25" s="4" vm="1567">
        <v>1292.45</v>
      </c>
      <c r="D25" s="4" vm="1568">
        <v>3351.4</v>
      </c>
      <c r="E25" s="4" vm="1569">
        <v>1115.7625</v>
      </c>
      <c r="F25" s="4" vm="1570">
        <v>105.3</v>
      </c>
      <c r="G25" s="4" vm="1571">
        <v>49.37</v>
      </c>
      <c r="H25" s="4">
        <f t="shared" si="1"/>
        <v>0</v>
      </c>
    </row>
    <row r="26" spans="1:8" x14ac:dyDescent="0.3">
      <c r="A26" vm="46">
        <v>45203</v>
      </c>
      <c r="B26" s="4" vm="47">
        <v>19436.099999999999</v>
      </c>
      <c r="C26" s="4" vm="1572">
        <v>1270.55</v>
      </c>
      <c r="D26" s="4" vm="1573">
        <v>3400.9</v>
      </c>
      <c r="E26" s="4" vm="1574">
        <v>1149.31</v>
      </c>
      <c r="F26" s="4" vm="1575">
        <v>100.75</v>
      </c>
      <c r="G26" s="4" vm="1576">
        <v>49.29</v>
      </c>
      <c r="H26" s="4">
        <f t="shared" si="1"/>
        <v>0</v>
      </c>
    </row>
    <row r="27" spans="1:8" x14ac:dyDescent="0.3">
      <c r="A27" vm="48">
        <v>45204</v>
      </c>
      <c r="B27" s="4" vm="49">
        <v>19545.75</v>
      </c>
      <c r="C27" s="4" vm="1577">
        <v>1274.45</v>
      </c>
      <c r="D27" s="4" vm="1578">
        <v>3443.6</v>
      </c>
      <c r="E27" s="4" vm="1579">
        <v>1145.9349999999999</v>
      </c>
      <c r="F27" s="4" vm="1580">
        <v>105.4</v>
      </c>
      <c r="G27" s="4" vm="1581">
        <v>48.83</v>
      </c>
      <c r="H27" s="4">
        <f t="shared" si="1"/>
        <v>0</v>
      </c>
    </row>
    <row r="28" spans="1:8" x14ac:dyDescent="0.3">
      <c r="A28" vm="50">
        <v>45205</v>
      </c>
      <c r="B28" s="4" vm="51">
        <v>19653.5</v>
      </c>
      <c r="C28" s="4" vm="1582">
        <v>1282.95</v>
      </c>
      <c r="D28" s="4" vm="1583">
        <v>3450.4</v>
      </c>
      <c r="E28" s="4" vm="1584">
        <v>1145.6125</v>
      </c>
      <c r="F28" s="4" vm="1585">
        <v>104.45</v>
      </c>
      <c r="G28" s="4" vm="1586">
        <v>48.36</v>
      </c>
      <c r="H28" s="4">
        <f t="shared" si="1"/>
        <v>0</v>
      </c>
    </row>
    <row r="29" spans="1:8" x14ac:dyDescent="0.3">
      <c r="A29" vm="52">
        <v>45208</v>
      </c>
      <c r="B29" s="4" vm="53">
        <v>19512.349999999999</v>
      </c>
      <c r="C29" s="4" vm="1587">
        <v>1277.25</v>
      </c>
      <c r="D29" s="4" vm="1588">
        <v>3445.6</v>
      </c>
      <c r="E29" s="4" vm="1589">
        <v>1144.0925</v>
      </c>
      <c r="F29" s="4" vm="1590">
        <v>103.9</v>
      </c>
      <c r="G29" s="4" vm="1591">
        <v>48.25</v>
      </c>
      <c r="H29" s="4">
        <f t="shared" si="1"/>
        <v>0</v>
      </c>
    </row>
    <row r="30" spans="1:8" x14ac:dyDescent="0.3">
      <c r="A30" vm="54">
        <v>45209</v>
      </c>
      <c r="B30" s="4" vm="55">
        <v>19689.849999999999</v>
      </c>
      <c r="C30" s="4" vm="1592">
        <v>1302.05</v>
      </c>
      <c r="D30" s="4" vm="1593">
        <v>3458.75</v>
      </c>
      <c r="E30" s="4" vm="1594">
        <v>1148.4024999999999</v>
      </c>
      <c r="F30" s="4" vm="1595">
        <v>106.05</v>
      </c>
      <c r="G30" s="4" vm="1596">
        <v>48.38</v>
      </c>
      <c r="H30" s="4">
        <f t="shared" si="1"/>
        <v>0</v>
      </c>
    </row>
    <row r="31" spans="1:8" x14ac:dyDescent="0.3">
      <c r="A31" vm="56">
        <v>45210</v>
      </c>
      <c r="B31" s="4" vm="57">
        <v>19811.349999999999</v>
      </c>
      <c r="C31" s="4" vm="1597">
        <v>1309.3499999999999</v>
      </c>
      <c r="D31" s="4" vm="1598">
        <v>3486.6</v>
      </c>
      <c r="E31" s="4" vm="1599">
        <v>1160.1025</v>
      </c>
      <c r="F31" s="4" vm="1600">
        <v>109</v>
      </c>
      <c r="G31" s="4" vm="1601">
        <v>48.88</v>
      </c>
      <c r="H31" s="4">
        <f t="shared" si="1"/>
        <v>0</v>
      </c>
    </row>
    <row r="32" spans="1:8" x14ac:dyDescent="0.3">
      <c r="A32" vm="58">
        <v>45211</v>
      </c>
      <c r="B32" s="4" vm="59">
        <v>19794</v>
      </c>
      <c r="C32" s="4" vm="1602">
        <v>1313.65</v>
      </c>
      <c r="D32" s="4" vm="1603">
        <v>3494.2</v>
      </c>
      <c r="E32" s="4" vm="1604">
        <v>1153.7574999999999</v>
      </c>
      <c r="F32" s="4" vm="1605">
        <v>109.85</v>
      </c>
      <c r="G32" s="4" vm="1606">
        <v>48.93</v>
      </c>
      <c r="H32" s="4">
        <f t="shared" si="1"/>
        <v>0</v>
      </c>
    </row>
    <row r="33" spans="1:8" x14ac:dyDescent="0.3">
      <c r="A33" vm="60">
        <v>45212</v>
      </c>
      <c r="B33" s="4" vm="61">
        <v>19751.05</v>
      </c>
      <c r="C33" s="4" vm="1607">
        <v>1316.45</v>
      </c>
      <c r="D33" s="4" vm="1608">
        <v>3476.4</v>
      </c>
      <c r="E33" s="4" vm="1609">
        <v>1177.7175</v>
      </c>
      <c r="F33" s="4" vm="1610">
        <v>111</v>
      </c>
      <c r="G33" s="4" vm="1611">
        <v>49.17</v>
      </c>
      <c r="H33" s="4">
        <f t="shared" si="1"/>
        <v>0</v>
      </c>
    </row>
    <row r="34" spans="1:8" x14ac:dyDescent="0.3">
      <c r="A34" vm="62">
        <v>45215</v>
      </c>
      <c r="B34" s="4" vm="63">
        <v>19731.75</v>
      </c>
      <c r="C34" s="4" vm="1612">
        <v>1322.2</v>
      </c>
      <c r="D34" s="4" vm="1598">
        <v>3486.6</v>
      </c>
      <c r="E34" s="4" vm="1613">
        <v>1155.4275</v>
      </c>
      <c r="F34" s="4" vm="1614">
        <v>111.5</v>
      </c>
      <c r="G34" s="4" vm="1615">
        <v>49.39</v>
      </c>
      <c r="H34" s="4">
        <f t="shared" si="1"/>
        <v>0</v>
      </c>
    </row>
    <row r="35" spans="1:8" x14ac:dyDescent="0.3">
      <c r="A35" vm="64">
        <v>45216</v>
      </c>
      <c r="B35" s="4" vm="65">
        <v>19811.5</v>
      </c>
      <c r="C35" s="4" vm="1616">
        <v>1348.35</v>
      </c>
      <c r="D35" s="4" vm="1617">
        <v>3500.85</v>
      </c>
      <c r="E35" s="4" vm="1618">
        <v>1166.2650000000001</v>
      </c>
      <c r="F35" s="4" vm="1619">
        <v>113.85</v>
      </c>
      <c r="G35" s="4" vm="1620">
        <v>49.49</v>
      </c>
      <c r="H35" s="4">
        <f t="shared" si="1"/>
        <v>0</v>
      </c>
    </row>
    <row r="36" spans="1:8" x14ac:dyDescent="0.3">
      <c r="A36" vm="66">
        <v>45217</v>
      </c>
      <c r="B36" s="4" vm="67">
        <v>19671.099999999999</v>
      </c>
      <c r="C36" s="4" vm="1621">
        <v>1356.35</v>
      </c>
      <c r="D36" s="4" vm="1622">
        <v>3496.1</v>
      </c>
      <c r="E36" s="4" vm="1623">
        <v>1163.1475</v>
      </c>
      <c r="F36" s="4" vm="1624">
        <v>113.2</v>
      </c>
      <c r="G36" s="4" vm="1625">
        <v>50.25</v>
      </c>
      <c r="H36" s="4">
        <f t="shared" si="1"/>
        <v>0</v>
      </c>
    </row>
    <row r="37" spans="1:8" x14ac:dyDescent="0.3">
      <c r="A37" vm="68">
        <v>45218</v>
      </c>
      <c r="B37" s="4" vm="69">
        <v>19624.7</v>
      </c>
      <c r="C37" s="4" vm="1626">
        <v>1348.15</v>
      </c>
      <c r="D37" s="4" vm="1627">
        <v>3501.2</v>
      </c>
      <c r="E37" s="4" vm="1628">
        <v>1206.6175000000001</v>
      </c>
      <c r="F37" s="4" vm="1629">
        <v>111.65</v>
      </c>
      <c r="G37" s="4" vm="1493">
        <v>50.31</v>
      </c>
      <c r="H37" s="4">
        <f t="shared" si="1"/>
        <v>0</v>
      </c>
    </row>
    <row r="38" spans="1:8" x14ac:dyDescent="0.3">
      <c r="A38" vm="70">
        <v>45219</v>
      </c>
      <c r="B38" s="4" vm="71">
        <v>19542.650000000001</v>
      </c>
      <c r="C38" s="4" vm="1630">
        <v>1362.65</v>
      </c>
      <c r="D38" s="4" vm="1631">
        <v>3480.9</v>
      </c>
      <c r="E38" s="4" vm="1632">
        <v>1213.9849999999999</v>
      </c>
      <c r="F38" s="4" vm="1633">
        <v>113.35</v>
      </c>
      <c r="G38" s="4" vm="1634">
        <v>50.78</v>
      </c>
      <c r="H38" s="4">
        <f t="shared" si="1"/>
        <v>0</v>
      </c>
    </row>
    <row r="39" spans="1:8" x14ac:dyDescent="0.3">
      <c r="A39" vm="72">
        <v>45222</v>
      </c>
      <c r="B39" s="4" vm="73">
        <v>19281.75</v>
      </c>
      <c r="C39" s="4" vm="1635">
        <v>1338.4</v>
      </c>
      <c r="D39" s="4" vm="1636">
        <v>3446.35</v>
      </c>
      <c r="E39" s="4" vm="1637">
        <v>1209.8875</v>
      </c>
      <c r="F39" s="4" vm="1638">
        <v>108.9</v>
      </c>
      <c r="G39" s="4" vm="1639">
        <v>50.91</v>
      </c>
      <c r="H39" s="4">
        <f t="shared" si="1"/>
        <v>0</v>
      </c>
    </row>
    <row r="40" spans="1:8" x14ac:dyDescent="0.3">
      <c r="A40" vm="74">
        <v>45224</v>
      </c>
      <c r="B40" s="4" vm="75">
        <v>19122.150000000001</v>
      </c>
      <c r="C40" s="4" vm="1640">
        <v>1314.15</v>
      </c>
      <c r="D40" s="4" vm="1641">
        <v>3384.4</v>
      </c>
      <c r="E40" s="4" vm="1642">
        <v>1213.135</v>
      </c>
      <c r="F40" s="4" vm="1643">
        <v>108.25</v>
      </c>
      <c r="G40" s="4" vm="1644">
        <v>51.59</v>
      </c>
      <c r="H40" s="4">
        <f t="shared" si="1"/>
        <v>0</v>
      </c>
    </row>
    <row r="41" spans="1:8" x14ac:dyDescent="0.3">
      <c r="A41" vm="76">
        <v>45225</v>
      </c>
      <c r="B41" s="4" vm="77">
        <v>18857.25</v>
      </c>
      <c r="C41" s="4" vm="1645">
        <v>1305.5999999999999</v>
      </c>
      <c r="D41" s="4" vm="1646">
        <v>3326.8</v>
      </c>
      <c r="E41" s="4" vm="1647">
        <v>1177.28</v>
      </c>
      <c r="F41" s="4" vm="1648">
        <v>106.45</v>
      </c>
      <c r="G41" s="4" vm="1649">
        <v>51.54</v>
      </c>
      <c r="H41" s="4">
        <f t="shared" si="1"/>
        <v>0</v>
      </c>
    </row>
    <row r="42" spans="1:8" x14ac:dyDescent="0.3">
      <c r="A42" vm="78">
        <v>45226</v>
      </c>
      <c r="B42" s="4" vm="79">
        <v>19047.25</v>
      </c>
      <c r="C42" s="4" vm="1650">
        <v>1302.9000000000001</v>
      </c>
      <c r="D42" s="4" vm="1651">
        <v>3394.85</v>
      </c>
      <c r="E42" s="4" vm="1652">
        <v>1202.8475000000001</v>
      </c>
      <c r="F42" s="4" vm="1653">
        <v>105.65</v>
      </c>
      <c r="G42" s="4" vm="1654">
        <v>51.41</v>
      </c>
      <c r="H42" s="4">
        <f t="shared" si="1"/>
        <v>0</v>
      </c>
    </row>
    <row r="43" spans="1:8" x14ac:dyDescent="0.3">
      <c r="A43" vm="80">
        <v>45229</v>
      </c>
      <c r="B43" s="4" vm="81">
        <v>19140.900000000001</v>
      </c>
      <c r="C43" s="4" vm="1655">
        <v>1326.2</v>
      </c>
      <c r="D43" s="4" vm="1656">
        <v>3357.65</v>
      </c>
      <c r="E43" s="4" vm="1657">
        <v>1208.585</v>
      </c>
      <c r="F43" s="4" vm="1658">
        <v>107.7</v>
      </c>
      <c r="G43" s="4" vm="1659">
        <v>51.83</v>
      </c>
      <c r="H43" s="4">
        <f t="shared" si="1"/>
        <v>0</v>
      </c>
    </row>
    <row r="44" spans="1:8" x14ac:dyDescent="0.3">
      <c r="A44" vm="82">
        <v>45230</v>
      </c>
      <c r="B44" s="4" vm="83">
        <v>19079.599999999999</v>
      </c>
      <c r="C44" s="4" vm="1660">
        <v>1367.85</v>
      </c>
      <c r="D44" s="4" vm="1661">
        <v>3295.55</v>
      </c>
      <c r="E44" s="4" vm="1662">
        <v>1211.74</v>
      </c>
      <c r="F44" s="4" vm="1663">
        <v>105.1</v>
      </c>
      <c r="G44" s="4" vm="1664">
        <v>51.64</v>
      </c>
      <c r="H44" s="4">
        <f t="shared" si="1"/>
        <v>0</v>
      </c>
    </row>
    <row r="45" spans="1:8" x14ac:dyDescent="0.3">
      <c r="A45" vm="84">
        <v>45231</v>
      </c>
      <c r="B45" s="4" vm="85">
        <v>18989.150000000001</v>
      </c>
      <c r="C45" s="4" vm="1665">
        <v>1336.05</v>
      </c>
      <c r="D45" s="4" vm="1666">
        <v>3282.25</v>
      </c>
      <c r="E45" s="4" vm="1667">
        <v>1193.635</v>
      </c>
      <c r="F45" s="4" vm="1668">
        <v>103.7</v>
      </c>
      <c r="G45" s="4" vm="1669">
        <v>52.02</v>
      </c>
      <c r="H45" s="4">
        <f t="shared" si="1"/>
        <v>0</v>
      </c>
    </row>
    <row r="46" spans="1:8" x14ac:dyDescent="0.3">
      <c r="A46" vm="86">
        <v>45232</v>
      </c>
      <c r="B46" s="4" vm="87">
        <v>19133.25</v>
      </c>
      <c r="C46" s="4" vm="1670">
        <v>1343.5</v>
      </c>
      <c r="D46" s="4" vm="1671">
        <v>3338.3</v>
      </c>
      <c r="E46" s="4" vm="1672">
        <v>1205.5899999999999</v>
      </c>
      <c r="F46" s="4" vm="1673">
        <v>107.55</v>
      </c>
      <c r="G46" s="4" vm="1674">
        <v>52.06</v>
      </c>
      <c r="H46" s="4">
        <f t="shared" si="1"/>
        <v>0</v>
      </c>
    </row>
    <row r="47" spans="1:8" x14ac:dyDescent="0.3">
      <c r="A47" vm="88">
        <v>45233</v>
      </c>
      <c r="B47" s="4" vm="89">
        <v>19230.599999999999</v>
      </c>
      <c r="C47" s="4" vm="1675">
        <v>1329.35</v>
      </c>
      <c r="D47" s="4" vm="1676">
        <v>3428</v>
      </c>
      <c r="E47" s="4" vm="1677">
        <v>1199.9525000000001</v>
      </c>
      <c r="F47" s="4" vm="1678">
        <v>116.5</v>
      </c>
      <c r="G47" s="4" vm="1679">
        <v>51.76</v>
      </c>
      <c r="H47" s="4">
        <f t="shared" si="1"/>
        <v>0</v>
      </c>
    </row>
    <row r="48" spans="1:8" x14ac:dyDescent="0.3">
      <c r="A48" vm="90">
        <v>45236</v>
      </c>
      <c r="B48" s="4" vm="91">
        <v>19411.75</v>
      </c>
      <c r="C48" s="4" vm="1680">
        <v>1331.85</v>
      </c>
      <c r="D48" s="4" vm="1681">
        <v>3510.95</v>
      </c>
      <c r="E48" s="4" vm="1682">
        <v>1214.4775</v>
      </c>
      <c r="F48" s="4" vm="1683">
        <v>123.3</v>
      </c>
      <c r="G48" s="4" vm="1684">
        <v>51.85</v>
      </c>
      <c r="H48" s="4">
        <f t="shared" si="1"/>
        <v>0</v>
      </c>
    </row>
    <row r="49" spans="1:8" x14ac:dyDescent="0.3">
      <c r="A49" vm="92">
        <v>45237</v>
      </c>
      <c r="B49" s="4" vm="93">
        <v>19406.7</v>
      </c>
      <c r="C49" s="4" vm="1685">
        <v>1340.85</v>
      </c>
      <c r="D49" s="4" vm="1686">
        <v>3509.05</v>
      </c>
      <c r="E49" s="4" vm="1687">
        <v>1218.4749999999999</v>
      </c>
      <c r="F49" s="4" vm="1688">
        <v>121.3</v>
      </c>
      <c r="G49" s="4" vm="1689">
        <v>51.8</v>
      </c>
      <c r="H49" s="4">
        <f t="shared" si="1"/>
        <v>0</v>
      </c>
    </row>
    <row r="50" spans="1:8" x14ac:dyDescent="0.3">
      <c r="A50" vm="94">
        <v>45238</v>
      </c>
      <c r="B50" s="4" vm="95">
        <v>19443.5</v>
      </c>
      <c r="C50" s="4" vm="1512">
        <v>1345.5</v>
      </c>
      <c r="D50" s="4" vm="1690">
        <v>3550.3</v>
      </c>
      <c r="E50" s="4" vm="1691">
        <v>1214.0775000000001</v>
      </c>
      <c r="F50" s="4" vm="1692">
        <v>125.15</v>
      </c>
      <c r="G50" s="4" vm="1693">
        <v>51.75</v>
      </c>
      <c r="H50" s="4">
        <f t="shared" si="1"/>
        <v>0</v>
      </c>
    </row>
    <row r="51" spans="1:8" x14ac:dyDescent="0.3">
      <c r="A51" vm="96">
        <v>45239</v>
      </c>
      <c r="B51" s="4" vm="97">
        <v>19395.3</v>
      </c>
      <c r="C51" s="4" vm="1694">
        <v>1350.7</v>
      </c>
      <c r="D51" s="4" vm="1695">
        <v>3541.9</v>
      </c>
      <c r="E51" s="4" vm="1696">
        <v>1211.3375000000001</v>
      </c>
      <c r="F51" s="4" vm="1697">
        <v>121.85</v>
      </c>
      <c r="G51" s="4" vm="1698">
        <v>51.36</v>
      </c>
      <c r="H51" s="4">
        <f t="shared" si="1"/>
        <v>0</v>
      </c>
    </row>
    <row r="52" spans="1:8" x14ac:dyDescent="0.3">
      <c r="A52" vm="98">
        <v>45240</v>
      </c>
      <c r="B52" s="4" vm="99">
        <v>19425.349999999999</v>
      </c>
      <c r="C52" s="4" vm="1699">
        <v>1355.4</v>
      </c>
      <c r="D52" s="4" vm="1700">
        <v>3540.75</v>
      </c>
      <c r="E52" s="4" vm="1701">
        <v>1206.8599999999999</v>
      </c>
      <c r="F52" s="4" vm="1688">
        <v>121.3</v>
      </c>
      <c r="G52" s="4" vm="1702">
        <v>51.4</v>
      </c>
      <c r="H52" s="4">
        <f t="shared" si="1"/>
        <v>0</v>
      </c>
    </row>
    <row r="53" spans="1:8" x14ac:dyDescent="0.3">
      <c r="A53" vm="100">
        <v>45242</v>
      </c>
      <c r="B53" s="4" vm="101">
        <v>19525.55</v>
      </c>
      <c r="C53" s="4" vm="1703">
        <v>1358.85</v>
      </c>
      <c r="D53" s="4" vm="1704">
        <v>3579.3</v>
      </c>
      <c r="E53" s="4" vm="1705">
        <v>1214.1675</v>
      </c>
      <c r="F53" s="4" vm="1706">
        <v>123.25</v>
      </c>
      <c r="G53" s="4" vm="1707">
        <v>50.94</v>
      </c>
      <c r="H53" s="4">
        <f t="shared" si="1"/>
        <v>0</v>
      </c>
    </row>
    <row r="54" spans="1:8" x14ac:dyDescent="0.3">
      <c r="A54" vm="102">
        <v>45243</v>
      </c>
      <c r="B54" s="4" vm="103">
        <v>19443.55</v>
      </c>
      <c r="C54" s="4" vm="1481">
        <v>1328.35</v>
      </c>
      <c r="D54" s="4" vm="1708">
        <v>3645.4</v>
      </c>
      <c r="E54" s="4" vm="1709">
        <v>1204.2925</v>
      </c>
      <c r="F54" s="4" vm="1710">
        <v>122.2</v>
      </c>
      <c r="G54" s="4" vm="1711">
        <v>51.31</v>
      </c>
      <c r="H54" s="4">
        <f t="shared" si="1"/>
        <v>0</v>
      </c>
    </row>
    <row r="55" spans="1:8" x14ac:dyDescent="0.3">
      <c r="A55" vm="104">
        <v>45245</v>
      </c>
      <c r="B55" s="4" vm="105">
        <v>19675.45</v>
      </c>
      <c r="C55" s="4" vm="1712">
        <v>1357.1</v>
      </c>
      <c r="D55" s="4" vm="1713">
        <v>3848.3</v>
      </c>
      <c r="E55" s="4" vm="1714">
        <v>1208.7025000000001</v>
      </c>
      <c r="F55" s="4" vm="1715">
        <v>120.25</v>
      </c>
      <c r="G55" s="4" vm="1716">
        <v>50.93</v>
      </c>
      <c r="H55" s="4">
        <f t="shared" si="1"/>
        <v>0</v>
      </c>
    </row>
    <row r="56" spans="1:8" x14ac:dyDescent="0.3">
      <c r="A56" vm="106">
        <v>45246</v>
      </c>
      <c r="B56" s="4" vm="107">
        <v>19765.2</v>
      </c>
      <c r="C56" s="4" vm="1717">
        <v>1359.95</v>
      </c>
      <c r="D56" s="4" vm="1718">
        <v>3836.75</v>
      </c>
      <c r="E56" s="4" vm="1719">
        <v>1204.145</v>
      </c>
      <c r="F56" s="4" vm="1697">
        <v>121.85</v>
      </c>
      <c r="G56" s="4" vm="1720">
        <v>51.46</v>
      </c>
      <c r="H56" s="4">
        <f t="shared" si="1"/>
        <v>0</v>
      </c>
    </row>
    <row r="57" spans="1:8" x14ac:dyDescent="0.3">
      <c r="A57" vm="108">
        <v>45247</v>
      </c>
      <c r="B57" s="4" vm="109">
        <v>19731.8</v>
      </c>
      <c r="C57" s="4" vm="1721">
        <v>1413.95</v>
      </c>
      <c r="D57" s="4" vm="1722">
        <v>3865.3</v>
      </c>
      <c r="E57" s="4" vm="1723">
        <v>1218.6524999999999</v>
      </c>
      <c r="F57" s="4" vm="1710">
        <v>122.2</v>
      </c>
      <c r="G57" s="4" vm="1724">
        <v>51.39</v>
      </c>
      <c r="H57" s="4">
        <f t="shared" si="1"/>
        <v>0</v>
      </c>
    </row>
    <row r="58" spans="1:8" x14ac:dyDescent="0.3">
      <c r="A58" vm="110">
        <v>45250</v>
      </c>
      <c r="B58" s="4" vm="111">
        <v>19694</v>
      </c>
      <c r="C58" s="4" vm="1725">
        <v>1385.3</v>
      </c>
      <c r="D58" s="4" vm="1726">
        <v>3846.45</v>
      </c>
      <c r="E58" s="4" vm="1727">
        <v>1215.1275000000001</v>
      </c>
      <c r="F58" s="4" vm="1728">
        <v>118.15</v>
      </c>
      <c r="G58" s="4" vm="1729">
        <v>51.86</v>
      </c>
      <c r="H58" s="4">
        <f t="shared" si="1"/>
        <v>0</v>
      </c>
    </row>
    <row r="59" spans="1:8" x14ac:dyDescent="0.3">
      <c r="A59" vm="112">
        <v>45251</v>
      </c>
      <c r="B59" s="4" vm="113">
        <v>19783.400000000001</v>
      </c>
      <c r="C59" s="4" vm="1730">
        <v>1423.65</v>
      </c>
      <c r="D59" s="4" vm="1731">
        <v>3844.2</v>
      </c>
      <c r="E59" s="4" vm="1732">
        <v>1218.6724999999999</v>
      </c>
      <c r="F59" s="4" vm="1678">
        <v>116.5</v>
      </c>
      <c r="G59" s="4" vm="1733">
        <v>51.66</v>
      </c>
      <c r="H59" s="4">
        <f t="shared" si="1"/>
        <v>0</v>
      </c>
    </row>
    <row r="60" spans="1:8" x14ac:dyDescent="0.3">
      <c r="A60" vm="114">
        <v>45252</v>
      </c>
      <c r="B60" s="4" vm="115">
        <v>19811.849999999999</v>
      </c>
      <c r="C60" s="4" vm="1734">
        <v>1430.1</v>
      </c>
      <c r="D60" s="4" vm="1735">
        <v>3833.8</v>
      </c>
      <c r="E60" s="4" vm="1736">
        <v>1217.5425</v>
      </c>
      <c r="F60" s="4" vm="1737">
        <v>115.3</v>
      </c>
      <c r="G60" s="4" vm="1738">
        <v>51.88</v>
      </c>
      <c r="H60" s="4">
        <f t="shared" si="1"/>
        <v>0</v>
      </c>
    </row>
    <row r="61" spans="1:8" x14ac:dyDescent="0.3">
      <c r="A61" vm="116">
        <v>45253</v>
      </c>
      <c r="B61" s="4" vm="117">
        <v>19802</v>
      </c>
      <c r="C61" s="4" vm="1739">
        <v>1410.95</v>
      </c>
      <c r="D61" s="4" vm="1740">
        <v>3883.8</v>
      </c>
      <c r="E61" s="4" vm="1741">
        <v>1219.665</v>
      </c>
      <c r="F61" s="4" vm="1742">
        <v>112.95</v>
      </c>
      <c r="G61" s="4" vm="1743">
        <v>52.17</v>
      </c>
      <c r="H61" s="4">
        <f t="shared" si="1"/>
        <v>0</v>
      </c>
    </row>
    <row r="62" spans="1:8" x14ac:dyDescent="0.3">
      <c r="A62" vm="118">
        <v>45254</v>
      </c>
      <c r="B62" s="4" vm="119">
        <v>19794.7</v>
      </c>
      <c r="C62" s="4" vm="1744">
        <v>1409.7</v>
      </c>
      <c r="D62" s="4" vm="1745">
        <v>3849.05</v>
      </c>
      <c r="E62" s="4" vm="1746">
        <v>1206.9475</v>
      </c>
      <c r="F62" s="4" vm="1747">
        <v>113.25</v>
      </c>
      <c r="G62" s="4" vm="1669">
        <v>52.02</v>
      </c>
      <c r="H62" s="4">
        <f t="shared" si="1"/>
        <v>0</v>
      </c>
    </row>
    <row r="63" spans="1:8" x14ac:dyDescent="0.3">
      <c r="A63" vm="120">
        <v>45258</v>
      </c>
      <c r="B63" s="4" vm="121">
        <v>19889.7</v>
      </c>
      <c r="C63" s="4" vm="1748">
        <v>1412.45</v>
      </c>
      <c r="D63" s="4" vm="1749">
        <v>3826.7</v>
      </c>
      <c r="E63" s="4" vm="1750">
        <v>1210.93</v>
      </c>
      <c r="F63" s="4" vm="1751">
        <v>113.8</v>
      </c>
      <c r="G63" s="4" vm="1752">
        <v>52.15</v>
      </c>
      <c r="H63" s="4">
        <f t="shared" si="1"/>
        <v>0</v>
      </c>
    </row>
    <row r="64" spans="1:8" x14ac:dyDescent="0.3">
      <c r="A64" vm="122">
        <v>45259</v>
      </c>
      <c r="B64" s="4" vm="123">
        <v>20096.599999999999</v>
      </c>
      <c r="C64" s="4" vm="1753">
        <v>1407.85</v>
      </c>
      <c r="D64" s="4" vm="1754">
        <v>3812.25</v>
      </c>
      <c r="E64" s="4" vm="1755">
        <v>1203.375</v>
      </c>
      <c r="F64" s="4" vm="1756">
        <v>116.6</v>
      </c>
      <c r="G64" s="4" vm="1757">
        <v>52.3</v>
      </c>
      <c r="H64" s="4">
        <f t="shared" si="1"/>
        <v>0</v>
      </c>
    </row>
    <row r="65" spans="1:8" x14ac:dyDescent="0.3">
      <c r="A65" vm="124">
        <v>45260</v>
      </c>
      <c r="B65" s="4" vm="125">
        <v>20133.150000000001</v>
      </c>
      <c r="C65" s="4" vm="1758">
        <v>1435.25</v>
      </c>
      <c r="D65" s="4" vm="1759">
        <v>3896.9</v>
      </c>
      <c r="E65" s="4" vm="1760">
        <v>1211.8074999999999</v>
      </c>
      <c r="F65" s="4" vm="1761">
        <v>118.55</v>
      </c>
      <c r="G65" s="4" vm="1762">
        <v>53.05</v>
      </c>
      <c r="H65" s="4">
        <f t="shared" si="1"/>
        <v>0</v>
      </c>
    </row>
    <row r="66" spans="1:8" x14ac:dyDescent="0.3">
      <c r="A66" vm="126">
        <v>45261</v>
      </c>
      <c r="B66" s="4" vm="127">
        <v>20267.900000000001</v>
      </c>
      <c r="C66" s="4" vm="1730">
        <v>1423.65</v>
      </c>
      <c r="D66" s="4" vm="1763">
        <v>3891.2</v>
      </c>
      <c r="E66" s="4" vm="1764">
        <v>1216.93</v>
      </c>
      <c r="F66" s="4" vm="1765">
        <v>116.3</v>
      </c>
      <c r="G66" s="4" vm="1766">
        <v>53.15</v>
      </c>
      <c r="H66" s="4">
        <f t="shared" si="1"/>
        <v>0</v>
      </c>
    </row>
    <row r="67" spans="1:8" x14ac:dyDescent="0.3">
      <c r="A67" vm="128">
        <v>45264</v>
      </c>
      <c r="B67" s="4" vm="129">
        <v>20686.8</v>
      </c>
      <c r="C67" s="4" vm="1767">
        <v>1454</v>
      </c>
      <c r="D67" s="4" vm="1768">
        <v>4180.3500000000004</v>
      </c>
      <c r="E67" s="4" vm="1769">
        <v>1220.1400000000001</v>
      </c>
      <c r="F67" s="4" vm="1770">
        <v>117.4</v>
      </c>
      <c r="G67" s="4" vm="1771">
        <v>53.29</v>
      </c>
      <c r="H67" s="4">
        <f t="shared" si="1"/>
        <v>0</v>
      </c>
    </row>
    <row r="68" spans="1:8" x14ac:dyDescent="0.3">
      <c r="A68" vm="130">
        <v>45265</v>
      </c>
      <c r="B68" s="4" vm="131">
        <v>20855.099999999999</v>
      </c>
      <c r="C68" s="4" vm="1772">
        <v>1460.95</v>
      </c>
      <c r="D68" s="4" vm="1773">
        <v>4136.5</v>
      </c>
      <c r="E68" s="4" vm="1774">
        <v>1230.4449999999999</v>
      </c>
      <c r="F68" s="4" vm="1775">
        <v>116.75</v>
      </c>
      <c r="G68" s="4" vm="1776">
        <v>53.72</v>
      </c>
      <c r="H68" s="4">
        <f t="shared" si="1"/>
        <v>0</v>
      </c>
    </row>
    <row r="69" spans="1:8" x14ac:dyDescent="0.3">
      <c r="A69" vm="132">
        <v>45266</v>
      </c>
      <c r="B69" s="4" vm="133">
        <v>20937.7</v>
      </c>
      <c r="C69" s="4" vm="1777">
        <v>1450.7</v>
      </c>
      <c r="D69" s="4" vm="1778">
        <v>4047</v>
      </c>
      <c r="E69" s="4" vm="1779">
        <v>1248.425</v>
      </c>
      <c r="F69" s="4" vm="1780">
        <v>118.9</v>
      </c>
      <c r="G69" s="4" vm="1781">
        <v>52.94</v>
      </c>
      <c r="H69" s="4">
        <f t="shared" ref="H69:H132" si="2">SUMPRODUCT($C$3:$G$3,C69:G69)</f>
        <v>0</v>
      </c>
    </row>
    <row r="70" spans="1:8" x14ac:dyDescent="0.3">
      <c r="A70" vm="134">
        <v>45267</v>
      </c>
      <c r="B70" s="4" vm="135">
        <v>20901.150000000001</v>
      </c>
      <c r="C70" s="4" vm="1782">
        <v>1455.75</v>
      </c>
      <c r="D70" s="4" vm="1783">
        <v>4091</v>
      </c>
      <c r="E70" s="4" vm="1784">
        <v>1248.7625</v>
      </c>
      <c r="F70" s="4" vm="1785">
        <v>121.7</v>
      </c>
      <c r="G70" s="4" vm="1786">
        <v>52.83</v>
      </c>
      <c r="H70" s="4">
        <f t="shared" si="2"/>
        <v>0</v>
      </c>
    </row>
    <row r="71" spans="1:8" x14ac:dyDescent="0.3">
      <c r="A71" vm="136">
        <v>45268</v>
      </c>
      <c r="B71" s="4" vm="137">
        <v>20969.400000000001</v>
      </c>
      <c r="C71" s="4" vm="1787">
        <v>1465.2</v>
      </c>
      <c r="D71" s="4" vm="1788">
        <v>4055</v>
      </c>
      <c r="E71" s="4" vm="1789">
        <v>1239.48</v>
      </c>
      <c r="F71" s="4" vm="1790">
        <v>119.95</v>
      </c>
      <c r="G71" s="4" vm="1791">
        <v>53.03</v>
      </c>
      <c r="H71" s="4">
        <f t="shared" si="2"/>
        <v>0</v>
      </c>
    </row>
    <row r="72" spans="1:8" x14ac:dyDescent="0.3">
      <c r="A72" vm="138">
        <v>45271</v>
      </c>
      <c r="B72" s="4" vm="139">
        <v>20997.1</v>
      </c>
      <c r="C72" s="4" vm="1792">
        <v>1460.6</v>
      </c>
      <c r="D72" s="4" vm="1793">
        <v>4025.65</v>
      </c>
      <c r="E72" s="4" vm="1794">
        <v>1252.1724999999999</v>
      </c>
      <c r="F72" s="4" vm="1795">
        <v>118.45</v>
      </c>
      <c r="G72" s="4" vm="1781">
        <v>52.94</v>
      </c>
      <c r="H72" s="4">
        <f t="shared" si="2"/>
        <v>0</v>
      </c>
    </row>
    <row r="73" spans="1:8" x14ac:dyDescent="0.3">
      <c r="A73" vm="140">
        <v>45272</v>
      </c>
      <c r="B73" s="4" vm="141">
        <v>20906.400000000001</v>
      </c>
      <c r="C73" s="4" vm="1796">
        <v>1481.45</v>
      </c>
      <c r="D73" s="4" vm="1797">
        <v>3951.75</v>
      </c>
      <c r="E73" s="4" vm="1798">
        <v>1247.3575000000001</v>
      </c>
      <c r="F73" s="4" vm="1775">
        <v>116.75</v>
      </c>
      <c r="G73" s="4" vm="1669">
        <v>52.02</v>
      </c>
      <c r="H73" s="4">
        <f t="shared" si="2"/>
        <v>0</v>
      </c>
    </row>
    <row r="74" spans="1:8" x14ac:dyDescent="0.3">
      <c r="A74" vm="142">
        <v>45273</v>
      </c>
      <c r="B74" s="4" vm="143">
        <v>20926.349999999999</v>
      </c>
      <c r="C74" s="4" vm="1799">
        <v>1466.8</v>
      </c>
      <c r="D74" s="4" vm="1800">
        <v>4032.75</v>
      </c>
      <c r="E74" s="4" vm="1801">
        <v>1252.22</v>
      </c>
      <c r="F74" s="4" vm="1802">
        <v>120</v>
      </c>
      <c r="G74" s="4" vm="1684">
        <v>51.85</v>
      </c>
      <c r="H74" s="4">
        <f t="shared" si="2"/>
        <v>0</v>
      </c>
    </row>
    <row r="75" spans="1:8" x14ac:dyDescent="0.3">
      <c r="A75" vm="144">
        <v>45274</v>
      </c>
      <c r="B75" s="4" vm="145">
        <v>21182.7</v>
      </c>
      <c r="C75" s="4" vm="1803">
        <v>1469.85</v>
      </c>
      <c r="D75" s="4" vm="1804">
        <v>4086.15</v>
      </c>
      <c r="E75" s="4" vm="1805">
        <v>1239.665</v>
      </c>
      <c r="F75" s="4" vm="1806">
        <v>124.15</v>
      </c>
      <c r="G75" s="4" vm="1659">
        <v>51.83</v>
      </c>
      <c r="H75" s="4">
        <f t="shared" si="2"/>
        <v>0</v>
      </c>
    </row>
    <row r="76" spans="1:8" x14ac:dyDescent="0.3">
      <c r="A76" vm="146">
        <v>45275</v>
      </c>
      <c r="B76" s="4" vm="147">
        <v>21456.65</v>
      </c>
      <c r="C76" s="4" vm="1807">
        <v>1452.5</v>
      </c>
      <c r="D76" s="4" vm="1808">
        <v>4059.9</v>
      </c>
      <c r="E76" s="4" vm="1809">
        <v>1218.32</v>
      </c>
      <c r="F76" s="4" vm="1810">
        <v>123.6</v>
      </c>
      <c r="G76" s="4" vm="1811">
        <v>52.8</v>
      </c>
      <c r="H76" s="4">
        <f t="shared" si="2"/>
        <v>0</v>
      </c>
    </row>
    <row r="77" spans="1:8" x14ac:dyDescent="0.3">
      <c r="A77" vm="148">
        <v>45278</v>
      </c>
      <c r="B77" s="4" vm="149">
        <v>21418.65</v>
      </c>
      <c r="C77" s="4" vm="1812">
        <v>1446.95</v>
      </c>
      <c r="D77" s="4" vm="1813">
        <v>4085.5</v>
      </c>
      <c r="E77" s="4" vm="1814">
        <v>1217.7125000000001</v>
      </c>
      <c r="F77" s="4" vm="1815">
        <v>128.55000000000001</v>
      </c>
      <c r="G77" s="4" vm="1816">
        <v>52.81</v>
      </c>
      <c r="H77" s="4">
        <f t="shared" si="2"/>
        <v>0</v>
      </c>
    </row>
    <row r="78" spans="1:8" x14ac:dyDescent="0.3">
      <c r="A78" vm="150">
        <v>45279</v>
      </c>
      <c r="B78" s="4" vm="151">
        <v>21453.1</v>
      </c>
      <c r="C78" s="4" vm="1817">
        <v>1424.55</v>
      </c>
      <c r="D78" s="4" vm="1818">
        <v>4039.65</v>
      </c>
      <c r="E78" s="4" vm="1819">
        <v>1274.4849999999999</v>
      </c>
      <c r="F78" s="4" vm="1820">
        <v>130.25</v>
      </c>
      <c r="G78" s="4" vm="1821">
        <v>52.49</v>
      </c>
      <c r="H78" s="4">
        <f t="shared" si="2"/>
        <v>0</v>
      </c>
    </row>
    <row r="79" spans="1:8" x14ac:dyDescent="0.3">
      <c r="A79" vm="152">
        <v>45280</v>
      </c>
      <c r="B79" s="4" vm="153">
        <v>21150.15</v>
      </c>
      <c r="C79" s="4" vm="1822">
        <v>1409.25</v>
      </c>
      <c r="D79" s="4" vm="1823">
        <v>3912.4</v>
      </c>
      <c r="E79" s="4" vm="1824">
        <v>1254.8875</v>
      </c>
      <c r="F79" s="4" vm="1825">
        <v>124.75</v>
      </c>
      <c r="G79" s="4" vm="1826">
        <v>52.59</v>
      </c>
      <c r="H79" s="4">
        <f t="shared" si="2"/>
        <v>0</v>
      </c>
    </row>
    <row r="80" spans="1:8" x14ac:dyDescent="0.3">
      <c r="A80" vm="154">
        <v>45281</v>
      </c>
      <c r="B80" s="4" vm="155">
        <v>21255.05</v>
      </c>
      <c r="C80" s="4" vm="1827">
        <v>1403.75</v>
      </c>
      <c r="D80" s="4" vm="1828">
        <v>3957.95</v>
      </c>
      <c r="E80" s="4" vm="1829">
        <v>1255.7925</v>
      </c>
      <c r="F80" s="4" vm="1830">
        <v>127.35</v>
      </c>
      <c r="G80" s="4" vm="1786">
        <v>52.83</v>
      </c>
      <c r="H80" s="4">
        <f t="shared" si="2"/>
        <v>0</v>
      </c>
    </row>
    <row r="81" spans="1:8" x14ac:dyDescent="0.3">
      <c r="A81" vm="156">
        <v>45282</v>
      </c>
      <c r="B81" s="4" vm="157">
        <v>21349.4</v>
      </c>
      <c r="C81" s="4" vm="1831">
        <v>1394.3</v>
      </c>
      <c r="D81" s="4" vm="1832">
        <v>4006.05</v>
      </c>
      <c r="E81" s="4" vm="1833">
        <v>1268.4224999999999</v>
      </c>
      <c r="F81" s="4" vm="1834">
        <v>128.5</v>
      </c>
      <c r="G81" s="4" vm="1835">
        <v>52.86</v>
      </c>
      <c r="H81" s="4">
        <f t="shared" si="2"/>
        <v>0</v>
      </c>
    </row>
    <row r="82" spans="1:8" x14ac:dyDescent="0.3">
      <c r="A82" vm="158">
        <v>45286</v>
      </c>
      <c r="B82" s="4" vm="159">
        <v>21441.35</v>
      </c>
      <c r="C82" s="4" vm="1836">
        <v>1395.3</v>
      </c>
      <c r="D82" s="4" vm="1837">
        <v>4040.4</v>
      </c>
      <c r="E82" s="4" vm="1838">
        <v>1278.1025</v>
      </c>
      <c r="F82" s="4" vm="1839">
        <v>125</v>
      </c>
      <c r="G82" s="4" vm="1840">
        <v>53.19</v>
      </c>
      <c r="H82" s="4">
        <f t="shared" si="2"/>
        <v>0</v>
      </c>
    </row>
    <row r="83" spans="1:8" x14ac:dyDescent="0.3">
      <c r="A83" vm="160">
        <v>45287</v>
      </c>
      <c r="B83" s="4" vm="161">
        <v>21654.75</v>
      </c>
      <c r="C83" s="4" vm="1841">
        <v>1421.35</v>
      </c>
      <c r="D83" s="4" vm="1842">
        <v>4120</v>
      </c>
      <c r="E83" s="4" vm="1843">
        <v>1286.0225</v>
      </c>
      <c r="F83" s="4" vm="1844">
        <v>127.05</v>
      </c>
      <c r="G83" s="4" vm="1845">
        <v>53.46</v>
      </c>
      <c r="H83" s="4">
        <f t="shared" si="2"/>
        <v>0</v>
      </c>
    </row>
    <row r="84" spans="1:8" x14ac:dyDescent="0.3">
      <c r="A84" vm="162">
        <v>45288</v>
      </c>
      <c r="B84" s="4" vm="163">
        <v>21778.7</v>
      </c>
      <c r="C84" s="4" vm="1846">
        <v>1435.3</v>
      </c>
      <c r="D84" s="4" vm="1847">
        <v>4091.9</v>
      </c>
      <c r="E84" s="4" vm="1848">
        <v>1312.4949999999999</v>
      </c>
      <c r="F84" s="4" vm="1849">
        <v>123.2</v>
      </c>
      <c r="G84" s="4" vm="1850">
        <v>53.63</v>
      </c>
      <c r="H84" s="4">
        <f t="shared" si="2"/>
        <v>0</v>
      </c>
    </row>
    <row r="85" spans="1:8" x14ac:dyDescent="0.3">
      <c r="A85" vm="164">
        <v>45289</v>
      </c>
      <c r="B85" s="4" vm="165">
        <v>21731.4</v>
      </c>
      <c r="C85" s="4" vm="1851">
        <v>1432.6</v>
      </c>
      <c r="D85" s="4" vm="1852">
        <v>4143.5</v>
      </c>
      <c r="E85" s="4" vm="1853">
        <v>1329.0150000000001</v>
      </c>
      <c r="F85" s="4" vm="1854">
        <v>123.7</v>
      </c>
      <c r="G85" s="4" vm="1855">
        <v>53.84</v>
      </c>
      <c r="H85" s="4">
        <f t="shared" si="2"/>
        <v>0</v>
      </c>
    </row>
    <row r="86" spans="1:8" x14ac:dyDescent="0.3">
      <c r="A86" vm="166">
        <v>45292</v>
      </c>
      <c r="B86" s="4" vm="167">
        <v>21741.9</v>
      </c>
      <c r="C86" s="4" vm="1856">
        <v>1432.1</v>
      </c>
      <c r="D86" s="4" vm="1857">
        <v>4038.35</v>
      </c>
      <c r="E86" s="4" vm="1858">
        <v>1368.62</v>
      </c>
      <c r="F86" s="4" vm="1859">
        <v>124.5</v>
      </c>
      <c r="G86" s="4" vm="1860">
        <v>53.66</v>
      </c>
      <c r="H86" s="4">
        <f t="shared" si="2"/>
        <v>0</v>
      </c>
    </row>
    <row r="87" spans="1:8" x14ac:dyDescent="0.3">
      <c r="A87" vm="168">
        <v>45293</v>
      </c>
      <c r="B87" s="4" vm="169">
        <v>21665.8</v>
      </c>
      <c r="C87" s="4" vm="1861">
        <v>1437.65</v>
      </c>
      <c r="D87" s="4" vm="1862">
        <v>3892.5</v>
      </c>
      <c r="E87" s="4" vm="1863">
        <v>1361.1575</v>
      </c>
      <c r="F87" s="4" vm="1864">
        <v>128.69999999999999</v>
      </c>
      <c r="G87" s="4" vm="1865">
        <v>53.74</v>
      </c>
      <c r="H87" s="4">
        <f t="shared" si="2"/>
        <v>0</v>
      </c>
    </row>
    <row r="88" spans="1:8" x14ac:dyDescent="0.3">
      <c r="A88" vm="170">
        <v>45294</v>
      </c>
      <c r="B88" s="4" vm="171">
        <v>21517.35</v>
      </c>
      <c r="C88" s="4" vm="1866">
        <v>1422.7</v>
      </c>
      <c r="D88" s="4" vm="1867">
        <v>3887.6</v>
      </c>
      <c r="E88" s="4" vm="1868">
        <v>1331.76</v>
      </c>
      <c r="F88" s="4" vm="1869">
        <v>127.55</v>
      </c>
      <c r="G88" s="4" vm="1870">
        <v>54.01</v>
      </c>
      <c r="H88" s="4">
        <f t="shared" si="2"/>
        <v>0</v>
      </c>
    </row>
    <row r="89" spans="1:8" x14ac:dyDescent="0.3">
      <c r="A89" vm="172">
        <v>45295</v>
      </c>
      <c r="B89" s="4" vm="173">
        <v>21658.6</v>
      </c>
      <c r="C89" s="4" vm="1871">
        <v>1431.6</v>
      </c>
      <c r="D89" s="4" vm="1872">
        <v>3861</v>
      </c>
      <c r="E89" s="4" vm="1873">
        <v>1355.82</v>
      </c>
      <c r="F89" s="4" vm="1874">
        <v>129.75</v>
      </c>
      <c r="G89" s="4" vm="1875">
        <v>53.53</v>
      </c>
      <c r="H89" s="4">
        <f t="shared" si="2"/>
        <v>0</v>
      </c>
    </row>
    <row r="90" spans="1:8" x14ac:dyDescent="0.3">
      <c r="A90" vm="174">
        <v>45296</v>
      </c>
      <c r="B90" s="4" vm="175">
        <v>21710.799999999999</v>
      </c>
      <c r="C90" s="4" vm="1876">
        <v>1454.15</v>
      </c>
      <c r="D90" s="4" vm="1877">
        <v>3877.05</v>
      </c>
      <c r="E90" s="4" vm="1878">
        <v>1333.2</v>
      </c>
      <c r="F90" s="4" vm="1879">
        <v>133.30000000000001</v>
      </c>
      <c r="G90" s="4" vm="1771">
        <v>53.29</v>
      </c>
      <c r="H90" s="4">
        <f t="shared" si="2"/>
        <v>0</v>
      </c>
    </row>
    <row r="91" spans="1:8" x14ac:dyDescent="0.3">
      <c r="A91" vm="176">
        <v>45299</v>
      </c>
      <c r="B91" s="4" vm="177">
        <v>21513</v>
      </c>
      <c r="C91" s="4" vm="1880">
        <v>1421.05</v>
      </c>
      <c r="D91" s="4" vm="1881">
        <v>3884.25</v>
      </c>
      <c r="E91" s="4" vm="1882">
        <v>1309.6500000000001</v>
      </c>
      <c r="F91" s="4" vm="1883">
        <v>132.85</v>
      </c>
      <c r="G91" s="4" vm="1884">
        <v>53.14</v>
      </c>
      <c r="H91" s="4">
        <f t="shared" si="2"/>
        <v>0</v>
      </c>
    </row>
    <row r="92" spans="1:8" x14ac:dyDescent="0.3">
      <c r="A92" vm="178">
        <v>45300</v>
      </c>
      <c r="B92" s="4" vm="179">
        <v>21544.85</v>
      </c>
      <c r="C92" s="4" vm="1885">
        <v>1449.35</v>
      </c>
      <c r="D92" s="4" vm="1886">
        <v>3870.45</v>
      </c>
      <c r="E92" s="4" vm="1887">
        <v>1296.3</v>
      </c>
      <c r="F92" s="4" vm="1888">
        <v>134.30000000000001</v>
      </c>
      <c r="G92" s="4" vm="1889">
        <v>52.85</v>
      </c>
      <c r="H92" s="4">
        <f t="shared" si="2"/>
        <v>0</v>
      </c>
    </row>
    <row r="93" spans="1:8" x14ac:dyDescent="0.3">
      <c r="A93" vm="180">
        <v>45301</v>
      </c>
      <c r="B93" s="4" vm="181">
        <v>21618.7</v>
      </c>
      <c r="C93" s="4" vm="1890">
        <v>1451.45</v>
      </c>
      <c r="D93" s="4" vm="1891">
        <v>3842.55</v>
      </c>
      <c r="E93" s="4" vm="1892">
        <v>1289.05</v>
      </c>
      <c r="F93" s="4" vm="1893">
        <v>134.65</v>
      </c>
      <c r="G93" s="4" vm="1894">
        <v>53.02</v>
      </c>
      <c r="H93" s="4">
        <f t="shared" si="2"/>
        <v>0</v>
      </c>
    </row>
    <row r="94" spans="1:8" x14ac:dyDescent="0.3">
      <c r="A94" vm="182">
        <v>45302</v>
      </c>
      <c r="B94" s="4" vm="183">
        <v>21647.200000000001</v>
      </c>
      <c r="C94" s="4" vm="1895">
        <v>1427.8</v>
      </c>
      <c r="D94" s="4" vm="1896">
        <v>3888.8</v>
      </c>
      <c r="E94" s="4" vm="1897">
        <v>1278.5999999999999</v>
      </c>
      <c r="F94" s="4" vm="1898">
        <v>138.35</v>
      </c>
      <c r="G94" s="4" vm="1899">
        <v>52.92</v>
      </c>
      <c r="H94" s="4">
        <f t="shared" si="2"/>
        <v>0</v>
      </c>
    </row>
    <row r="95" spans="1:8" x14ac:dyDescent="0.3">
      <c r="A95" vm="184">
        <v>45303</v>
      </c>
      <c r="B95" s="4" vm="185">
        <v>21894.55</v>
      </c>
      <c r="C95" s="4" vm="1846">
        <v>1435.3</v>
      </c>
      <c r="D95" s="4" vm="1900">
        <v>3870.85</v>
      </c>
      <c r="E95" s="4" vm="1901">
        <v>1274.8</v>
      </c>
      <c r="F95" s="4" vm="1902">
        <v>139.55000000000001</v>
      </c>
      <c r="G95" s="4" vm="1903">
        <v>52.84</v>
      </c>
      <c r="H95" s="4">
        <f t="shared" si="2"/>
        <v>0</v>
      </c>
    </row>
    <row r="96" spans="1:8" x14ac:dyDescent="0.3">
      <c r="A96" vm="186">
        <v>45306</v>
      </c>
      <c r="B96" s="4" vm="187">
        <v>22097.45</v>
      </c>
      <c r="C96" s="4" vm="1904">
        <v>1430.05</v>
      </c>
      <c r="D96" s="4" vm="1905">
        <v>3832.1</v>
      </c>
      <c r="E96" s="4" vm="1906">
        <v>1273.7750000000001</v>
      </c>
      <c r="F96" s="4" vm="1907">
        <v>133.4</v>
      </c>
      <c r="G96" s="4" vm="1908">
        <v>52.99</v>
      </c>
      <c r="H96" s="4">
        <f t="shared" si="2"/>
        <v>0</v>
      </c>
    </row>
    <row r="97" spans="1:8" x14ac:dyDescent="0.3">
      <c r="A97" vm="188">
        <v>45307</v>
      </c>
      <c r="B97" s="4" vm="189">
        <v>22032.3</v>
      </c>
      <c r="C97" s="4" vm="1909">
        <v>1408.8</v>
      </c>
      <c r="D97" s="4" vm="1910">
        <v>3792.3</v>
      </c>
      <c r="E97" s="4" vm="1911">
        <v>1271.0250000000001</v>
      </c>
      <c r="F97" s="4" vm="1912">
        <v>133.55000000000001</v>
      </c>
      <c r="G97" s="4" vm="1913">
        <v>53.25</v>
      </c>
      <c r="H97" s="4">
        <f t="shared" si="2"/>
        <v>0</v>
      </c>
    </row>
    <row r="98" spans="1:8" x14ac:dyDescent="0.3">
      <c r="A98" vm="190">
        <v>45308</v>
      </c>
      <c r="B98" s="4" vm="191">
        <v>21571.95</v>
      </c>
      <c r="C98" s="4" vm="1914">
        <v>1421.15</v>
      </c>
      <c r="D98" s="4" vm="1915">
        <v>3751.1</v>
      </c>
      <c r="E98" s="4" vm="1916">
        <v>1271.55</v>
      </c>
      <c r="F98" s="4" vm="1917">
        <v>127.4</v>
      </c>
      <c r="G98" s="4" vm="1762">
        <v>53.05</v>
      </c>
      <c r="H98" s="4">
        <f t="shared" si="2"/>
        <v>0</v>
      </c>
    </row>
    <row r="99" spans="1:8" x14ac:dyDescent="0.3">
      <c r="A99" vm="192">
        <v>45309</v>
      </c>
      <c r="B99" s="4" vm="193">
        <v>21462.25</v>
      </c>
      <c r="C99" s="4" vm="1918">
        <v>1404.9</v>
      </c>
      <c r="D99" s="4" vm="1919">
        <v>3691.15</v>
      </c>
      <c r="E99" s="4" vm="1920">
        <v>1251</v>
      </c>
      <c r="F99" s="4" vm="1921">
        <v>129.44999999999999</v>
      </c>
      <c r="G99" s="4" vm="1922">
        <v>52.67</v>
      </c>
      <c r="H99" s="4">
        <f t="shared" si="2"/>
        <v>0</v>
      </c>
    </row>
    <row r="100" spans="1:8" x14ac:dyDescent="0.3">
      <c r="A100" vm="194">
        <v>45310</v>
      </c>
      <c r="B100" s="4" vm="195">
        <v>21622.400000000001</v>
      </c>
      <c r="C100" s="4" vm="1923">
        <v>1440.6</v>
      </c>
      <c r="D100" s="4" vm="1924">
        <v>3699.45</v>
      </c>
      <c r="E100" s="4" vm="1925">
        <v>1257.075</v>
      </c>
      <c r="F100" s="4" vm="1926">
        <v>135.05000000000001</v>
      </c>
      <c r="G100" s="4" vm="1821">
        <v>52.49</v>
      </c>
      <c r="H100" s="4">
        <f t="shared" si="2"/>
        <v>0</v>
      </c>
    </row>
    <row r="101" spans="1:8" x14ac:dyDescent="0.3">
      <c r="A101" vm="196">
        <v>45311</v>
      </c>
      <c r="B101" s="4" vm="197">
        <v>21571.8</v>
      </c>
      <c r="C101" s="4" vm="1927">
        <v>1442.2</v>
      </c>
      <c r="D101" s="4" vm="1928">
        <v>3697.6</v>
      </c>
      <c r="E101" s="4" vm="1929">
        <v>1239.9749999999999</v>
      </c>
      <c r="F101" s="4" vm="1930">
        <v>133.1</v>
      </c>
      <c r="G101" s="4" vm="1903">
        <v>52.84</v>
      </c>
      <c r="H101" s="4">
        <f t="shared" si="2"/>
        <v>0</v>
      </c>
    </row>
    <row r="102" spans="1:8" x14ac:dyDescent="0.3">
      <c r="A102" vm="198">
        <v>45314</v>
      </c>
      <c r="B102" s="4" vm="199">
        <v>21238.799999999999</v>
      </c>
      <c r="C102" s="4" vm="1931">
        <v>1375.5</v>
      </c>
      <c r="D102" s="4" vm="1932">
        <v>3616.7</v>
      </c>
      <c r="E102" s="4" vm="1933">
        <v>1231.45</v>
      </c>
      <c r="F102" s="4" vm="1934">
        <v>130.1</v>
      </c>
      <c r="G102" s="4" vm="1835">
        <v>52.86</v>
      </c>
      <c r="H102" s="4">
        <f t="shared" si="2"/>
        <v>0</v>
      </c>
    </row>
    <row r="103" spans="1:8" x14ac:dyDescent="0.3">
      <c r="A103" vm="200">
        <v>45315</v>
      </c>
      <c r="B103" s="4" vm="201">
        <v>21453.95</v>
      </c>
      <c r="C103" s="4" vm="1935">
        <v>1410.55</v>
      </c>
      <c r="D103" s="4" vm="1936">
        <v>3635</v>
      </c>
      <c r="E103" s="4" vm="1937">
        <v>1256.9749999999999</v>
      </c>
      <c r="F103" s="4" vm="1938">
        <v>136.19999999999999</v>
      </c>
      <c r="G103" s="4" vm="1835">
        <v>52.86</v>
      </c>
      <c r="H103" s="4">
        <f t="shared" si="2"/>
        <v>0</v>
      </c>
    </row>
    <row r="104" spans="1:8" x14ac:dyDescent="0.3">
      <c r="A104" vm="202">
        <v>45316</v>
      </c>
      <c r="B104" s="4" vm="203">
        <v>21352.6</v>
      </c>
      <c r="C104" s="4" vm="1939">
        <v>1380.9</v>
      </c>
      <c r="D104" s="4" vm="1940">
        <v>3616.45</v>
      </c>
      <c r="E104" s="4" vm="1941">
        <v>1241.075</v>
      </c>
      <c r="F104" s="4" vm="1942">
        <v>136.15</v>
      </c>
      <c r="G104" s="4" vm="1943">
        <v>52.91</v>
      </c>
      <c r="H104" s="4">
        <f t="shared" si="2"/>
        <v>0</v>
      </c>
    </row>
    <row r="105" spans="1:8" x14ac:dyDescent="0.3">
      <c r="A105" vm="204">
        <v>45320</v>
      </c>
      <c r="B105" s="4" vm="205">
        <v>21737.599999999999</v>
      </c>
      <c r="C105" s="4" vm="1944">
        <v>1418.4</v>
      </c>
      <c r="D105" s="4" vm="1945">
        <v>3669.05</v>
      </c>
      <c r="E105" s="4" vm="1946">
        <v>1249.2750000000001</v>
      </c>
      <c r="F105" s="4" vm="1947">
        <v>135.55000000000001</v>
      </c>
      <c r="G105" s="4" vm="1948">
        <v>52.72</v>
      </c>
      <c r="H105" s="4">
        <f t="shared" si="2"/>
        <v>0</v>
      </c>
    </row>
    <row r="106" spans="1:8" x14ac:dyDescent="0.3">
      <c r="A106" vm="206">
        <v>45321</v>
      </c>
      <c r="B106" s="4" vm="207">
        <v>21522.1</v>
      </c>
      <c r="C106" s="4" vm="1949">
        <v>1399</v>
      </c>
      <c r="D106" s="4" vm="1950">
        <v>3704.75</v>
      </c>
      <c r="E106" s="4" vm="1951">
        <v>1246.0250000000001</v>
      </c>
      <c r="F106" s="4" vm="1952">
        <v>137.19999999999999</v>
      </c>
      <c r="G106" s="4" vm="1953">
        <v>52.97</v>
      </c>
      <c r="H106" s="4">
        <f t="shared" si="2"/>
        <v>0</v>
      </c>
    </row>
    <row r="107" spans="1:8" x14ac:dyDescent="0.3">
      <c r="A107" vm="208">
        <v>45322</v>
      </c>
      <c r="B107" s="4" vm="209">
        <v>21725.7</v>
      </c>
      <c r="C107" s="4" vm="1954">
        <v>1401.15</v>
      </c>
      <c r="D107" s="4" vm="1955">
        <v>3839.6</v>
      </c>
      <c r="E107" s="4" vm="1956">
        <v>1253</v>
      </c>
      <c r="F107" s="4" vm="1902">
        <v>139.55000000000001</v>
      </c>
      <c r="G107" s="4" vm="1957">
        <v>53.13</v>
      </c>
      <c r="H107" s="4">
        <f t="shared" si="2"/>
        <v>0</v>
      </c>
    </row>
    <row r="108" spans="1:8" x14ac:dyDescent="0.3">
      <c r="A108" vm="210">
        <v>45323</v>
      </c>
      <c r="B108" s="4" vm="211">
        <v>21697.45</v>
      </c>
      <c r="C108" s="4" vm="1958">
        <v>1432.75</v>
      </c>
      <c r="D108" s="4" vm="1959">
        <v>3933.2</v>
      </c>
      <c r="E108" s="4" vm="1960">
        <v>1233.9000000000001</v>
      </c>
      <c r="F108" s="4" vm="1961">
        <v>140.55000000000001</v>
      </c>
      <c r="G108" s="4" vm="1962">
        <v>53.35</v>
      </c>
      <c r="H108" s="4">
        <f t="shared" si="2"/>
        <v>0</v>
      </c>
    </row>
    <row r="109" spans="1:8" x14ac:dyDescent="0.3">
      <c r="A109" vm="212">
        <v>45324</v>
      </c>
      <c r="B109" s="4" vm="213">
        <v>21853.8</v>
      </c>
      <c r="C109" s="4" vm="1963">
        <v>1435.45</v>
      </c>
      <c r="D109" s="4" vm="1964">
        <v>3825.55</v>
      </c>
      <c r="E109" s="4" vm="1965">
        <v>1240.7</v>
      </c>
      <c r="F109" s="4" vm="1966">
        <v>143.80000000000001</v>
      </c>
      <c r="G109" s="4" vm="1845">
        <v>53.46</v>
      </c>
      <c r="H109" s="4">
        <f t="shared" si="2"/>
        <v>0</v>
      </c>
    </row>
    <row r="110" spans="1:8" x14ac:dyDescent="0.3">
      <c r="A110" vm="214">
        <v>45327</v>
      </c>
      <c r="B110" s="4" vm="215">
        <v>21771.7</v>
      </c>
      <c r="C110" s="4" vm="1967">
        <v>1419.85</v>
      </c>
      <c r="D110" s="4" vm="1968">
        <v>3889.95</v>
      </c>
      <c r="E110" s="4" vm="1969">
        <v>1231.3499999999999</v>
      </c>
      <c r="F110" s="4" vm="1970">
        <v>140.25</v>
      </c>
      <c r="G110" s="4" vm="1971">
        <v>53.58</v>
      </c>
      <c r="H110" s="4">
        <f t="shared" si="2"/>
        <v>0</v>
      </c>
    </row>
    <row r="111" spans="1:8" x14ac:dyDescent="0.3">
      <c r="A111" vm="216">
        <v>45328</v>
      </c>
      <c r="B111" s="4" vm="217">
        <v>21929.4</v>
      </c>
      <c r="C111" s="4" vm="1972">
        <v>1464</v>
      </c>
      <c r="D111" s="4" vm="1973">
        <v>3944.6</v>
      </c>
      <c r="E111" s="4" vm="1974">
        <v>1228.325</v>
      </c>
      <c r="F111" s="4" vm="1975">
        <v>139.94999999999999</v>
      </c>
      <c r="G111" s="4" vm="1976">
        <v>52.98</v>
      </c>
      <c r="H111" s="4">
        <f t="shared" si="2"/>
        <v>0</v>
      </c>
    </row>
    <row r="112" spans="1:8" x14ac:dyDescent="0.3">
      <c r="A112" vm="218">
        <v>45329</v>
      </c>
      <c r="B112" s="4" vm="219">
        <v>21930.5</v>
      </c>
      <c r="C112" s="4" vm="1977">
        <v>1469.45</v>
      </c>
      <c r="D112" s="4" vm="1978">
        <v>3927.65</v>
      </c>
      <c r="E112" s="4" vm="1979">
        <v>1249.8</v>
      </c>
      <c r="F112" s="4" vm="1980">
        <v>140.4</v>
      </c>
      <c r="G112" s="4" vm="1781">
        <v>52.94</v>
      </c>
      <c r="H112" s="4">
        <f t="shared" si="2"/>
        <v>0</v>
      </c>
    </row>
    <row r="113" spans="1:8" x14ac:dyDescent="0.3">
      <c r="A113" vm="220">
        <v>45330</v>
      </c>
      <c r="B113" s="4" vm="221">
        <v>21717.95</v>
      </c>
      <c r="C113" s="4" vm="1981">
        <v>1459.05</v>
      </c>
      <c r="D113" s="4" vm="1982">
        <v>3807.3</v>
      </c>
      <c r="E113" s="4" vm="1983">
        <v>1211.5250000000001</v>
      </c>
      <c r="F113" s="4" vm="1984">
        <v>144.1</v>
      </c>
      <c r="G113" s="4" vm="1985">
        <v>53.21</v>
      </c>
      <c r="H113" s="4">
        <f t="shared" si="2"/>
        <v>0</v>
      </c>
    </row>
    <row r="114" spans="1:8" x14ac:dyDescent="0.3">
      <c r="A114" vm="222">
        <v>45331</v>
      </c>
      <c r="B114" s="4" vm="223">
        <v>21782.5</v>
      </c>
      <c r="C114" s="4" vm="1986">
        <v>1439.7</v>
      </c>
      <c r="D114" s="4" vm="1987">
        <v>3840.95</v>
      </c>
      <c r="E114" s="4" vm="1988">
        <v>1225.05</v>
      </c>
      <c r="F114" s="4" vm="1989">
        <v>149.44999999999999</v>
      </c>
      <c r="G114" s="4" vm="1762">
        <v>53.05</v>
      </c>
      <c r="H114" s="4">
        <f t="shared" si="2"/>
        <v>0</v>
      </c>
    </row>
    <row r="115" spans="1:8" x14ac:dyDescent="0.3">
      <c r="A115" vm="224">
        <v>45334</v>
      </c>
      <c r="B115" s="4" vm="225">
        <v>21616.05</v>
      </c>
      <c r="C115" s="4" vm="1990">
        <v>1436</v>
      </c>
      <c r="D115" s="4" vm="1991">
        <v>3871.85</v>
      </c>
      <c r="E115" s="4" vm="1992">
        <v>1229.5250000000001</v>
      </c>
      <c r="F115" s="4" vm="1993">
        <v>153.80000000000001</v>
      </c>
      <c r="G115" s="4" vm="1762">
        <v>53.05</v>
      </c>
      <c r="H115" s="4">
        <f t="shared" si="2"/>
        <v>0</v>
      </c>
    </row>
    <row r="116" spans="1:8" x14ac:dyDescent="0.3">
      <c r="A116" vm="226">
        <v>45335</v>
      </c>
      <c r="B116" s="4" vm="227">
        <v>21743.25</v>
      </c>
      <c r="C116" s="4" vm="1994">
        <v>1467.6</v>
      </c>
      <c r="D116" s="4" vm="1995">
        <v>3854.2</v>
      </c>
      <c r="E116" s="4" vm="1996">
        <v>1228.675</v>
      </c>
      <c r="F116" s="4" vm="1997">
        <v>154.75</v>
      </c>
      <c r="G116" s="4" vm="1998">
        <v>52.79</v>
      </c>
      <c r="H116" s="4">
        <f t="shared" si="2"/>
        <v>0</v>
      </c>
    </row>
    <row r="117" spans="1:8" x14ac:dyDescent="0.3">
      <c r="A117" vm="228">
        <v>45336</v>
      </c>
      <c r="B117" s="4" vm="229">
        <v>21840.05</v>
      </c>
      <c r="C117" s="4" vm="1999">
        <v>1453.7</v>
      </c>
      <c r="D117" s="4" vm="2000">
        <v>3901.55</v>
      </c>
      <c r="E117" s="4" vm="2001">
        <v>1243.5</v>
      </c>
      <c r="F117" s="4" vm="2002">
        <v>152.25</v>
      </c>
      <c r="G117" s="4" vm="1816">
        <v>52.81</v>
      </c>
      <c r="H117" s="4">
        <f t="shared" si="2"/>
        <v>0</v>
      </c>
    </row>
    <row r="118" spans="1:8" x14ac:dyDescent="0.3">
      <c r="A118" vm="230">
        <v>45337</v>
      </c>
      <c r="B118" s="4" vm="231">
        <v>21910.75</v>
      </c>
      <c r="C118" s="4" vm="2003">
        <v>1453.35</v>
      </c>
      <c r="D118" s="4" vm="2004">
        <v>3916.55</v>
      </c>
      <c r="E118" s="4" vm="2005">
        <v>1226.7750000000001</v>
      </c>
      <c r="F118" s="4" vm="2006">
        <v>154.85</v>
      </c>
      <c r="G118" s="4" vm="2007">
        <v>52.1</v>
      </c>
      <c r="H118" s="4">
        <f t="shared" si="2"/>
        <v>0</v>
      </c>
    </row>
    <row r="119" spans="1:8" x14ac:dyDescent="0.3">
      <c r="A119" vm="232">
        <v>45338</v>
      </c>
      <c r="B119" s="4" vm="233">
        <v>22040.7</v>
      </c>
      <c r="C119" s="4" vm="2008">
        <v>1508.45</v>
      </c>
      <c r="D119" s="4" vm="2009">
        <v>3928.65</v>
      </c>
      <c r="E119" s="4" vm="2010">
        <v>1243.825</v>
      </c>
      <c r="F119" s="4" vm="2011">
        <v>156.69999999999999</v>
      </c>
      <c r="G119" s="4" vm="1743">
        <v>52.17</v>
      </c>
      <c r="H119" s="4">
        <f t="shared" si="2"/>
        <v>0</v>
      </c>
    </row>
    <row r="120" spans="1:8" x14ac:dyDescent="0.3">
      <c r="A120" vm="234">
        <v>45341</v>
      </c>
      <c r="B120" s="4" vm="235">
        <v>22122.25</v>
      </c>
      <c r="C120" s="4" vm="2012">
        <v>1488.85</v>
      </c>
      <c r="D120" s="4" vm="2013">
        <v>3902.85</v>
      </c>
      <c r="E120" s="4" vm="2014">
        <v>1256.625</v>
      </c>
      <c r="F120" s="4" vm="2015">
        <v>157.5</v>
      </c>
      <c r="G120" s="4" vm="2016">
        <v>52.35</v>
      </c>
      <c r="H120" s="4">
        <f t="shared" si="2"/>
        <v>0</v>
      </c>
    </row>
    <row r="121" spans="1:8" x14ac:dyDescent="0.3">
      <c r="A121" vm="236">
        <v>45342</v>
      </c>
      <c r="B121" s="4" vm="237">
        <v>22196.95</v>
      </c>
      <c r="C121" s="4" vm="2017">
        <v>1513.55</v>
      </c>
      <c r="D121" s="4" vm="2018">
        <v>3828.1</v>
      </c>
      <c r="E121" s="4" vm="2019">
        <v>1269.7</v>
      </c>
      <c r="F121" s="4" vm="2020">
        <v>161.05000000000001</v>
      </c>
      <c r="G121" s="4" vm="2021">
        <v>52.64</v>
      </c>
      <c r="H121" s="4">
        <f t="shared" si="2"/>
        <v>0</v>
      </c>
    </row>
    <row r="122" spans="1:8" x14ac:dyDescent="0.3">
      <c r="A122" vm="238">
        <v>45343</v>
      </c>
      <c r="B122" s="4" vm="239">
        <v>22055.05</v>
      </c>
      <c r="C122" s="4" vm="2022">
        <v>1501.7</v>
      </c>
      <c r="D122" s="4" vm="2023">
        <v>3836.35</v>
      </c>
      <c r="E122" s="4" vm="2024">
        <v>1271.8</v>
      </c>
      <c r="F122" s="4" vm="2025">
        <v>158.65</v>
      </c>
      <c r="G122" s="4" vm="2026">
        <v>52.56</v>
      </c>
      <c r="H122" s="4">
        <f t="shared" si="2"/>
        <v>0</v>
      </c>
    </row>
    <row r="123" spans="1:8" x14ac:dyDescent="0.3">
      <c r="A123" vm="240">
        <v>45344</v>
      </c>
      <c r="B123" s="4" vm="241">
        <v>22217.45</v>
      </c>
      <c r="C123" s="4" vm="2027">
        <v>1509.65</v>
      </c>
      <c r="D123" s="4" vm="2028">
        <v>3951.4</v>
      </c>
      <c r="E123" s="4" vm="2029">
        <v>1281.575</v>
      </c>
      <c r="F123" s="4" vm="2030">
        <v>162.1</v>
      </c>
      <c r="G123" s="4" vm="2021">
        <v>52.64</v>
      </c>
      <c r="H123" s="4">
        <f t="shared" si="2"/>
        <v>0</v>
      </c>
    </row>
    <row r="124" spans="1:8" x14ac:dyDescent="0.3">
      <c r="A124" vm="242">
        <v>45345</v>
      </c>
      <c r="B124" s="4" vm="243">
        <v>22212.7</v>
      </c>
      <c r="C124" s="4" vm="2031">
        <v>1529.15</v>
      </c>
      <c r="D124" s="4" vm="2032">
        <v>3927.05</v>
      </c>
      <c r="E124" s="4" vm="2033">
        <v>1289.5</v>
      </c>
      <c r="F124" s="4" vm="2034">
        <v>164.05</v>
      </c>
      <c r="G124" s="4" vm="1948">
        <v>52.72</v>
      </c>
      <c r="H124" s="4">
        <f t="shared" si="2"/>
        <v>0</v>
      </c>
    </row>
    <row r="125" spans="1:8" x14ac:dyDescent="0.3">
      <c r="A125" vm="244">
        <v>45348</v>
      </c>
      <c r="B125" s="4" vm="245">
        <v>22122.05</v>
      </c>
      <c r="C125" s="4" vm="2035">
        <v>1549.15</v>
      </c>
      <c r="D125" s="4" vm="2036">
        <v>3952.95</v>
      </c>
      <c r="E125" s="4" vm="2037">
        <v>1291.95</v>
      </c>
      <c r="F125" s="4" vm="2038">
        <v>164.2</v>
      </c>
      <c r="G125" s="4" vm="2039">
        <v>52.44</v>
      </c>
      <c r="H125" s="4">
        <f t="shared" si="2"/>
        <v>0</v>
      </c>
    </row>
    <row r="126" spans="1:8" x14ac:dyDescent="0.3">
      <c r="A126" vm="246">
        <v>45349</v>
      </c>
      <c r="B126" s="4" vm="247">
        <v>22198.35</v>
      </c>
      <c r="C126" s="4" vm="2040">
        <v>1542.7</v>
      </c>
      <c r="D126" s="4" vm="2041">
        <v>4002.75</v>
      </c>
      <c r="E126" s="4" vm="2042">
        <v>1299.3499999999999</v>
      </c>
      <c r="F126" s="4" vm="2043">
        <v>161.30000000000001</v>
      </c>
      <c r="G126" s="4" vm="2044">
        <v>52.71</v>
      </c>
      <c r="H126" s="4">
        <f t="shared" si="2"/>
        <v>0</v>
      </c>
    </row>
    <row r="127" spans="1:8" x14ac:dyDescent="0.3">
      <c r="A127" vm="248">
        <v>45350</v>
      </c>
      <c r="B127" s="4" vm="249">
        <v>21951.15</v>
      </c>
      <c r="C127" s="4" vm="2045">
        <v>1540.2</v>
      </c>
      <c r="D127" s="4" vm="2046">
        <v>3863.75</v>
      </c>
      <c r="E127" s="4" vm="2047">
        <v>1285.45</v>
      </c>
      <c r="F127" s="4" vm="2048">
        <v>159.35</v>
      </c>
      <c r="G127" s="4" vm="1998">
        <v>52.79</v>
      </c>
      <c r="H127" s="4">
        <f t="shared" si="2"/>
        <v>0</v>
      </c>
    </row>
    <row r="128" spans="1:8" x14ac:dyDescent="0.3">
      <c r="A128" vm="250">
        <v>45351</v>
      </c>
      <c r="B128" s="4" vm="251">
        <v>21982.799999999999</v>
      </c>
      <c r="C128" s="4" vm="2049">
        <v>1552.55</v>
      </c>
      <c r="D128" s="4" vm="2050">
        <v>3792.4</v>
      </c>
      <c r="E128" s="4" vm="2051">
        <v>1298.0999999999999</v>
      </c>
      <c r="F128" s="4" vm="2052">
        <v>165.45</v>
      </c>
      <c r="G128" s="4" vm="2053">
        <v>52.6</v>
      </c>
      <c r="H128" s="4">
        <f t="shared" si="2"/>
        <v>0</v>
      </c>
    </row>
    <row r="129" spans="1:8" x14ac:dyDescent="0.3">
      <c r="A129" vm="252">
        <v>45352</v>
      </c>
      <c r="B129" s="4" vm="253">
        <v>22338.75</v>
      </c>
      <c r="C129" s="4" vm="2054">
        <v>1542.15</v>
      </c>
      <c r="D129" s="4" vm="2055">
        <v>3843.55</v>
      </c>
      <c r="E129" s="4" vm="2056">
        <v>1300.7249999999999</v>
      </c>
      <c r="F129" s="4" vm="2057">
        <v>166.5</v>
      </c>
      <c r="G129" s="4" vm="2058">
        <v>52.78</v>
      </c>
      <c r="H129" s="4">
        <f t="shared" si="2"/>
        <v>0</v>
      </c>
    </row>
    <row r="130" spans="1:8" x14ac:dyDescent="0.3">
      <c r="A130" vm="254">
        <v>45353</v>
      </c>
      <c r="B130" s="4" vm="255">
        <v>22378.400000000001</v>
      </c>
      <c r="C130" s="4" vm="2059">
        <v>1546.8</v>
      </c>
      <c r="D130" s="4" vm="2060">
        <v>3860.35</v>
      </c>
      <c r="E130" s="4" vm="2061">
        <v>1297.45</v>
      </c>
      <c r="F130" s="4" vm="2062">
        <v>167.65</v>
      </c>
      <c r="G130" s="4" vm="2063">
        <v>52.9</v>
      </c>
      <c r="H130" s="4">
        <f t="shared" si="2"/>
        <v>0</v>
      </c>
    </row>
    <row r="131" spans="1:8" x14ac:dyDescent="0.3">
      <c r="A131" vm="256">
        <v>45355</v>
      </c>
      <c r="B131" s="4" vm="257">
        <v>22405.599999999999</v>
      </c>
      <c r="C131" s="4" vm="2064">
        <v>1517.95</v>
      </c>
      <c r="D131" s="4" vm="2065">
        <v>3751.45</v>
      </c>
      <c r="E131" s="4" vm="2066">
        <v>1294.55</v>
      </c>
      <c r="F131" s="4" vm="2067">
        <v>169.8</v>
      </c>
      <c r="G131" s="4" vm="2068">
        <v>53.56</v>
      </c>
      <c r="H131" s="4">
        <f t="shared" si="2"/>
        <v>0</v>
      </c>
    </row>
    <row r="132" spans="1:8" x14ac:dyDescent="0.3">
      <c r="A132" vm="258">
        <v>45356</v>
      </c>
      <c r="B132" s="4" vm="259">
        <v>22356.3</v>
      </c>
      <c r="C132" s="4" vm="2069">
        <v>1491.25</v>
      </c>
      <c r="D132" s="4" vm="2070">
        <v>3791.9</v>
      </c>
      <c r="E132" s="4" vm="2071">
        <v>1269.325</v>
      </c>
      <c r="F132" s="4" vm="2072">
        <v>165.85</v>
      </c>
      <c r="G132" s="4" vm="2073">
        <v>53.89</v>
      </c>
      <c r="H132" s="4">
        <f t="shared" si="2"/>
        <v>0</v>
      </c>
    </row>
    <row r="133" spans="1:8" x14ac:dyDescent="0.3">
      <c r="A133" vm="260">
        <v>45357</v>
      </c>
      <c r="B133" s="4" vm="261">
        <v>22474.05</v>
      </c>
      <c r="C133" s="4" vm="2074">
        <v>1520.4</v>
      </c>
      <c r="D133" s="4" vm="2075">
        <v>3793.2</v>
      </c>
      <c r="E133" s="4" vm="2076">
        <v>1266.5250000000001</v>
      </c>
      <c r="F133" s="4" vm="2077">
        <v>161.55000000000001</v>
      </c>
      <c r="G133" s="4" vm="2078">
        <v>54.62</v>
      </c>
      <c r="H133" s="4">
        <f t="shared" ref="H133:H196" si="3">SUMPRODUCT($C$3:$G$3,C133:G133)</f>
        <v>0</v>
      </c>
    </row>
    <row r="134" spans="1:8" x14ac:dyDescent="0.3">
      <c r="A134" vm="262">
        <v>45358</v>
      </c>
      <c r="B134" s="4" vm="263">
        <v>22493.55</v>
      </c>
      <c r="C134" s="4" vm="2079">
        <v>1510.4</v>
      </c>
      <c r="D134" s="4" vm="2080">
        <v>3785.25</v>
      </c>
      <c r="E134" s="4" vm="2081">
        <v>1280.4749999999999</v>
      </c>
      <c r="F134" s="4" vm="2082">
        <v>160</v>
      </c>
      <c r="G134" s="4" vm="2083">
        <v>54.72</v>
      </c>
      <c r="H134" s="4">
        <f t="shared" si="3"/>
        <v>0</v>
      </c>
    </row>
    <row r="135" spans="1:8" x14ac:dyDescent="0.3">
      <c r="A135" vm="264">
        <v>45362</v>
      </c>
      <c r="B135" s="4" vm="265">
        <v>22332.65</v>
      </c>
      <c r="C135" s="4" vm="2084">
        <v>1532.1</v>
      </c>
      <c r="D135" s="4" vm="2085">
        <v>3783.9</v>
      </c>
      <c r="E135" s="4" vm="2086">
        <v>1305.75</v>
      </c>
      <c r="F135" s="4" vm="2006">
        <v>154.85</v>
      </c>
      <c r="G135" s="4" vm="2087">
        <v>55.44</v>
      </c>
      <c r="H135" s="4">
        <f t="shared" si="3"/>
        <v>0</v>
      </c>
    </row>
    <row r="136" spans="1:8" x14ac:dyDescent="0.3">
      <c r="A136" vm="266">
        <v>45363</v>
      </c>
      <c r="B136" s="4" vm="267">
        <v>22335.7</v>
      </c>
      <c r="C136" s="4" vm="2088">
        <v>1516.4</v>
      </c>
      <c r="D136" s="4" vm="2089">
        <v>3810.75</v>
      </c>
      <c r="E136" s="4" vm="2090">
        <v>1295.075</v>
      </c>
      <c r="F136" s="4" vm="2091">
        <v>156.9</v>
      </c>
      <c r="G136" s="4" vm="2092">
        <v>56.01</v>
      </c>
      <c r="H136" s="4">
        <f t="shared" si="3"/>
        <v>0</v>
      </c>
    </row>
    <row r="137" spans="1:8" x14ac:dyDescent="0.3">
      <c r="A137" vm="268">
        <v>45364</v>
      </c>
      <c r="B137" s="4" vm="269">
        <v>21997.7</v>
      </c>
      <c r="C137" s="4" vm="2093">
        <v>1487.35</v>
      </c>
      <c r="D137" s="4" vm="2094">
        <v>3735.55</v>
      </c>
      <c r="E137" s="4" vm="2095">
        <v>1291.4749999999999</v>
      </c>
      <c r="F137" s="4" vm="2096">
        <v>148.65</v>
      </c>
      <c r="G137" s="4" vm="2097">
        <v>55.94</v>
      </c>
      <c r="H137" s="4">
        <f t="shared" si="3"/>
        <v>0</v>
      </c>
    </row>
    <row r="138" spans="1:8" x14ac:dyDescent="0.3">
      <c r="A138" vm="270">
        <v>45365</v>
      </c>
      <c r="B138" s="4" vm="271">
        <v>22146.65</v>
      </c>
      <c r="C138" s="4" vm="2098">
        <v>1505.85</v>
      </c>
      <c r="D138" s="4" vm="2099">
        <v>3772.65</v>
      </c>
      <c r="E138" s="4" vm="2100">
        <v>1306.375</v>
      </c>
      <c r="F138" s="4" vm="2101">
        <v>152.75</v>
      </c>
      <c r="G138" s="4" vm="2102">
        <v>55.47</v>
      </c>
      <c r="H138" s="4">
        <f t="shared" si="3"/>
        <v>0</v>
      </c>
    </row>
    <row r="139" spans="1:8" x14ac:dyDescent="0.3">
      <c r="A139" vm="272">
        <v>45366</v>
      </c>
      <c r="B139" s="4" vm="273">
        <v>22023.35</v>
      </c>
      <c r="C139" s="4" vm="2103">
        <v>1500</v>
      </c>
      <c r="D139" s="4" vm="2104">
        <v>3745.65</v>
      </c>
      <c r="E139" s="4" vm="2105">
        <v>1301.825</v>
      </c>
      <c r="F139" s="4" vm="2106">
        <v>160.05000000000001</v>
      </c>
      <c r="G139" s="4" vm="2107">
        <v>55.84</v>
      </c>
      <c r="H139" s="4">
        <f t="shared" si="3"/>
        <v>0</v>
      </c>
    </row>
    <row r="140" spans="1:8" x14ac:dyDescent="0.3">
      <c r="A140" vm="274">
        <v>45369</v>
      </c>
      <c r="B140" s="4" vm="275">
        <v>22055.7</v>
      </c>
      <c r="C140" s="4" vm="2108">
        <v>1489.7</v>
      </c>
      <c r="D140" s="4" vm="2109">
        <v>3699.7</v>
      </c>
      <c r="E140" s="4" vm="2110">
        <v>1290.175</v>
      </c>
      <c r="F140" s="4" vm="2111">
        <v>158.25</v>
      </c>
      <c r="G140" s="4" vm="2112">
        <v>55.73</v>
      </c>
      <c r="H140" s="4">
        <f t="shared" si="3"/>
        <v>0</v>
      </c>
    </row>
    <row r="141" spans="1:8" x14ac:dyDescent="0.3">
      <c r="A141" vm="276">
        <v>45370</v>
      </c>
      <c r="B141" s="4" vm="277">
        <v>21817.45</v>
      </c>
      <c r="C141" s="4" vm="2113">
        <v>1461.35</v>
      </c>
      <c r="D141" s="4" vm="2114">
        <v>3716.85</v>
      </c>
      <c r="E141" s="4" vm="2115">
        <v>1248.0250000000001</v>
      </c>
      <c r="F141" s="4" vm="2116">
        <v>157.94999999999999</v>
      </c>
      <c r="G141" s="4" vm="2117">
        <v>55.5</v>
      </c>
      <c r="H141" s="4">
        <f t="shared" si="3"/>
        <v>0</v>
      </c>
    </row>
    <row r="142" spans="1:8" x14ac:dyDescent="0.3">
      <c r="A142" vm="278">
        <v>45371</v>
      </c>
      <c r="B142" s="4" vm="279">
        <v>21839.1</v>
      </c>
      <c r="C142" s="4" vm="2118">
        <v>1458.4</v>
      </c>
      <c r="D142" s="4" vm="2119">
        <v>3873.6</v>
      </c>
      <c r="E142" s="4" vm="2120">
        <v>1275.125</v>
      </c>
      <c r="F142" s="4" vm="2121">
        <v>165.6</v>
      </c>
      <c r="G142" s="4" vm="2122">
        <v>55.61</v>
      </c>
      <c r="H142" s="4">
        <f t="shared" si="3"/>
        <v>0</v>
      </c>
    </row>
    <row r="143" spans="1:8" x14ac:dyDescent="0.3">
      <c r="A143" vm="280">
        <v>45372</v>
      </c>
      <c r="B143" s="4" vm="281">
        <v>22011.95</v>
      </c>
      <c r="C143" s="4" vm="2123">
        <v>1468.05</v>
      </c>
      <c r="D143" s="4" vm="2124">
        <v>3918.95</v>
      </c>
      <c r="E143" s="4" vm="2125">
        <v>1276.825</v>
      </c>
      <c r="F143" s="4" vm="2126">
        <v>169.65</v>
      </c>
      <c r="G143" s="4" vm="2127">
        <v>55.72</v>
      </c>
      <c r="H143" s="4">
        <f t="shared" si="3"/>
        <v>0</v>
      </c>
    </row>
    <row r="144" spans="1:8" x14ac:dyDescent="0.3">
      <c r="A144" vm="282">
        <v>45373</v>
      </c>
      <c r="B144" s="4" vm="283">
        <v>22096.75</v>
      </c>
      <c r="C144" s="4" vm="2128">
        <v>1501.1</v>
      </c>
      <c r="D144" s="4" vm="2129">
        <v>3988.4</v>
      </c>
      <c r="E144" s="4" vm="2130">
        <v>1286.7</v>
      </c>
      <c r="F144" s="4" vm="2131">
        <v>174.2</v>
      </c>
      <c r="G144" s="4" vm="2132">
        <v>56.7</v>
      </c>
      <c r="H144" s="4">
        <f t="shared" si="3"/>
        <v>0</v>
      </c>
    </row>
    <row r="145" spans="1:8" x14ac:dyDescent="0.3">
      <c r="A145" vm="284">
        <v>45377</v>
      </c>
      <c r="B145" s="4" vm="285">
        <v>22004.7</v>
      </c>
      <c r="C145" s="4" vm="2133">
        <v>1486.4</v>
      </c>
      <c r="D145" s="4" vm="2134">
        <v>3911.1</v>
      </c>
      <c r="E145" s="4" vm="2135">
        <v>1293.05</v>
      </c>
      <c r="F145" s="4" vm="2136">
        <v>182.6</v>
      </c>
      <c r="G145" s="4" vm="2137">
        <v>55.99</v>
      </c>
      <c r="H145" s="4">
        <f t="shared" si="3"/>
        <v>0</v>
      </c>
    </row>
    <row r="146" spans="1:8" x14ac:dyDescent="0.3">
      <c r="A146" vm="286">
        <v>45378</v>
      </c>
      <c r="B146" s="4" vm="287">
        <v>22123.65</v>
      </c>
      <c r="C146" s="4" vm="2138">
        <v>1479.55</v>
      </c>
      <c r="D146" s="4" vm="2139">
        <v>3913.8</v>
      </c>
      <c r="E146" s="4" vm="2140">
        <v>1283.2249999999999</v>
      </c>
      <c r="F146" s="4" vm="2141">
        <v>179.45</v>
      </c>
      <c r="G146" s="4" vm="2142">
        <v>56.3</v>
      </c>
      <c r="H146" s="4">
        <f t="shared" si="3"/>
        <v>0</v>
      </c>
    </row>
    <row r="147" spans="1:8" x14ac:dyDescent="0.3">
      <c r="A147" vm="288">
        <v>45379</v>
      </c>
      <c r="B147" s="4" vm="289">
        <v>22326.9</v>
      </c>
      <c r="C147" s="4" vm="2143">
        <v>1500.25</v>
      </c>
      <c r="D147" s="4" vm="2144">
        <v>4019.3</v>
      </c>
      <c r="E147" s="4" vm="2145">
        <v>1311.175</v>
      </c>
      <c r="F147" s="4" vm="2146">
        <v>182.1</v>
      </c>
      <c r="G147" s="4" vm="2147">
        <v>56.22</v>
      </c>
      <c r="H147" s="4">
        <f t="shared" si="3"/>
        <v>0</v>
      </c>
    </row>
    <row r="148" spans="1:8" x14ac:dyDescent="0.3">
      <c r="A148" vm="290">
        <v>45383</v>
      </c>
      <c r="B148" s="4" vm="291">
        <v>22462</v>
      </c>
      <c r="C148" s="4" vm="2148">
        <v>1489.95</v>
      </c>
      <c r="D148" s="4" vm="2149">
        <v>3946.65</v>
      </c>
      <c r="E148" s="4" vm="2150">
        <v>1292.8</v>
      </c>
      <c r="F148" s="4" vm="2151">
        <v>184.5</v>
      </c>
      <c r="G148" s="4" vm="2152">
        <v>56.61</v>
      </c>
      <c r="H148" s="4">
        <f t="shared" si="3"/>
        <v>0</v>
      </c>
    </row>
    <row r="149" spans="1:8" x14ac:dyDescent="0.3">
      <c r="A149" vm="292">
        <v>45384</v>
      </c>
      <c r="B149" s="4" vm="293">
        <v>22453.3</v>
      </c>
      <c r="C149" s="4" vm="2153">
        <v>1470.6</v>
      </c>
      <c r="D149" s="4" vm="2154">
        <v>3922.2</v>
      </c>
      <c r="E149" s="4" vm="2155">
        <v>1311.65</v>
      </c>
      <c r="F149" s="4" vm="2156">
        <v>183.1</v>
      </c>
      <c r="G149" s="4" vm="2157">
        <v>58.32</v>
      </c>
      <c r="H149" s="4">
        <f t="shared" si="3"/>
        <v>0</v>
      </c>
    </row>
    <row r="150" spans="1:8" x14ac:dyDescent="0.3">
      <c r="A150" vm="294">
        <v>45385</v>
      </c>
      <c r="B150" s="4" vm="295">
        <v>22434.65</v>
      </c>
      <c r="C150" s="4" vm="2158">
        <v>1460.8</v>
      </c>
      <c r="D150" s="4" vm="2159">
        <v>3934.2</v>
      </c>
      <c r="E150" s="4" vm="2160">
        <v>1276.9749999999999</v>
      </c>
      <c r="F150" s="4" vm="2161">
        <v>178.3</v>
      </c>
      <c r="G150" s="4" vm="2162">
        <v>58.64</v>
      </c>
      <c r="H150" s="4">
        <f t="shared" si="3"/>
        <v>0</v>
      </c>
    </row>
    <row r="151" spans="1:8" x14ac:dyDescent="0.3">
      <c r="A151" vm="296">
        <v>45386</v>
      </c>
      <c r="B151" s="4" vm="297">
        <v>22514.65</v>
      </c>
      <c r="C151" s="4" vm="2163">
        <v>1463.75</v>
      </c>
      <c r="D151" s="4" vm="2164">
        <v>4014.3</v>
      </c>
      <c r="E151" s="4" vm="1901">
        <v>1274.8</v>
      </c>
      <c r="F151" s="4" vm="2165">
        <v>187</v>
      </c>
      <c r="G151" s="4" vm="2166">
        <v>58.77</v>
      </c>
      <c r="H151" s="4">
        <f t="shared" si="3"/>
        <v>0</v>
      </c>
    </row>
    <row r="152" spans="1:8" x14ac:dyDescent="0.3">
      <c r="A152" vm="298">
        <v>45387</v>
      </c>
      <c r="B152" s="4" vm="299">
        <v>22513.7</v>
      </c>
      <c r="C152" s="4" vm="2167">
        <v>1485.3</v>
      </c>
      <c r="D152" s="4" vm="2168">
        <v>4031.25</v>
      </c>
      <c r="E152" s="4" vm="2169">
        <v>1268.825</v>
      </c>
      <c r="F152" s="4" vm="2170">
        <v>190.5</v>
      </c>
      <c r="G152" s="4" vm="2171">
        <v>59.18</v>
      </c>
      <c r="H152" s="4">
        <f t="shared" si="3"/>
        <v>0</v>
      </c>
    </row>
    <row r="153" spans="1:8" x14ac:dyDescent="0.3">
      <c r="A153" vm="300">
        <v>45390</v>
      </c>
      <c r="B153" s="4" vm="301">
        <v>22666.3</v>
      </c>
      <c r="C153" s="4" vm="2172">
        <v>1518.8</v>
      </c>
      <c r="D153" s="4" vm="2173">
        <v>4205.75</v>
      </c>
      <c r="E153" s="4" vm="2174">
        <v>1249.0250000000001</v>
      </c>
      <c r="F153" s="4" vm="2175">
        <v>191.8</v>
      </c>
      <c r="G153" s="4" vm="2176">
        <v>59.03</v>
      </c>
      <c r="H153" s="4">
        <f t="shared" si="3"/>
        <v>0</v>
      </c>
    </row>
    <row r="154" spans="1:8" x14ac:dyDescent="0.3">
      <c r="A154" vm="302">
        <v>45391</v>
      </c>
      <c r="B154" s="4" vm="303">
        <v>22642.75</v>
      </c>
      <c r="C154" s="4" vm="2177">
        <v>1510.55</v>
      </c>
      <c r="D154" s="4" vm="2178">
        <v>4248.6499999999996</v>
      </c>
      <c r="E154" s="4" vm="2179">
        <v>1251.4000000000001</v>
      </c>
      <c r="F154" s="4" vm="2180">
        <v>193.7</v>
      </c>
      <c r="G154" s="4" vm="2181">
        <v>60.21</v>
      </c>
      <c r="H154" s="4">
        <f t="shared" si="3"/>
        <v>0</v>
      </c>
    </row>
    <row r="155" spans="1:8" x14ac:dyDescent="0.3">
      <c r="A155" vm="304">
        <v>45392</v>
      </c>
      <c r="B155" s="4" vm="305">
        <v>22753.8</v>
      </c>
      <c r="C155" s="4" vm="2182">
        <v>1503.35</v>
      </c>
      <c r="D155" s="4" vm="2183">
        <v>4315.1000000000004</v>
      </c>
      <c r="E155" s="4" vm="2184">
        <v>1263.8</v>
      </c>
      <c r="F155" s="4" vm="2185">
        <v>196.9</v>
      </c>
      <c r="G155" s="4" vm="2186">
        <v>60.55</v>
      </c>
      <c r="H155" s="4">
        <f t="shared" si="3"/>
        <v>0</v>
      </c>
    </row>
    <row r="156" spans="1:8" x14ac:dyDescent="0.3">
      <c r="A156" vm="306">
        <v>45394</v>
      </c>
      <c r="B156" s="4" vm="307">
        <v>22519.4</v>
      </c>
      <c r="C156" s="4" vm="2187">
        <v>1493.15</v>
      </c>
      <c r="D156" s="4" vm="2188">
        <v>4302.25</v>
      </c>
      <c r="E156" s="4" vm="2189">
        <v>1268.0999999999999</v>
      </c>
      <c r="F156" s="4" vm="2190">
        <v>192.1</v>
      </c>
      <c r="G156" s="4" vm="2191">
        <v>60.62</v>
      </c>
      <c r="H156" s="4">
        <f t="shared" si="3"/>
        <v>0</v>
      </c>
    </row>
    <row r="157" spans="1:8" x14ac:dyDescent="0.3">
      <c r="A157" vm="308">
        <v>45397</v>
      </c>
      <c r="B157" s="4" vm="309">
        <v>22272.5</v>
      </c>
      <c r="C157" s="4" vm="2192">
        <v>1466.9</v>
      </c>
      <c r="D157" s="4" vm="2193">
        <v>4219.3500000000004</v>
      </c>
      <c r="E157" s="4" vm="2125">
        <v>1276.825</v>
      </c>
      <c r="F157" s="4" vm="2194">
        <v>188.3</v>
      </c>
      <c r="G157" s="4" vm="2195">
        <v>61.91</v>
      </c>
      <c r="H157" s="4">
        <f t="shared" si="3"/>
        <v>0</v>
      </c>
    </row>
    <row r="158" spans="1:8" x14ac:dyDescent="0.3">
      <c r="A158" vm="310">
        <v>45398</v>
      </c>
      <c r="B158" s="4" vm="311">
        <v>22147.9</v>
      </c>
      <c r="C158" s="4" vm="2196">
        <v>1462.75</v>
      </c>
      <c r="D158" s="4" vm="2197">
        <v>4355.7</v>
      </c>
      <c r="E158" s="4" vm="2198">
        <v>1273.05</v>
      </c>
      <c r="F158" s="4" vm="2199">
        <v>186.45</v>
      </c>
      <c r="G158" s="4" vm="2200">
        <v>61.23</v>
      </c>
      <c r="H158" s="4">
        <f t="shared" si="3"/>
        <v>0</v>
      </c>
    </row>
    <row r="159" spans="1:8" x14ac:dyDescent="0.3">
      <c r="A159" vm="312">
        <v>45400</v>
      </c>
      <c r="B159" s="4" vm="313">
        <v>21995.85</v>
      </c>
      <c r="C159" s="4" vm="2201">
        <v>1456.95</v>
      </c>
      <c r="D159" s="4" vm="2202">
        <v>4351.2</v>
      </c>
      <c r="E159" s="4" vm="2203">
        <v>1231.2750000000001</v>
      </c>
      <c r="F159" s="4" vm="2204">
        <v>185.2</v>
      </c>
      <c r="G159" s="4" vm="2205">
        <v>61.89</v>
      </c>
      <c r="H159" s="4">
        <f t="shared" si="3"/>
        <v>0</v>
      </c>
    </row>
    <row r="160" spans="1:8" x14ac:dyDescent="0.3">
      <c r="A160" vm="314">
        <v>45401</v>
      </c>
      <c r="B160" s="4" vm="315">
        <v>22147</v>
      </c>
      <c r="C160" s="4" vm="2206">
        <v>1447.55</v>
      </c>
      <c r="D160" s="4" vm="2207">
        <v>4344.1499999999996</v>
      </c>
      <c r="E160" s="4" vm="2208">
        <v>1218.8499999999999</v>
      </c>
      <c r="F160" s="4" vm="2209">
        <v>189.2</v>
      </c>
      <c r="G160" s="4" vm="2210">
        <v>61.96</v>
      </c>
      <c r="H160" s="4">
        <f t="shared" si="3"/>
        <v>0</v>
      </c>
    </row>
    <row r="161" spans="1:8" x14ac:dyDescent="0.3">
      <c r="A161" vm="316">
        <v>45404</v>
      </c>
      <c r="B161" s="4" vm="317">
        <v>22336.400000000001</v>
      </c>
      <c r="C161" s="4" vm="2211">
        <v>1475.4</v>
      </c>
      <c r="D161" s="4" vm="2212">
        <v>4466.95</v>
      </c>
      <c r="E161" s="4" vm="2213">
        <v>1229.3499999999999</v>
      </c>
      <c r="F161" s="4" vm="2214">
        <v>193.35</v>
      </c>
      <c r="G161" s="4" vm="2215">
        <v>62.24</v>
      </c>
      <c r="H161" s="4">
        <f t="shared" si="3"/>
        <v>0</v>
      </c>
    </row>
    <row r="162" spans="1:8" x14ac:dyDescent="0.3">
      <c r="A162" vm="318">
        <v>45405</v>
      </c>
      <c r="B162" s="4" vm="319">
        <v>22368</v>
      </c>
      <c r="C162" s="4" vm="1803">
        <v>1469.85</v>
      </c>
      <c r="D162" s="4" vm="2216">
        <v>4520.1499999999996</v>
      </c>
      <c r="E162" s="4" vm="2217">
        <v>1250.625</v>
      </c>
      <c r="F162" s="4" vm="2218">
        <v>187.45</v>
      </c>
      <c r="G162" s="4" vm="2219">
        <v>61.74</v>
      </c>
      <c r="H162" s="4">
        <f t="shared" si="3"/>
        <v>0</v>
      </c>
    </row>
    <row r="163" spans="1:8" x14ac:dyDescent="0.3">
      <c r="A163" vm="320">
        <v>45406</v>
      </c>
      <c r="B163" s="4" vm="321">
        <v>22402.400000000001</v>
      </c>
      <c r="C163" s="4" vm="2220">
        <v>1460.05</v>
      </c>
      <c r="D163" s="4" vm="2221">
        <v>4530.7</v>
      </c>
      <c r="E163" s="4" vm="2222">
        <v>1250.075</v>
      </c>
      <c r="F163" s="4" vm="2223">
        <v>184.4</v>
      </c>
      <c r="G163" s="4" vm="2224">
        <v>60.25</v>
      </c>
      <c r="H163" s="4">
        <f t="shared" si="3"/>
        <v>0</v>
      </c>
    </row>
    <row r="164" spans="1:8" x14ac:dyDescent="0.3">
      <c r="A164" vm="322">
        <v>45407</v>
      </c>
      <c r="B164" s="4" vm="323">
        <v>22570.35</v>
      </c>
      <c r="C164" s="4" vm="2225">
        <v>1444.45</v>
      </c>
      <c r="D164" s="4" vm="2226">
        <v>4615.2</v>
      </c>
      <c r="E164" s="4" vm="2227">
        <v>1281.325</v>
      </c>
      <c r="F164" s="4" vm="2228">
        <v>184.7</v>
      </c>
      <c r="G164" s="4" vm="2229">
        <v>60.73</v>
      </c>
      <c r="H164" s="4">
        <f t="shared" si="3"/>
        <v>0</v>
      </c>
    </row>
    <row r="165" spans="1:8" x14ac:dyDescent="0.3">
      <c r="A165" vm="324">
        <v>45408</v>
      </c>
      <c r="B165" s="4" vm="325">
        <v>22419.95</v>
      </c>
      <c r="C165" s="4" vm="2230">
        <v>1415.25</v>
      </c>
      <c r="D165" s="4" vm="2231">
        <v>4601</v>
      </c>
      <c r="E165" s="4" vm="2232">
        <v>1241.375</v>
      </c>
      <c r="F165" s="4" vm="2233">
        <v>188.1</v>
      </c>
      <c r="G165" s="4" vm="2234">
        <v>60.86</v>
      </c>
      <c r="H165" s="4">
        <f t="shared" si="3"/>
        <v>0</v>
      </c>
    </row>
    <row r="166" spans="1:8" x14ac:dyDescent="0.3">
      <c r="A166" vm="326">
        <v>45411</v>
      </c>
      <c r="B166" s="4" vm="327">
        <v>22643.4</v>
      </c>
      <c r="C166" s="4" vm="2235">
        <v>1422.35</v>
      </c>
      <c r="D166" s="4" vm="2236">
        <v>4571.8500000000004</v>
      </c>
      <c r="E166" s="4" vm="2237">
        <v>1254.9000000000001</v>
      </c>
      <c r="F166" s="4" vm="2238">
        <v>193.6</v>
      </c>
      <c r="G166" s="4" vm="2239">
        <v>61.33</v>
      </c>
      <c r="H166" s="4">
        <f t="shared" si="3"/>
        <v>0</v>
      </c>
    </row>
    <row r="167" spans="1:8" x14ac:dyDescent="0.3">
      <c r="A167" vm="328">
        <v>45412</v>
      </c>
      <c r="B167" s="4" vm="329">
        <v>22604.85</v>
      </c>
      <c r="C167" s="4" vm="2240">
        <v>1436.55</v>
      </c>
      <c r="D167" s="4" vm="2241">
        <v>4597.3999999999996</v>
      </c>
      <c r="E167" s="4" vm="2242">
        <v>1253.7</v>
      </c>
      <c r="F167" s="4" vm="2243">
        <v>193.15</v>
      </c>
      <c r="G167" s="4" vm="2244">
        <v>61.3</v>
      </c>
      <c r="H167" s="4">
        <f t="shared" si="3"/>
        <v>0</v>
      </c>
    </row>
    <row r="168" spans="1:8" x14ac:dyDescent="0.3">
      <c r="A168" vm="330">
        <v>45414</v>
      </c>
      <c r="B168" s="4" vm="331">
        <v>22648.2</v>
      </c>
      <c r="C168" s="4" vm="2245">
        <v>1460.9</v>
      </c>
      <c r="D168" s="4" vm="2246">
        <v>4602.3999999999996</v>
      </c>
      <c r="E168" s="4" vm="2247">
        <v>1256.1500000000001</v>
      </c>
      <c r="F168" s="4" vm="2248">
        <v>195.45</v>
      </c>
      <c r="G168" s="4" vm="2249">
        <v>60.88</v>
      </c>
      <c r="H168" s="4">
        <f t="shared" si="3"/>
        <v>0</v>
      </c>
    </row>
    <row r="169" spans="1:8" x14ac:dyDescent="0.3">
      <c r="A169" vm="332">
        <v>45415</v>
      </c>
      <c r="B169" s="4" vm="333">
        <v>22475.85</v>
      </c>
      <c r="C169" s="4" vm="2250">
        <v>1443.25</v>
      </c>
      <c r="D169" s="4" vm="2251">
        <v>4599.25</v>
      </c>
      <c r="E169" s="4" vm="2252">
        <v>1228.05</v>
      </c>
      <c r="F169" s="4" vm="2253">
        <v>197.25</v>
      </c>
      <c r="G169" s="4" vm="2254">
        <v>60.85</v>
      </c>
      <c r="H169" s="4">
        <f t="shared" si="3"/>
        <v>0</v>
      </c>
    </row>
    <row r="170" spans="1:8" x14ac:dyDescent="0.3">
      <c r="A170" vm="334">
        <v>45418</v>
      </c>
      <c r="B170" s="4" vm="335">
        <v>22442.7</v>
      </c>
      <c r="C170" s="4" vm="1923">
        <v>1440.6</v>
      </c>
      <c r="D170" s="4" vm="2255">
        <v>4599</v>
      </c>
      <c r="E170" s="4" vm="2256">
        <v>1228.7</v>
      </c>
      <c r="F170" s="4" vm="2257">
        <v>195.7</v>
      </c>
      <c r="G170" s="4" vm="2258">
        <v>60.48</v>
      </c>
      <c r="H170" s="4">
        <f t="shared" si="3"/>
        <v>0</v>
      </c>
    </row>
    <row r="171" spans="1:8" x14ac:dyDescent="0.3">
      <c r="A171" vm="336">
        <v>45419</v>
      </c>
      <c r="B171" s="4" vm="337">
        <v>22302.5</v>
      </c>
      <c r="C171" s="4" vm="2259">
        <v>1450.15</v>
      </c>
      <c r="D171" s="4" vm="2260">
        <v>4622.3999999999996</v>
      </c>
      <c r="E171" s="4" vm="2261">
        <v>1254.325</v>
      </c>
      <c r="F171" s="4" vm="2262">
        <v>191.45</v>
      </c>
      <c r="G171" s="4" vm="2263">
        <v>60.72</v>
      </c>
      <c r="H171" s="4">
        <f t="shared" si="3"/>
        <v>0</v>
      </c>
    </row>
    <row r="172" spans="1:8" x14ac:dyDescent="0.3">
      <c r="A172" vm="338">
        <v>45420</v>
      </c>
      <c r="B172" s="4" vm="337">
        <v>22302.5</v>
      </c>
      <c r="C172" s="4" vm="2264">
        <v>1426.75</v>
      </c>
      <c r="D172" s="4" vm="2265">
        <v>4600.1000000000004</v>
      </c>
      <c r="E172" s="4" vm="2266">
        <v>1269.5</v>
      </c>
      <c r="F172" s="4" vm="2248">
        <v>195.45</v>
      </c>
      <c r="G172" s="4" vm="2267">
        <v>60.68</v>
      </c>
      <c r="H172" s="4">
        <f t="shared" si="3"/>
        <v>0</v>
      </c>
    </row>
    <row r="173" spans="1:8" x14ac:dyDescent="0.3">
      <c r="A173" vm="339">
        <v>45421</v>
      </c>
      <c r="B173" s="4" vm="340">
        <v>21957.5</v>
      </c>
      <c r="C173" s="4" vm="2268">
        <v>1422.4</v>
      </c>
      <c r="D173" s="4" vm="2269">
        <v>4568.05</v>
      </c>
      <c r="E173" s="4" vm="2270">
        <v>1256.7249999999999</v>
      </c>
      <c r="F173" s="4" vm="2271">
        <v>195.25</v>
      </c>
      <c r="G173" s="4" vm="2272">
        <v>60.5</v>
      </c>
      <c r="H173" s="4">
        <f t="shared" si="3"/>
        <v>0</v>
      </c>
    </row>
    <row r="174" spans="1:8" x14ac:dyDescent="0.3">
      <c r="A174" vm="341">
        <v>45422</v>
      </c>
      <c r="B174" s="4" vm="342">
        <v>22055.200000000001</v>
      </c>
      <c r="C174" s="4" vm="2273">
        <v>1431.95</v>
      </c>
      <c r="D174" s="4" vm="2274">
        <v>4657.8500000000004</v>
      </c>
      <c r="E174" s="4" vm="2275">
        <v>1266.5999999999999</v>
      </c>
      <c r="F174" s="4" vm="2276">
        <v>201.3</v>
      </c>
      <c r="G174" s="4" vm="2277">
        <v>60.42</v>
      </c>
      <c r="H174" s="4">
        <f t="shared" si="3"/>
        <v>0</v>
      </c>
    </row>
    <row r="175" spans="1:8" x14ac:dyDescent="0.3">
      <c r="A175" vm="343">
        <v>45425</v>
      </c>
      <c r="B175" s="4" vm="344">
        <v>22104.05</v>
      </c>
      <c r="C175" s="4" vm="2278">
        <v>1425.1</v>
      </c>
      <c r="D175" s="4" vm="2279">
        <v>4657.45</v>
      </c>
      <c r="E175" s="4" vm="2280">
        <v>1258.125</v>
      </c>
      <c r="F175" s="4" vm="2281">
        <v>194.3</v>
      </c>
      <c r="G175" s="4" vm="2282">
        <v>61.92</v>
      </c>
      <c r="H175" s="4">
        <f t="shared" si="3"/>
        <v>0</v>
      </c>
    </row>
    <row r="176" spans="1:8" x14ac:dyDescent="0.3">
      <c r="A176" vm="345">
        <v>45426</v>
      </c>
      <c r="B176" s="4" vm="346">
        <v>22217.85</v>
      </c>
      <c r="C176" s="4" vm="2283">
        <v>1432.85</v>
      </c>
      <c r="D176" s="4" vm="2284">
        <v>4730.55</v>
      </c>
      <c r="E176" s="4" vm="2285">
        <v>1243.675</v>
      </c>
      <c r="F176" s="4" vm="2286">
        <v>187.3</v>
      </c>
      <c r="G176" s="4" vm="2287">
        <v>61.15</v>
      </c>
      <c r="H176" s="4">
        <f t="shared" si="3"/>
        <v>0</v>
      </c>
    </row>
    <row r="177" spans="1:8" x14ac:dyDescent="0.3">
      <c r="A177" vm="347">
        <v>45427</v>
      </c>
      <c r="B177" s="4" vm="348">
        <v>22200.55</v>
      </c>
      <c r="C177" s="4" vm="1734">
        <v>1430.1</v>
      </c>
      <c r="D177" s="4" vm="2288">
        <v>4649.3500000000004</v>
      </c>
      <c r="E177" s="4" vm="2289">
        <v>1232.5</v>
      </c>
      <c r="F177" s="4" vm="2290">
        <v>192</v>
      </c>
      <c r="G177" s="4" vm="2291">
        <v>61.19</v>
      </c>
      <c r="H177" s="4">
        <f t="shared" si="3"/>
        <v>0</v>
      </c>
    </row>
    <row r="178" spans="1:8" x14ac:dyDescent="0.3">
      <c r="A178" vm="349">
        <v>45428</v>
      </c>
      <c r="B178" s="4" vm="350">
        <v>22403.85</v>
      </c>
      <c r="C178" s="4" vm="2292">
        <v>1452.2</v>
      </c>
      <c r="D178" s="4" vm="2293">
        <v>4681.75</v>
      </c>
      <c r="E178" s="4" vm="2294">
        <v>1234.175</v>
      </c>
      <c r="F178" s="4" vm="2295">
        <v>195.2</v>
      </c>
      <c r="G178" s="4" vm="2296">
        <v>61.71</v>
      </c>
      <c r="H178" s="4">
        <f t="shared" si="3"/>
        <v>0</v>
      </c>
    </row>
    <row r="179" spans="1:8" x14ac:dyDescent="0.3">
      <c r="A179" vm="351">
        <v>45429</v>
      </c>
      <c r="B179" s="4" vm="352">
        <v>22466.1</v>
      </c>
      <c r="C179" s="4" vm="2297">
        <v>1434.2</v>
      </c>
      <c r="D179" s="4" vm="2298">
        <v>4693.8999999999996</v>
      </c>
      <c r="E179" s="4" vm="2299">
        <v>1222.75</v>
      </c>
      <c r="F179" s="4" vm="2300">
        <v>194.85</v>
      </c>
      <c r="G179" s="4" vm="2301">
        <v>62</v>
      </c>
      <c r="H179" s="4">
        <f t="shared" si="3"/>
        <v>0</v>
      </c>
    </row>
    <row r="180" spans="1:8" x14ac:dyDescent="0.3">
      <c r="A180" vm="353">
        <v>45430</v>
      </c>
      <c r="B180" s="4" vm="354">
        <v>22502</v>
      </c>
      <c r="C180" s="4" vm="2302">
        <v>1439.85</v>
      </c>
      <c r="D180" s="4" vm="2303">
        <v>4684.3999999999996</v>
      </c>
      <c r="E180" s="4" vm="2304">
        <v>1252.2</v>
      </c>
      <c r="F180" s="4" vm="2305">
        <v>194.4</v>
      </c>
      <c r="G180" s="4" vm="2210">
        <v>61.96</v>
      </c>
      <c r="H180" s="4">
        <f t="shared" si="3"/>
        <v>0</v>
      </c>
    </row>
    <row r="181" spans="1:8" x14ac:dyDescent="0.3">
      <c r="A181" vm="355">
        <v>45433</v>
      </c>
      <c r="B181" s="4" vm="356">
        <v>22529.05</v>
      </c>
      <c r="C181" s="4" vm="2306">
        <v>1429.65</v>
      </c>
      <c r="D181" s="4" vm="2307">
        <v>4672.95</v>
      </c>
      <c r="E181" s="4" vm="2308">
        <v>1230.4000000000001</v>
      </c>
      <c r="F181" s="4" vm="2309">
        <v>189.1</v>
      </c>
      <c r="G181" s="4" vm="2310">
        <v>62.63</v>
      </c>
      <c r="H181" s="4">
        <f t="shared" si="3"/>
        <v>0</v>
      </c>
    </row>
    <row r="182" spans="1:8" x14ac:dyDescent="0.3">
      <c r="A182" vm="357">
        <v>45434</v>
      </c>
      <c r="B182" s="4" vm="358">
        <v>22597.8</v>
      </c>
      <c r="C182" s="4" vm="2311">
        <v>1427.4</v>
      </c>
      <c r="D182" s="4" vm="2312">
        <v>4695.45</v>
      </c>
      <c r="E182" s="4" vm="2313">
        <v>1234.575</v>
      </c>
      <c r="F182" s="4" vm="2314">
        <v>185.5</v>
      </c>
      <c r="G182" s="4" vm="2315">
        <v>62.68</v>
      </c>
      <c r="H182" s="4">
        <f t="shared" si="3"/>
        <v>0</v>
      </c>
    </row>
    <row r="183" spans="1:8" x14ac:dyDescent="0.3">
      <c r="A183" vm="359">
        <v>45435</v>
      </c>
      <c r="B183" s="4" vm="360">
        <v>22967.65</v>
      </c>
      <c r="C183" s="4" vm="2316">
        <v>1446.8</v>
      </c>
      <c r="D183" s="4" vm="2317">
        <v>4852.8500000000004</v>
      </c>
      <c r="E183" s="4" vm="2318">
        <v>1237.075</v>
      </c>
      <c r="F183" s="4" vm="2319">
        <v>186.8</v>
      </c>
      <c r="G183" s="4" vm="2320">
        <v>61.62</v>
      </c>
      <c r="H183" s="4">
        <f t="shared" si="3"/>
        <v>0</v>
      </c>
    </row>
    <row r="184" spans="1:8" x14ac:dyDescent="0.3">
      <c r="A184" vm="361">
        <v>45436</v>
      </c>
      <c r="B184" s="4" vm="362">
        <v>22957.1</v>
      </c>
      <c r="C184" s="4" vm="2321">
        <v>1436.25</v>
      </c>
      <c r="D184" s="4" vm="2322">
        <v>4880.95</v>
      </c>
      <c r="E184" s="4" vm="2323">
        <v>1233.875</v>
      </c>
      <c r="F184" s="4" vm="2324">
        <v>182.9</v>
      </c>
      <c r="G184" s="4" vm="2325">
        <v>60.89</v>
      </c>
      <c r="H184" s="4">
        <f t="shared" si="3"/>
        <v>0</v>
      </c>
    </row>
    <row r="185" spans="1:8" x14ac:dyDescent="0.3">
      <c r="A185" vm="363">
        <v>45439</v>
      </c>
      <c r="B185" s="4" vm="364">
        <v>22932.45</v>
      </c>
      <c r="C185" s="4" vm="2326">
        <v>1410.2</v>
      </c>
      <c r="D185" s="4" vm="2327">
        <v>4793.3</v>
      </c>
      <c r="E185" s="4" vm="2328">
        <v>1229.95</v>
      </c>
      <c r="F185" s="4" vm="2329">
        <v>183.65</v>
      </c>
      <c r="G185" s="4" vm="2330">
        <v>61</v>
      </c>
      <c r="H185" s="4">
        <f t="shared" si="3"/>
        <v>0</v>
      </c>
    </row>
    <row r="186" spans="1:8" x14ac:dyDescent="0.3">
      <c r="A186" vm="365">
        <v>45440</v>
      </c>
      <c r="B186" s="4" vm="366">
        <v>22888.15</v>
      </c>
      <c r="C186" s="4" vm="2331">
        <v>1450.75</v>
      </c>
      <c r="D186" s="4" vm="2332">
        <v>4770.95</v>
      </c>
      <c r="E186" s="4" vm="2333">
        <v>1225.8499999999999</v>
      </c>
      <c r="F186" s="4" vm="2334">
        <v>181.6</v>
      </c>
      <c r="G186" s="4" vm="2335">
        <v>61.12</v>
      </c>
      <c r="H186" s="4">
        <f t="shared" si="3"/>
        <v>0</v>
      </c>
    </row>
    <row r="187" spans="1:8" x14ac:dyDescent="0.3">
      <c r="A187" vm="367">
        <v>45441</v>
      </c>
      <c r="B187" s="4" vm="368">
        <v>22704.7</v>
      </c>
      <c r="C187" s="4" vm="2336">
        <v>1412.8</v>
      </c>
      <c r="D187" s="4" vm="2337">
        <v>4745.3999999999996</v>
      </c>
      <c r="E187" s="4" vm="2338">
        <v>1238.0999999999999</v>
      </c>
      <c r="F187" s="4" vm="2339">
        <v>183.35</v>
      </c>
      <c r="G187" s="4" vm="2340">
        <v>61.2</v>
      </c>
      <c r="H187" s="4">
        <f t="shared" si="3"/>
        <v>0</v>
      </c>
    </row>
    <row r="188" spans="1:8" x14ac:dyDescent="0.3">
      <c r="A188" vm="369">
        <v>45442</v>
      </c>
      <c r="B188" s="4" vm="370">
        <v>22488.65</v>
      </c>
      <c r="C188" s="4" vm="2341">
        <v>1380.05</v>
      </c>
      <c r="D188" s="4" vm="2342">
        <v>4742.95</v>
      </c>
      <c r="E188" s="4" vm="2343">
        <v>1202.4000000000001</v>
      </c>
      <c r="F188" s="4" vm="2344">
        <v>180.6</v>
      </c>
      <c r="G188" s="4" vm="2345">
        <v>60.74</v>
      </c>
      <c r="H188" s="4">
        <f t="shared" si="3"/>
        <v>0</v>
      </c>
    </row>
    <row r="189" spans="1:8" x14ac:dyDescent="0.3">
      <c r="A189" vm="371">
        <v>45443</v>
      </c>
      <c r="B189" s="4" vm="372">
        <v>22530.7</v>
      </c>
      <c r="C189" s="4" vm="2346">
        <v>1386.4</v>
      </c>
      <c r="D189" s="4" vm="2347">
        <v>4733.45</v>
      </c>
      <c r="E189" s="4" vm="2348">
        <v>1177.45</v>
      </c>
      <c r="F189" s="4" vm="2349">
        <v>179.15</v>
      </c>
      <c r="G189" s="4" vm="2350">
        <v>61.29</v>
      </c>
      <c r="H189" s="4">
        <f t="shared" si="3"/>
        <v>0</v>
      </c>
    </row>
    <row r="190" spans="1:8" x14ac:dyDescent="0.3">
      <c r="A190" vm="373">
        <v>45446</v>
      </c>
      <c r="B190" s="4" vm="374">
        <v>23263.9</v>
      </c>
      <c r="C190" s="4" vm="2351">
        <v>1391.5</v>
      </c>
      <c r="D190" s="4" vm="2352">
        <v>4670.8500000000004</v>
      </c>
      <c r="E190" s="4" vm="2353">
        <v>1177.5250000000001</v>
      </c>
      <c r="F190" s="4" vm="2354">
        <v>175.45</v>
      </c>
      <c r="G190" s="4" vm="2355">
        <v>60.59</v>
      </c>
      <c r="H190" s="4">
        <f t="shared" si="3"/>
        <v>0</v>
      </c>
    </row>
    <row r="191" spans="1:8" x14ac:dyDescent="0.3">
      <c r="A191" vm="375">
        <v>45447</v>
      </c>
      <c r="B191" s="4" vm="376">
        <v>21884.5</v>
      </c>
      <c r="C191" s="4" vm="2356">
        <v>1338.85</v>
      </c>
      <c r="D191" s="4" vm="2357">
        <v>4495.3999999999996</v>
      </c>
      <c r="E191" s="4" vm="2358">
        <v>1213.875</v>
      </c>
      <c r="F191" s="4" vm="2359">
        <v>172</v>
      </c>
      <c r="G191" s="4" vm="2360">
        <v>60.56</v>
      </c>
      <c r="H191" s="4">
        <f t="shared" si="3"/>
        <v>0</v>
      </c>
    </row>
    <row r="192" spans="1:8" x14ac:dyDescent="0.3">
      <c r="A192" vm="377">
        <v>45448</v>
      </c>
      <c r="B192" s="4" vm="378">
        <v>22620.35</v>
      </c>
      <c r="C192" s="4" vm="2361">
        <v>1390.1</v>
      </c>
      <c r="D192" s="4" vm="2362">
        <v>4579</v>
      </c>
      <c r="E192" s="4" vm="2363">
        <v>1254.925</v>
      </c>
      <c r="F192" s="4" vm="2364">
        <v>183.8</v>
      </c>
      <c r="G192" s="4" vm="2267">
        <v>60.68</v>
      </c>
      <c r="H192" s="4">
        <f t="shared" si="3"/>
        <v>0</v>
      </c>
    </row>
    <row r="193" spans="1:8" x14ac:dyDescent="0.3">
      <c r="A193" vm="379">
        <v>45449</v>
      </c>
      <c r="B193" s="4" vm="380">
        <v>22821.4</v>
      </c>
      <c r="C193" s="4" vm="2365">
        <v>1442.85</v>
      </c>
      <c r="D193" s="4" vm="2366">
        <v>4719.75</v>
      </c>
      <c r="E193" s="4" vm="2367">
        <v>1235.7</v>
      </c>
      <c r="F193" s="4" vm="2329">
        <v>183.65</v>
      </c>
      <c r="G193" s="4" vm="2368">
        <v>61.45</v>
      </c>
      <c r="H193" s="4">
        <f t="shared" si="3"/>
        <v>0</v>
      </c>
    </row>
    <row r="194" spans="1:8" x14ac:dyDescent="0.3">
      <c r="A194" vm="381">
        <v>45450</v>
      </c>
      <c r="B194" s="4" vm="382">
        <v>23290.15</v>
      </c>
      <c r="C194" s="4" vm="2369">
        <v>1425.85</v>
      </c>
      <c r="D194" s="4" vm="2370">
        <v>4762</v>
      </c>
      <c r="E194" s="4" vm="2371">
        <v>1251.2249999999999</v>
      </c>
      <c r="F194" s="4" vm="2372">
        <v>184</v>
      </c>
      <c r="G194" s="4" vm="2373">
        <v>61.09</v>
      </c>
      <c r="H194" s="4">
        <f t="shared" si="3"/>
        <v>0</v>
      </c>
    </row>
    <row r="195" spans="1:8" x14ac:dyDescent="0.3">
      <c r="A195" vm="383">
        <v>45453</v>
      </c>
      <c r="B195" s="4" vm="384">
        <v>23259.200000000001</v>
      </c>
      <c r="C195" s="4" vm="2374">
        <v>1432.3</v>
      </c>
      <c r="D195" s="4" vm="2375">
        <v>4782.75</v>
      </c>
      <c r="E195" s="4" vm="2376">
        <v>1274.0999999999999</v>
      </c>
      <c r="F195" s="4" vm="2377">
        <v>182.16</v>
      </c>
      <c r="G195" s="4" vm="2378">
        <v>60.13</v>
      </c>
      <c r="H195" s="4">
        <f t="shared" si="3"/>
        <v>0</v>
      </c>
    </row>
    <row r="196" spans="1:8" x14ac:dyDescent="0.3">
      <c r="A196" vm="385">
        <v>45454</v>
      </c>
      <c r="B196" s="4" vm="386">
        <v>23264.85</v>
      </c>
      <c r="C196" s="4" vm="2379">
        <v>1428.05</v>
      </c>
      <c r="D196" s="4" vm="2380">
        <v>4758.6499999999996</v>
      </c>
      <c r="E196" s="4" vm="2381">
        <v>1270.9749999999999</v>
      </c>
      <c r="F196" s="4" vm="2382">
        <v>184.02</v>
      </c>
      <c r="G196" s="4" vm="2277">
        <v>60.42</v>
      </c>
      <c r="H196" s="4">
        <f t="shared" si="3"/>
        <v>0</v>
      </c>
    </row>
    <row r="197" spans="1:8" x14ac:dyDescent="0.3">
      <c r="A197" vm="387">
        <v>45455</v>
      </c>
      <c r="B197" s="4" vm="388">
        <v>23322.95</v>
      </c>
      <c r="C197" s="4" vm="2383">
        <v>1452.7</v>
      </c>
      <c r="D197" s="4" vm="2384">
        <v>4850.6499999999996</v>
      </c>
      <c r="E197" s="4" vm="2385">
        <v>1268.6500000000001</v>
      </c>
      <c r="F197" s="4" vm="2386">
        <v>179.65</v>
      </c>
      <c r="G197" s="4" vm="2355">
        <v>60.59</v>
      </c>
      <c r="H197" s="4">
        <f t="shared" ref="H197:H260" si="4">SUMPRODUCT($C$3:$G$3,C197:G197)</f>
        <v>0</v>
      </c>
    </row>
    <row r="198" spans="1:8" x14ac:dyDescent="0.3">
      <c r="A198" vm="389">
        <v>45456</v>
      </c>
      <c r="B198" s="4" vm="390">
        <v>23398.9</v>
      </c>
      <c r="C198" s="4" vm="2387">
        <v>1449.9</v>
      </c>
      <c r="D198" s="4" vm="2388">
        <v>4801.5</v>
      </c>
      <c r="E198" s="4" vm="2389">
        <v>1275.875</v>
      </c>
      <c r="F198" s="4" vm="2390">
        <v>184.94</v>
      </c>
      <c r="G198" s="4" vm="2355">
        <v>60.59</v>
      </c>
      <c r="H198" s="4">
        <f t="shared" si="4"/>
        <v>0</v>
      </c>
    </row>
    <row r="199" spans="1:8" x14ac:dyDescent="0.3">
      <c r="A199" vm="391">
        <v>45457</v>
      </c>
      <c r="B199" s="4" vm="392">
        <v>23465.599999999999</v>
      </c>
      <c r="C199" s="4" vm="2391">
        <v>1469.9</v>
      </c>
      <c r="D199" s="4" vm="2392">
        <v>4935.1000000000004</v>
      </c>
      <c r="E199" s="4" vm="2393">
        <v>1271.25</v>
      </c>
      <c r="F199" s="4" vm="2394">
        <v>186.24</v>
      </c>
      <c r="G199" s="4" vm="2395">
        <v>60.6</v>
      </c>
      <c r="H199" s="4">
        <f t="shared" si="4"/>
        <v>0</v>
      </c>
    </row>
    <row r="200" spans="1:8" x14ac:dyDescent="0.3">
      <c r="A200" vm="393">
        <v>45461</v>
      </c>
      <c r="B200" s="4" vm="394">
        <v>23557.9</v>
      </c>
      <c r="C200" s="4" vm="2396">
        <v>1473.55</v>
      </c>
      <c r="D200" s="4" vm="2397">
        <v>4936.1000000000004</v>
      </c>
      <c r="E200" s="4" vm="2398">
        <v>1275.175</v>
      </c>
      <c r="F200" s="4" vm="2399">
        <v>188.61</v>
      </c>
      <c r="G200" s="4" vm="2400">
        <v>60.33</v>
      </c>
      <c r="H200" s="4">
        <f t="shared" si="4"/>
        <v>0</v>
      </c>
    </row>
    <row r="201" spans="1:8" x14ac:dyDescent="0.3">
      <c r="A201" vm="395">
        <v>45462</v>
      </c>
      <c r="B201" s="4" vm="396">
        <v>23516</v>
      </c>
      <c r="C201" s="4" vm="2401">
        <v>1449.2</v>
      </c>
      <c r="D201" s="4" vm="2402">
        <v>4880.75</v>
      </c>
      <c r="E201" s="4" vm="2403">
        <v>1263.0250000000001</v>
      </c>
      <c r="F201" s="4" vm="2404">
        <v>198.49</v>
      </c>
      <c r="G201" s="4" vm="2405">
        <v>60.71</v>
      </c>
      <c r="H201" s="4">
        <f t="shared" si="4"/>
        <v>0</v>
      </c>
    </row>
    <row r="202" spans="1:8" x14ac:dyDescent="0.3">
      <c r="A202" vm="397">
        <v>45463</v>
      </c>
      <c r="B202" s="4" vm="398">
        <v>23567</v>
      </c>
      <c r="C202" s="4" vm="2406">
        <v>1455.5</v>
      </c>
      <c r="D202" s="4" vm="2407">
        <v>4876.8999999999996</v>
      </c>
      <c r="E202" s="4" vm="2408">
        <v>1269.875</v>
      </c>
      <c r="F202" s="4" vm="2409">
        <v>197.05</v>
      </c>
      <c r="G202" s="4" vm="2410">
        <v>61.03</v>
      </c>
      <c r="H202" s="4">
        <f t="shared" si="4"/>
        <v>0</v>
      </c>
    </row>
    <row r="203" spans="1:8" x14ac:dyDescent="0.3">
      <c r="A203" vm="399">
        <v>45464</v>
      </c>
      <c r="B203" s="4" vm="400">
        <v>23501.1</v>
      </c>
      <c r="C203" s="4" vm="2411">
        <v>1464.15</v>
      </c>
      <c r="D203" s="4" vm="2412">
        <v>4845.5</v>
      </c>
      <c r="E203" s="4" vm="2413">
        <v>1249.2</v>
      </c>
      <c r="F203" s="4" vm="2414">
        <v>193.95</v>
      </c>
      <c r="G203" s="4" vm="2415">
        <v>61.53</v>
      </c>
      <c r="H203" s="4">
        <f t="shared" si="4"/>
        <v>0</v>
      </c>
    </row>
    <row r="204" spans="1:8" x14ac:dyDescent="0.3">
      <c r="A204" vm="401">
        <v>45467</v>
      </c>
      <c r="B204" s="4" vm="402">
        <v>23537.85</v>
      </c>
      <c r="C204" s="4" vm="2416">
        <v>1452.75</v>
      </c>
      <c r="D204" s="4" vm="2417">
        <v>4870.8999999999996</v>
      </c>
      <c r="E204" s="4" vm="2418">
        <v>1265.0250000000001</v>
      </c>
      <c r="F204" s="4" vm="2419">
        <v>198.92</v>
      </c>
      <c r="G204" s="4" vm="2191">
        <v>60.62</v>
      </c>
      <c r="H204" s="4">
        <f t="shared" si="4"/>
        <v>0</v>
      </c>
    </row>
    <row r="205" spans="1:8" x14ac:dyDescent="0.3">
      <c r="A205" vm="403">
        <v>45468</v>
      </c>
      <c r="B205" s="4" vm="404">
        <v>23721.3</v>
      </c>
      <c r="C205" s="4" vm="2420">
        <v>1462</v>
      </c>
      <c r="D205" s="4" vm="2421">
        <v>4775.05</v>
      </c>
      <c r="E205" s="4" vm="2422">
        <v>1257.7249999999999</v>
      </c>
      <c r="F205" s="4" vm="2423">
        <v>202.27</v>
      </c>
      <c r="G205" s="4" vm="2424">
        <v>60.75</v>
      </c>
      <c r="H205" s="4">
        <f t="shared" si="4"/>
        <v>0</v>
      </c>
    </row>
    <row r="206" spans="1:8" x14ac:dyDescent="0.3">
      <c r="A206" vm="405">
        <v>45469</v>
      </c>
      <c r="B206" s="4" vm="406">
        <v>23868.799999999999</v>
      </c>
      <c r="C206" s="4" vm="2425">
        <v>1450.9</v>
      </c>
      <c r="D206" s="4" vm="2426">
        <v>4739.7</v>
      </c>
      <c r="E206" s="4" vm="2427">
        <v>1267.125</v>
      </c>
      <c r="F206" s="4" vm="2253">
        <v>197.25</v>
      </c>
      <c r="G206" s="4" vm="2428">
        <v>60.46</v>
      </c>
      <c r="H206" s="4">
        <f t="shared" si="4"/>
        <v>0</v>
      </c>
    </row>
    <row r="207" spans="1:8" x14ac:dyDescent="0.3">
      <c r="A207" vm="407">
        <v>45470</v>
      </c>
      <c r="B207" s="4" vm="408">
        <v>24044.5</v>
      </c>
      <c r="C207" s="4" vm="2429">
        <v>1463.45</v>
      </c>
      <c r="D207" s="4" vm="2430">
        <v>4713.8</v>
      </c>
      <c r="E207" s="4" vm="2431">
        <v>1266.875</v>
      </c>
      <c r="F207" s="4" vm="2432">
        <v>200.15</v>
      </c>
      <c r="G207" s="4" vm="2433">
        <v>60.32</v>
      </c>
      <c r="H207" s="4">
        <f t="shared" si="4"/>
        <v>0</v>
      </c>
    </row>
    <row r="208" spans="1:8" x14ac:dyDescent="0.3">
      <c r="A208" vm="409">
        <v>45471</v>
      </c>
      <c r="B208" s="4" vm="410">
        <v>24010.6</v>
      </c>
      <c r="C208" s="4" vm="2434">
        <v>1491.95</v>
      </c>
      <c r="D208" s="4" vm="2307">
        <v>4672.95</v>
      </c>
      <c r="E208" s="4" vm="2435">
        <v>1275.825</v>
      </c>
      <c r="F208" s="4" vm="2436">
        <v>200.56</v>
      </c>
      <c r="G208" s="4" vm="2437">
        <v>60.63</v>
      </c>
      <c r="H208" s="4">
        <f t="shared" si="4"/>
        <v>0</v>
      </c>
    </row>
    <row r="209" spans="1:8" x14ac:dyDescent="0.3">
      <c r="A209" vm="411">
        <v>45474</v>
      </c>
      <c r="B209" s="4" vm="412">
        <v>24141.95</v>
      </c>
      <c r="C209" s="4" vm="2438">
        <v>1501.85</v>
      </c>
      <c r="D209" s="4" vm="2439">
        <v>4635.55</v>
      </c>
      <c r="E209" s="4" vm="2440">
        <v>1284.05</v>
      </c>
      <c r="F209" s="4" vm="2441">
        <v>203.97</v>
      </c>
      <c r="G209" s="4" vm="2186">
        <v>60.55</v>
      </c>
      <c r="H209" s="4">
        <f t="shared" si="4"/>
        <v>0</v>
      </c>
    </row>
    <row r="210" spans="1:8" x14ac:dyDescent="0.3">
      <c r="A210" vm="413">
        <v>45475</v>
      </c>
      <c r="B210" s="4" vm="414">
        <v>24123.85</v>
      </c>
      <c r="C210" s="4" vm="2442">
        <v>1494.9</v>
      </c>
      <c r="D210" s="4" vm="2443">
        <v>4625.75</v>
      </c>
      <c r="E210" s="4" vm="2444">
        <v>1272.2249999999999</v>
      </c>
      <c r="F210" s="4" vm="2445">
        <v>209.09</v>
      </c>
      <c r="G210" s="4" vm="2263">
        <v>60.72</v>
      </c>
      <c r="H210" s="4">
        <f t="shared" si="4"/>
        <v>0</v>
      </c>
    </row>
    <row r="211" spans="1:8" x14ac:dyDescent="0.3">
      <c r="A211" vm="415">
        <v>45476</v>
      </c>
      <c r="B211" s="4" vm="416">
        <v>24286.5</v>
      </c>
      <c r="C211" s="4" vm="2446">
        <v>1496.35</v>
      </c>
      <c r="D211" s="4" vm="2447">
        <v>4692.3</v>
      </c>
      <c r="E211" s="4" vm="2448">
        <v>1275.75</v>
      </c>
      <c r="F211" s="4" vm="2449">
        <v>208.44</v>
      </c>
      <c r="G211" s="4" vm="2450">
        <v>61.07</v>
      </c>
      <c r="H211" s="4">
        <f t="shared" si="4"/>
        <v>0</v>
      </c>
    </row>
    <row r="212" spans="1:8" x14ac:dyDescent="0.3">
      <c r="A212" vm="417">
        <v>45477</v>
      </c>
      <c r="B212" s="4" vm="418">
        <v>24302.15</v>
      </c>
      <c r="C212" s="4" vm="2451">
        <v>1507.75</v>
      </c>
      <c r="D212" s="4" vm="2452">
        <v>4689.5</v>
      </c>
      <c r="E212" s="4" vm="2453">
        <v>1272.575</v>
      </c>
      <c r="F212" s="4" vm="2454">
        <v>207.44</v>
      </c>
      <c r="G212" s="4" vm="2350">
        <v>61.29</v>
      </c>
      <c r="H212" s="4">
        <f t="shared" si="4"/>
        <v>0</v>
      </c>
    </row>
    <row r="213" spans="1:8" x14ac:dyDescent="0.3">
      <c r="A213" vm="419">
        <v>45478</v>
      </c>
      <c r="B213" s="4" vm="420">
        <v>24323.85</v>
      </c>
      <c r="C213" s="4" vm="2455">
        <v>1529.4</v>
      </c>
      <c r="D213" s="4" vm="2456">
        <v>4737.3</v>
      </c>
      <c r="E213" s="4" vm="2457">
        <v>1287.075</v>
      </c>
      <c r="F213" s="4" vm="2458">
        <v>207.57</v>
      </c>
      <c r="G213" s="4" vm="2459">
        <v>61.48</v>
      </c>
      <c r="H213" s="4">
        <f t="shared" si="4"/>
        <v>0</v>
      </c>
    </row>
    <row r="214" spans="1:8" x14ac:dyDescent="0.3">
      <c r="A214" vm="421">
        <v>45481</v>
      </c>
      <c r="B214" s="4" vm="422">
        <v>24320.55</v>
      </c>
      <c r="C214" s="4" vm="2460">
        <v>1514.95</v>
      </c>
      <c r="D214" s="4" vm="2461">
        <v>4754.45</v>
      </c>
      <c r="E214" s="4" vm="2462">
        <v>1301.7</v>
      </c>
      <c r="F214" s="4" vm="2463">
        <v>207.93</v>
      </c>
      <c r="G214" s="4" vm="2464">
        <v>61.57</v>
      </c>
      <c r="H214" s="4">
        <f t="shared" si="4"/>
        <v>0</v>
      </c>
    </row>
    <row r="215" spans="1:8" x14ac:dyDescent="0.3">
      <c r="A215" vm="423">
        <v>45482</v>
      </c>
      <c r="B215" s="4" vm="424">
        <v>24433.200000000001</v>
      </c>
      <c r="C215" s="4" vm="2465">
        <v>1524.75</v>
      </c>
      <c r="D215" s="4" vm="2466">
        <v>4828.7</v>
      </c>
      <c r="E215" s="4" vm="2467">
        <v>1316.55</v>
      </c>
      <c r="F215" s="4" vm="2468">
        <v>212.56</v>
      </c>
      <c r="G215" s="4" vm="2469">
        <v>61.38</v>
      </c>
      <c r="H215" s="4">
        <f t="shared" si="4"/>
        <v>0</v>
      </c>
    </row>
    <row r="216" spans="1:8" x14ac:dyDescent="0.3">
      <c r="A216" vm="425">
        <v>45483</v>
      </c>
      <c r="B216" s="4" vm="426">
        <v>24324.45</v>
      </c>
      <c r="C216" s="4" vm="2470">
        <v>1558.8</v>
      </c>
      <c r="D216" s="4" vm="2471">
        <v>4849.1499999999996</v>
      </c>
      <c r="E216" s="4" vm="2472">
        <v>1308.2249999999999</v>
      </c>
      <c r="F216" s="4" vm="2473">
        <v>211.37</v>
      </c>
      <c r="G216" s="4" vm="2474">
        <v>61.54</v>
      </c>
      <c r="H216" s="4">
        <f t="shared" si="4"/>
        <v>0</v>
      </c>
    </row>
    <row r="217" spans="1:8" x14ac:dyDescent="0.3">
      <c r="A217" vm="427">
        <v>45484</v>
      </c>
      <c r="B217" s="4" vm="428">
        <v>24315.95</v>
      </c>
      <c r="C217" s="4" vm="2470">
        <v>1558.8</v>
      </c>
      <c r="D217" s="4" vm="2475">
        <v>4828.6499999999996</v>
      </c>
      <c r="E217" s="4" vm="2476">
        <v>1296.5999999999999</v>
      </c>
      <c r="F217" s="4" vm="2477">
        <v>217.14</v>
      </c>
      <c r="G217" s="4" vm="2478">
        <v>61.68</v>
      </c>
      <c r="H217" s="4">
        <f t="shared" si="4"/>
        <v>0</v>
      </c>
    </row>
    <row r="218" spans="1:8" x14ac:dyDescent="0.3">
      <c r="A218" vm="429">
        <v>45485</v>
      </c>
      <c r="B218" s="4" vm="430">
        <v>24502.15</v>
      </c>
      <c r="C218" s="4" vm="2479">
        <v>1562.85</v>
      </c>
      <c r="D218" s="4" vm="2480">
        <v>4860.7</v>
      </c>
      <c r="E218" s="4" vm="2481">
        <v>1304.5</v>
      </c>
      <c r="F218" s="4" vm="2482">
        <v>222.47</v>
      </c>
      <c r="G218" s="4" vm="2205">
        <v>61.89</v>
      </c>
      <c r="H218" s="4">
        <f t="shared" si="4"/>
        <v>0</v>
      </c>
    </row>
    <row r="219" spans="1:8" x14ac:dyDescent="0.3">
      <c r="A219" vm="431">
        <v>45488</v>
      </c>
      <c r="B219" s="4" vm="432">
        <v>24586.7</v>
      </c>
      <c r="C219" s="4" vm="2483">
        <v>1613.45</v>
      </c>
      <c r="D219" s="4" vm="2484">
        <v>4881.3500000000004</v>
      </c>
      <c r="E219" s="4" vm="2485">
        <v>1302.55</v>
      </c>
      <c r="F219" s="4" vm="2486">
        <v>229.15</v>
      </c>
      <c r="G219" s="4" vm="2282">
        <v>61.92</v>
      </c>
      <c r="H219" s="4">
        <f t="shared" si="4"/>
        <v>0</v>
      </c>
    </row>
    <row r="220" spans="1:8" x14ac:dyDescent="0.3">
      <c r="A220" vm="433">
        <v>45489</v>
      </c>
      <c r="B220" s="4" vm="434">
        <v>24613</v>
      </c>
      <c r="C220" s="4" vm="2487">
        <v>1621.35</v>
      </c>
      <c r="D220" s="4" vm="2488">
        <v>4916.1000000000004</v>
      </c>
      <c r="E220" s="4" vm="2489">
        <v>1303.6500000000001</v>
      </c>
      <c r="F220" s="4" vm="2490">
        <v>217.49</v>
      </c>
      <c r="G220" s="4" vm="2491">
        <v>62.44</v>
      </c>
      <c r="H220" s="4">
        <f t="shared" si="4"/>
        <v>0</v>
      </c>
    </row>
    <row r="221" spans="1:8" x14ac:dyDescent="0.3">
      <c r="A221" vm="435">
        <v>45491</v>
      </c>
      <c r="B221" s="4" vm="436">
        <v>24800.85</v>
      </c>
      <c r="C221" s="4" vm="2492">
        <v>1659.8</v>
      </c>
      <c r="D221" s="4" vm="2493">
        <v>4941.1000000000004</v>
      </c>
      <c r="E221" s="4" vm="2494">
        <v>1313.5250000000001</v>
      </c>
      <c r="F221" s="4" vm="2495">
        <v>220.62</v>
      </c>
      <c r="G221" s="4" vm="2496">
        <v>62.91</v>
      </c>
      <c r="H221" s="4">
        <f t="shared" si="4"/>
        <v>0</v>
      </c>
    </row>
    <row r="222" spans="1:8" x14ac:dyDescent="0.3">
      <c r="A222" vm="437">
        <v>45492</v>
      </c>
      <c r="B222" s="4" vm="438">
        <v>24530.9</v>
      </c>
      <c r="C222" s="4" vm="2497">
        <v>1647.7</v>
      </c>
      <c r="D222" s="4" vm="2498">
        <v>4850.7</v>
      </c>
      <c r="E222" s="4" vm="2499">
        <v>1298.925</v>
      </c>
      <c r="F222" s="4" vm="2500">
        <v>218.89</v>
      </c>
      <c r="G222" s="4" vm="2501">
        <v>62.41</v>
      </c>
      <c r="H222" s="4">
        <f t="shared" si="4"/>
        <v>0</v>
      </c>
    </row>
    <row r="223" spans="1:8" x14ac:dyDescent="0.3">
      <c r="A223" vm="439">
        <v>45495</v>
      </c>
      <c r="B223" s="4" vm="440">
        <v>24509.25</v>
      </c>
      <c r="C223" s="4" vm="2502">
        <v>1621.15</v>
      </c>
      <c r="D223" s="4" vm="2503">
        <v>4857.3500000000004</v>
      </c>
      <c r="E223" s="4" vm="2504">
        <v>1293.6500000000001</v>
      </c>
      <c r="F223" s="4" vm="2505">
        <v>221.66</v>
      </c>
      <c r="G223" s="4" vm="2506">
        <v>62.08</v>
      </c>
      <c r="H223" s="4">
        <f t="shared" si="4"/>
        <v>0</v>
      </c>
    </row>
    <row r="224" spans="1:8" x14ac:dyDescent="0.3">
      <c r="A224" vm="441">
        <v>45496</v>
      </c>
      <c r="B224" s="4" vm="442">
        <v>24479.05</v>
      </c>
      <c r="C224" s="4" vm="2507">
        <v>1594.85</v>
      </c>
      <c r="D224" s="4" vm="2508">
        <v>4919.55</v>
      </c>
      <c r="E224" s="4" vm="2509">
        <v>1290.7750000000001</v>
      </c>
      <c r="F224" s="4" vm="2510">
        <v>217.91</v>
      </c>
      <c r="G224" s="4" vm="2511">
        <v>60.16</v>
      </c>
      <c r="H224" s="4">
        <f t="shared" si="4"/>
        <v>0</v>
      </c>
    </row>
    <row r="225" spans="1:8" x14ac:dyDescent="0.3">
      <c r="A225" vm="443">
        <v>45497</v>
      </c>
      <c r="B225" s="4" vm="444">
        <v>24413.5</v>
      </c>
      <c r="C225" s="4" vm="2512">
        <v>1632.95</v>
      </c>
      <c r="D225" s="4" vm="2513">
        <v>4915.3500000000004</v>
      </c>
      <c r="E225" s="4" vm="2514">
        <v>1270.7</v>
      </c>
      <c r="F225" s="4" vm="2515">
        <v>223.49</v>
      </c>
      <c r="G225" s="4" vm="2516">
        <v>59.6</v>
      </c>
      <c r="H225" s="4">
        <f t="shared" si="4"/>
        <v>0</v>
      </c>
    </row>
    <row r="226" spans="1:8" x14ac:dyDescent="0.3">
      <c r="A226" vm="445">
        <v>45498</v>
      </c>
      <c r="B226" s="4" vm="446">
        <v>24406.1</v>
      </c>
      <c r="C226" s="4" vm="2517">
        <v>1695.4</v>
      </c>
      <c r="D226" s="4" vm="2518">
        <v>4900.6499999999996</v>
      </c>
      <c r="E226" s="4" vm="2519">
        <v>1240.325</v>
      </c>
      <c r="F226" s="4" vm="2520">
        <v>219.31</v>
      </c>
      <c r="G226" s="4" vm="2521">
        <v>59.37</v>
      </c>
      <c r="H226" s="4">
        <f t="shared" si="4"/>
        <v>0</v>
      </c>
    </row>
    <row r="227" spans="1:8" x14ac:dyDescent="0.3">
      <c r="A227" vm="447">
        <v>45499</v>
      </c>
      <c r="B227" s="4" vm="448">
        <v>24834.85</v>
      </c>
      <c r="C227" s="4" vm="2522">
        <v>1750.95</v>
      </c>
      <c r="D227" s="4" vm="2523">
        <v>5012.5</v>
      </c>
      <c r="E227" s="4" vm="2524">
        <v>1238.45</v>
      </c>
      <c r="F227" s="4" vm="2525">
        <v>224.62</v>
      </c>
      <c r="G227" s="4" vm="2526">
        <v>59.99</v>
      </c>
      <c r="H227" s="4">
        <f t="shared" si="4"/>
        <v>0</v>
      </c>
    </row>
    <row r="228" spans="1:8" x14ac:dyDescent="0.3">
      <c r="A228" vm="449">
        <v>45502</v>
      </c>
      <c r="B228" s="4" vm="450">
        <v>24836.1</v>
      </c>
      <c r="C228" s="4" vm="2527">
        <v>1746.7</v>
      </c>
      <c r="D228" s="4" vm="2528">
        <v>4962.25</v>
      </c>
      <c r="E228" s="4" vm="2529">
        <v>1235.1500000000001</v>
      </c>
      <c r="F228" s="4" vm="2530">
        <v>226.89</v>
      </c>
      <c r="G228" s="4" vm="2531">
        <v>58.78</v>
      </c>
      <c r="H228" s="4">
        <f t="shared" si="4"/>
        <v>0</v>
      </c>
    </row>
    <row r="229" spans="1:8" x14ac:dyDescent="0.3">
      <c r="A229" vm="451">
        <v>45503</v>
      </c>
      <c r="B229" s="4" vm="452">
        <v>24857.3</v>
      </c>
      <c r="C229" s="4" vm="2532">
        <v>1721.05</v>
      </c>
      <c r="D229" s="4" vm="2533">
        <v>4951.8500000000004</v>
      </c>
      <c r="E229" s="4" vm="2534">
        <v>1228.825</v>
      </c>
      <c r="F229" s="4" vm="2535">
        <v>227.13</v>
      </c>
      <c r="G229" s="4" vm="2536">
        <v>58.35</v>
      </c>
      <c r="H229" s="4">
        <f t="shared" si="4"/>
        <v>0</v>
      </c>
    </row>
    <row r="230" spans="1:8" x14ac:dyDescent="0.3">
      <c r="A230" vm="453">
        <v>45504</v>
      </c>
      <c r="B230" s="4" vm="454">
        <v>24951.15</v>
      </c>
      <c r="C230" s="4" vm="2537">
        <v>1753.65</v>
      </c>
      <c r="D230" s="4" vm="2538">
        <v>4962.7</v>
      </c>
      <c r="E230" s="4" vm="2539">
        <v>1228.175</v>
      </c>
      <c r="F230" s="4" vm="2540">
        <v>229.45</v>
      </c>
      <c r="G230" s="4" vm="2541">
        <v>58.68</v>
      </c>
      <c r="H230" s="4">
        <f t="shared" si="4"/>
        <v>0</v>
      </c>
    </row>
    <row r="231" spans="1:8" x14ac:dyDescent="0.3">
      <c r="A231" vm="455">
        <v>45505</v>
      </c>
      <c r="B231" s="4" vm="456">
        <v>25010.9</v>
      </c>
      <c r="C231" s="4" vm="2542">
        <v>1767.25</v>
      </c>
      <c r="D231" s="4" vm="2543">
        <v>4968.8</v>
      </c>
      <c r="E231" s="4" vm="2544">
        <v>1242</v>
      </c>
      <c r="F231" s="4" vm="2545">
        <v>234.09</v>
      </c>
      <c r="G231" s="4" vm="2546">
        <v>59.09</v>
      </c>
      <c r="H231" s="4">
        <f t="shared" si="4"/>
        <v>0</v>
      </c>
    </row>
    <row r="232" spans="1:8" x14ac:dyDescent="0.3">
      <c r="A232" vm="457">
        <v>45506</v>
      </c>
      <c r="B232" s="4" vm="458">
        <v>24717.7</v>
      </c>
      <c r="C232" s="4" vm="2547">
        <v>1744.9</v>
      </c>
      <c r="D232" s="4" vm="2548">
        <v>4726.7</v>
      </c>
      <c r="E232" s="4" vm="2549">
        <v>1247.55</v>
      </c>
      <c r="F232" s="4" vm="2550">
        <v>262.33999999999997</v>
      </c>
      <c r="G232" s="4" vm="2551">
        <v>59.67</v>
      </c>
      <c r="H232" s="4">
        <f t="shared" si="4"/>
        <v>0</v>
      </c>
    </row>
    <row r="233" spans="1:8" x14ac:dyDescent="0.3">
      <c r="A233" vm="459">
        <v>45509</v>
      </c>
      <c r="B233" s="4" vm="460">
        <v>24055.599999999999</v>
      </c>
      <c r="C233" s="4" vm="2552">
        <v>1722.2</v>
      </c>
      <c r="D233" s="4" vm="2553">
        <v>4675.75</v>
      </c>
      <c r="E233" s="4" vm="2554">
        <v>1255.45</v>
      </c>
      <c r="F233" s="4" vm="2555">
        <v>256.29000000000002</v>
      </c>
      <c r="G233" s="4" vm="2556">
        <v>58.74</v>
      </c>
      <c r="H233" s="4">
        <f t="shared" si="4"/>
        <v>0</v>
      </c>
    </row>
    <row r="234" spans="1:8" x14ac:dyDescent="0.3">
      <c r="A234" vm="461">
        <v>45510</v>
      </c>
      <c r="B234" s="4" vm="462">
        <v>23992.55</v>
      </c>
      <c r="C234" s="4" vm="2557">
        <v>1674.5</v>
      </c>
      <c r="D234" s="4" vm="2558">
        <v>4653.8999999999996</v>
      </c>
      <c r="E234" s="4" vm="2559">
        <v>1254.25</v>
      </c>
      <c r="F234" s="4" vm="2560">
        <v>249.08</v>
      </c>
      <c r="G234" s="4" vm="2561">
        <v>58.62</v>
      </c>
      <c r="H234" s="4">
        <f t="shared" si="4"/>
        <v>0</v>
      </c>
    </row>
    <row r="235" spans="1:8" x14ac:dyDescent="0.3">
      <c r="A235" vm="463">
        <v>45511</v>
      </c>
      <c r="B235" s="4" vm="464">
        <v>24297.5</v>
      </c>
      <c r="C235" s="4" vm="2562">
        <v>1685.7</v>
      </c>
      <c r="D235" s="4" vm="2563">
        <v>4597.1499999999996</v>
      </c>
      <c r="E235" s="4" vm="2564">
        <v>1261.4000000000001</v>
      </c>
      <c r="F235" s="4" vm="2565">
        <v>265.67</v>
      </c>
      <c r="G235" s="4" vm="2566">
        <v>58.2</v>
      </c>
      <c r="H235" s="4">
        <f t="shared" si="4"/>
        <v>0</v>
      </c>
    </row>
    <row r="236" spans="1:8" x14ac:dyDescent="0.3">
      <c r="A236" vm="465">
        <v>45512</v>
      </c>
      <c r="B236" s="4" vm="466">
        <v>24117</v>
      </c>
      <c r="C236" s="4" vm="2567">
        <v>1706.3</v>
      </c>
      <c r="D236" s="4" vm="2568">
        <v>4576.8999999999996</v>
      </c>
      <c r="E236" s="4" vm="2569">
        <v>1244.55</v>
      </c>
      <c r="F236" s="4" vm="2570">
        <v>265.58999999999997</v>
      </c>
      <c r="G236" s="4" vm="2571">
        <v>58.09</v>
      </c>
      <c r="H236" s="4">
        <f t="shared" si="4"/>
        <v>0</v>
      </c>
    </row>
    <row r="237" spans="1:8" x14ac:dyDescent="0.3">
      <c r="A237" vm="467">
        <v>45513</v>
      </c>
      <c r="B237" s="4" vm="468">
        <v>24367.5</v>
      </c>
      <c r="C237" s="4" vm="2572">
        <v>1725.1</v>
      </c>
      <c r="D237" s="4" vm="2573">
        <v>4830.6000000000004</v>
      </c>
      <c r="E237" s="4" vm="2574">
        <v>1252.3499999999999</v>
      </c>
      <c r="F237" s="4" vm="2575">
        <v>267.08999999999997</v>
      </c>
      <c r="G237" s="4" vm="2576">
        <v>58.66</v>
      </c>
      <c r="H237" s="4">
        <f t="shared" si="4"/>
        <v>0</v>
      </c>
    </row>
    <row r="238" spans="1:8" x14ac:dyDescent="0.3">
      <c r="A238" vm="469">
        <v>45516</v>
      </c>
      <c r="B238" s="4" vm="470">
        <v>24347</v>
      </c>
      <c r="C238" s="4" vm="2577">
        <v>1705</v>
      </c>
      <c r="D238" s="4" vm="2578">
        <v>4808.8</v>
      </c>
      <c r="E238" s="4" vm="2579">
        <v>1236.55</v>
      </c>
      <c r="F238" s="4" vm="2580">
        <v>263.43</v>
      </c>
      <c r="G238" s="4" vm="2581">
        <v>59.02</v>
      </c>
      <c r="H238" s="4">
        <f t="shared" si="4"/>
        <v>0</v>
      </c>
    </row>
    <row r="239" spans="1:8" x14ac:dyDescent="0.3">
      <c r="A239" vm="471">
        <v>45517</v>
      </c>
      <c r="B239" s="4" vm="472">
        <v>24139</v>
      </c>
      <c r="C239" s="4" vm="2582">
        <v>1682.4</v>
      </c>
      <c r="D239" s="4" vm="2583">
        <v>4802.25</v>
      </c>
      <c r="E239" s="4" vm="2584">
        <v>1242.3499999999999</v>
      </c>
      <c r="F239" s="4" vm="2585">
        <v>257.08</v>
      </c>
      <c r="G239" s="4" vm="2586">
        <v>59.4</v>
      </c>
      <c r="H239" s="4">
        <f t="shared" si="4"/>
        <v>0</v>
      </c>
    </row>
    <row r="240" spans="1:8" x14ac:dyDescent="0.3">
      <c r="A240" vm="473">
        <v>45518</v>
      </c>
      <c r="B240" s="4" vm="474">
        <v>24143.75</v>
      </c>
      <c r="C240" s="4" vm="2587">
        <v>1692.1</v>
      </c>
      <c r="D240" s="4" vm="2588">
        <v>4733.25</v>
      </c>
      <c r="E240" s="4" vm="2589">
        <v>1237.3</v>
      </c>
      <c r="F240" s="4" vm="2590">
        <v>260.14</v>
      </c>
      <c r="G240" s="4" vm="2591">
        <v>59.61</v>
      </c>
      <c r="H240" s="4">
        <f t="shared" si="4"/>
        <v>0</v>
      </c>
    </row>
    <row r="241" spans="1:8" x14ac:dyDescent="0.3">
      <c r="A241" vm="475">
        <v>45520</v>
      </c>
      <c r="B241" s="4" vm="476">
        <v>24541.15</v>
      </c>
      <c r="C241" s="4" vm="2592">
        <v>1688.9</v>
      </c>
      <c r="D241" s="4" vm="2593">
        <v>4818</v>
      </c>
      <c r="E241" s="4" vm="2594">
        <v>1262.7249999999999</v>
      </c>
      <c r="F241" s="4" vm="2595">
        <v>264.43</v>
      </c>
      <c r="G241" s="4" vm="2596">
        <v>59.47</v>
      </c>
      <c r="H241" s="4">
        <f t="shared" si="4"/>
        <v>0</v>
      </c>
    </row>
    <row r="242" spans="1:8" x14ac:dyDescent="0.3">
      <c r="A242" vm="477">
        <v>45523</v>
      </c>
      <c r="B242" s="4" vm="478">
        <v>24572.65</v>
      </c>
      <c r="C242" s="4" vm="2597">
        <v>1671.55</v>
      </c>
      <c r="D242" s="4" vm="2598">
        <v>4813.3</v>
      </c>
      <c r="E242" s="4" vm="2599">
        <v>1251.575</v>
      </c>
      <c r="F242" s="4" vm="2600">
        <v>262.17</v>
      </c>
      <c r="G242" s="4" vm="2601">
        <v>60.34</v>
      </c>
      <c r="H242" s="4">
        <f t="shared" si="4"/>
        <v>0</v>
      </c>
    </row>
    <row r="243" spans="1:8" x14ac:dyDescent="0.3">
      <c r="A243" vm="479">
        <v>45524</v>
      </c>
      <c r="B243" s="4" vm="480">
        <v>24698.85</v>
      </c>
      <c r="C243" s="4" vm="2602">
        <v>1761.3</v>
      </c>
      <c r="D243" s="4" vm="2603">
        <v>4883.25</v>
      </c>
      <c r="E243" s="4" vm="2604">
        <v>1259.25</v>
      </c>
      <c r="F243" s="4" vm="2605">
        <v>263.12</v>
      </c>
      <c r="G243" s="4" vm="2606">
        <v>60.67</v>
      </c>
      <c r="H243" s="4">
        <f t="shared" si="4"/>
        <v>0</v>
      </c>
    </row>
    <row r="244" spans="1:8" x14ac:dyDescent="0.3">
      <c r="A244" vm="481">
        <v>45525</v>
      </c>
      <c r="B244" s="4" vm="482">
        <v>24770.2</v>
      </c>
      <c r="C244" s="4" vm="2607">
        <v>1800.6</v>
      </c>
      <c r="D244" s="4" vm="2608">
        <v>4913.55</v>
      </c>
      <c r="E244" s="4" vm="2389">
        <v>1275.875</v>
      </c>
      <c r="F244" s="4" vm="2609">
        <v>260.02999999999997</v>
      </c>
      <c r="G244" s="4" vm="2610">
        <v>60.38</v>
      </c>
      <c r="H244" s="4">
        <f t="shared" si="4"/>
        <v>0</v>
      </c>
    </row>
    <row r="245" spans="1:8" x14ac:dyDescent="0.3">
      <c r="A245" vm="483">
        <v>45526</v>
      </c>
      <c r="B245" s="4" vm="484">
        <v>24811.5</v>
      </c>
      <c r="C245" s="4" vm="2611">
        <v>1795.25</v>
      </c>
      <c r="D245" s="4" vm="2612">
        <v>4933.55</v>
      </c>
      <c r="E245" s="4" vm="2613">
        <v>1275.5</v>
      </c>
      <c r="F245" s="4" vm="2614">
        <v>257.95999999999998</v>
      </c>
      <c r="G245" s="4" vm="2615">
        <v>60.45</v>
      </c>
      <c r="H245" s="4">
        <f t="shared" si="4"/>
        <v>0</v>
      </c>
    </row>
    <row r="246" spans="1:8" x14ac:dyDescent="0.3">
      <c r="A246" vm="485">
        <v>45527</v>
      </c>
      <c r="B246" s="4" vm="486">
        <v>24823.15</v>
      </c>
      <c r="C246" s="4" vm="2616">
        <v>1789.3</v>
      </c>
      <c r="D246" s="4" vm="2617">
        <v>4898.1000000000004</v>
      </c>
      <c r="E246" s="4" vm="2618">
        <v>1264.5999999999999</v>
      </c>
      <c r="F246" s="4" vm="2619">
        <v>262.64999999999998</v>
      </c>
      <c r="G246" s="4" vm="2224">
        <v>60.25</v>
      </c>
      <c r="H246" s="4">
        <f t="shared" si="4"/>
        <v>0</v>
      </c>
    </row>
    <row r="247" spans="1:8" x14ac:dyDescent="0.3">
      <c r="A247" vm="487">
        <v>45530</v>
      </c>
      <c r="B247" s="4" vm="488">
        <v>25010.6</v>
      </c>
      <c r="C247" s="4" vm="2620">
        <v>1796.25</v>
      </c>
      <c r="D247" s="4" vm="2621">
        <v>4875.2</v>
      </c>
      <c r="E247" s="4" vm="2622">
        <v>1259.7750000000001</v>
      </c>
      <c r="F247" s="4" vm="2623">
        <v>259.39</v>
      </c>
      <c r="G247" s="4" vm="2624">
        <v>60.83</v>
      </c>
      <c r="H247" s="4">
        <f t="shared" si="4"/>
        <v>0</v>
      </c>
    </row>
    <row r="248" spans="1:8" x14ac:dyDescent="0.3">
      <c r="A248" vm="489">
        <v>45531</v>
      </c>
      <c r="B248" s="4" vm="490">
        <v>25017.75</v>
      </c>
      <c r="C248" s="4" vm="2625">
        <v>1838.95</v>
      </c>
      <c r="D248" s="4" vm="2626">
        <v>4868.8500000000004</v>
      </c>
      <c r="E248" s="4" vm="2627">
        <v>1260.7249999999999</v>
      </c>
      <c r="F248" s="4" vm="2628">
        <v>256.05</v>
      </c>
      <c r="G248" s="4" vm="2186">
        <v>60.55</v>
      </c>
      <c r="H248" s="4">
        <f t="shared" si="4"/>
        <v>0</v>
      </c>
    </row>
    <row r="249" spans="1:8" x14ac:dyDescent="0.3">
      <c r="A249" vm="491">
        <v>45532</v>
      </c>
      <c r="B249" s="4" vm="492">
        <v>25052.35</v>
      </c>
      <c r="C249" s="4" vm="2629">
        <v>1843.7</v>
      </c>
      <c r="D249" s="4" vm="2630">
        <v>4946.8500000000004</v>
      </c>
      <c r="E249" s="4" vm="2631">
        <v>1246.25</v>
      </c>
      <c r="F249" s="4" vm="2632">
        <v>253.04</v>
      </c>
      <c r="G249" s="4" vm="2186">
        <v>60.55</v>
      </c>
      <c r="H249" s="4">
        <f t="shared" si="4"/>
        <v>0</v>
      </c>
    </row>
    <row r="250" spans="1:8" x14ac:dyDescent="0.3">
      <c r="A250" vm="493">
        <v>45533</v>
      </c>
      <c r="B250" s="4" vm="494">
        <v>25151.95</v>
      </c>
      <c r="C250" s="4" vm="2629">
        <v>1843.7</v>
      </c>
      <c r="D250" s="4" vm="2633">
        <v>4915.8999999999996</v>
      </c>
      <c r="E250" s="4" vm="2634">
        <v>1252.2750000000001</v>
      </c>
      <c r="F250" s="4" vm="2635">
        <v>252.34</v>
      </c>
      <c r="G250" s="4" vm="2636">
        <v>60.57</v>
      </c>
      <c r="H250" s="4">
        <f t="shared" si="4"/>
        <v>0</v>
      </c>
    </row>
    <row r="251" spans="1:8" x14ac:dyDescent="0.3">
      <c r="A251" vm="495">
        <v>45534</v>
      </c>
      <c r="B251" s="4" vm="496">
        <v>25235.9</v>
      </c>
      <c r="C251" s="4" vm="2637">
        <v>1850.3</v>
      </c>
      <c r="D251" s="4" vm="2638">
        <v>4960.5</v>
      </c>
      <c r="E251" s="4" vm="2639">
        <v>1250.375</v>
      </c>
      <c r="F251" s="4" vm="2640">
        <v>250.53</v>
      </c>
      <c r="G251" s="4" vm="2641">
        <v>60.66</v>
      </c>
      <c r="H251" s="4">
        <f t="shared" si="4"/>
        <v>0</v>
      </c>
    </row>
    <row r="252" spans="1:8" x14ac:dyDescent="0.3">
      <c r="A252" vm="497">
        <v>45537</v>
      </c>
      <c r="B252" s="4" vm="498">
        <v>25278.7</v>
      </c>
      <c r="C252" s="4" vm="2642">
        <v>1888.75</v>
      </c>
      <c r="D252" s="4" vm="2643">
        <v>4911.95</v>
      </c>
      <c r="E252" s="4" vm="2644">
        <v>1254.95</v>
      </c>
      <c r="F252" s="4" vm="2645">
        <v>244.45</v>
      </c>
      <c r="G252" s="4" vm="2224">
        <v>60.25</v>
      </c>
      <c r="H252" s="4">
        <f t="shared" si="4"/>
        <v>0</v>
      </c>
    </row>
    <row r="253" spans="1:8" x14ac:dyDescent="0.3">
      <c r="A253" vm="499">
        <v>45538</v>
      </c>
      <c r="B253" s="4" vm="500">
        <v>25279.85</v>
      </c>
      <c r="C253" s="4" vm="2646">
        <v>1928.65</v>
      </c>
      <c r="D253" s="4" vm="2647">
        <v>4865.8</v>
      </c>
      <c r="E253" s="4" vm="2648">
        <v>1265.375</v>
      </c>
      <c r="F253" s="4" vm="2649">
        <v>247.7</v>
      </c>
      <c r="G253" s="4" vm="2650">
        <v>60.36</v>
      </c>
      <c r="H253" s="4">
        <f t="shared" si="4"/>
        <v>0</v>
      </c>
    </row>
    <row r="254" spans="1:8" x14ac:dyDescent="0.3">
      <c r="A254" vm="501">
        <v>45539</v>
      </c>
      <c r="B254" s="4" vm="502">
        <v>25198.7</v>
      </c>
      <c r="C254" s="4" vm="2651">
        <v>1912.2</v>
      </c>
      <c r="D254" s="4" vm="2652">
        <v>4833.55</v>
      </c>
      <c r="E254" s="4" vm="2653">
        <v>1267.375</v>
      </c>
      <c r="F254" s="4" vm="2654">
        <v>242.85</v>
      </c>
      <c r="G254" s="4" vm="2655">
        <v>59.83</v>
      </c>
      <c r="H254" s="4">
        <f t="shared" si="4"/>
        <v>0</v>
      </c>
    </row>
    <row r="255" spans="1:8" x14ac:dyDescent="0.3">
      <c r="A255" vm="503">
        <v>45540</v>
      </c>
      <c r="B255" s="4" vm="504">
        <v>25145.1</v>
      </c>
      <c r="C255" s="4" vm="2656">
        <v>1907.85</v>
      </c>
      <c r="D255" s="4" vm="2657">
        <v>4800.1000000000004</v>
      </c>
      <c r="E255" s="4" vm="2658">
        <v>1252.45</v>
      </c>
      <c r="F255" s="4" vm="2659">
        <v>254.85</v>
      </c>
      <c r="G255" s="4" vm="2186">
        <v>60.55</v>
      </c>
      <c r="H255" s="4">
        <f t="shared" si="4"/>
        <v>0</v>
      </c>
    </row>
    <row r="256" spans="1:8" x14ac:dyDescent="0.3">
      <c r="A256" vm="505">
        <v>45541</v>
      </c>
      <c r="B256" s="4" vm="506">
        <v>24852.15</v>
      </c>
      <c r="C256" s="4" vm="2660">
        <v>1896.3</v>
      </c>
      <c r="D256" s="4" vm="2661">
        <v>4752.5</v>
      </c>
      <c r="E256" s="4" vm="2662">
        <v>1251.5999999999999</v>
      </c>
      <c r="F256" s="4" vm="2663">
        <v>259.95</v>
      </c>
      <c r="G256" s="4" vm="2641">
        <v>60.66</v>
      </c>
      <c r="H256" s="4">
        <f t="shared" si="4"/>
        <v>0</v>
      </c>
    </row>
    <row r="257" spans="1:8" x14ac:dyDescent="0.3">
      <c r="A257" vm="507">
        <v>45544</v>
      </c>
      <c r="B257" s="4" vm="508">
        <v>24936.400000000001</v>
      </c>
      <c r="C257" s="4" vm="2664">
        <v>1901.75</v>
      </c>
      <c r="D257" s="4" vm="2665">
        <v>4747.3500000000004</v>
      </c>
      <c r="E257" s="4" vm="2666">
        <v>1258.375</v>
      </c>
      <c r="F257" s="4" vm="2667">
        <v>263.2</v>
      </c>
      <c r="G257" s="4" vm="2511">
        <v>60.16</v>
      </c>
      <c r="H257" s="4">
        <f t="shared" si="4"/>
        <v>0</v>
      </c>
    </row>
    <row r="258" spans="1:8" x14ac:dyDescent="0.3">
      <c r="A258" vm="509">
        <v>45545</v>
      </c>
      <c r="B258" s="4" vm="510">
        <v>25041.1</v>
      </c>
      <c r="C258" s="4" vm="2668">
        <v>1853.45</v>
      </c>
      <c r="D258" s="4" vm="2669">
        <v>4737.2</v>
      </c>
      <c r="E258" s="4" vm="2670">
        <v>1267.75</v>
      </c>
      <c r="F258" s="4" vm="2671">
        <v>267.7</v>
      </c>
      <c r="G258" s="4" vm="2650">
        <v>60.36</v>
      </c>
      <c r="H258" s="4">
        <f t="shared" si="4"/>
        <v>0</v>
      </c>
    </row>
    <row r="259" spans="1:8" x14ac:dyDescent="0.3">
      <c r="A259" vm="511">
        <v>45546</v>
      </c>
      <c r="B259" s="4" vm="512">
        <v>24918.45</v>
      </c>
      <c r="C259" s="4" vm="2672">
        <v>1859.15</v>
      </c>
      <c r="D259" s="4" vm="2673">
        <v>4726.6499999999996</v>
      </c>
      <c r="E259" s="4" vm="2674">
        <v>1263.425</v>
      </c>
      <c r="F259" s="4" vm="2675">
        <v>271.75</v>
      </c>
      <c r="G259" s="4" vm="2405">
        <v>60.71</v>
      </c>
      <c r="H259" s="4">
        <f t="shared" si="4"/>
        <v>0</v>
      </c>
    </row>
    <row r="260" spans="1:8" x14ac:dyDescent="0.3">
      <c r="A260" vm="513">
        <v>45547</v>
      </c>
      <c r="B260" s="4" vm="514">
        <v>25388.9</v>
      </c>
      <c r="C260" s="4" vm="2676">
        <v>1875.95</v>
      </c>
      <c r="D260" s="4" vm="2677">
        <v>4875</v>
      </c>
      <c r="E260" s="4" vm="2678">
        <v>1263.925</v>
      </c>
      <c r="F260" s="4" vm="2679">
        <v>283.89999999999998</v>
      </c>
      <c r="G260" s="4" vm="2680">
        <v>60.61</v>
      </c>
      <c r="H260" s="4">
        <f t="shared" si="4"/>
        <v>0</v>
      </c>
    </row>
    <row r="261" spans="1:8" x14ac:dyDescent="0.3">
      <c r="A261" vm="515">
        <v>45548</v>
      </c>
      <c r="B261" s="4" vm="516">
        <v>25356.5</v>
      </c>
      <c r="C261" s="4" vm="2681">
        <v>1846.5</v>
      </c>
      <c r="D261" s="4" vm="2682">
        <v>4858.3</v>
      </c>
      <c r="E261" s="4" vm="2683">
        <v>1265.7</v>
      </c>
      <c r="F261" s="4" vm="2684">
        <v>272.89999999999998</v>
      </c>
      <c r="G261" s="4" vm="2685">
        <v>61.64</v>
      </c>
      <c r="H261" s="4">
        <f t="shared" ref="H261:H324" si="5">SUMPRODUCT($C$3:$G$3,C261:G261)</f>
        <v>0</v>
      </c>
    </row>
    <row r="262" spans="1:8" x14ac:dyDescent="0.3">
      <c r="A262" vm="517">
        <v>45551</v>
      </c>
      <c r="B262" s="4" vm="518">
        <v>25383.75</v>
      </c>
      <c r="C262" s="4" vm="2686">
        <v>1821.25</v>
      </c>
      <c r="D262" s="4" vm="2687">
        <v>4899.2</v>
      </c>
      <c r="E262" s="4" vm="1901">
        <v>1274.8</v>
      </c>
      <c r="F262" s="4" vm="2688">
        <v>277.7</v>
      </c>
      <c r="G262" s="4" vm="2689">
        <v>62.05</v>
      </c>
      <c r="H262" s="4">
        <f t="shared" si="5"/>
        <v>0</v>
      </c>
    </row>
    <row r="263" spans="1:8" x14ac:dyDescent="0.3">
      <c r="A263" vm="519">
        <v>45552</v>
      </c>
      <c r="B263" s="4" vm="520">
        <v>25418.55</v>
      </c>
      <c r="C263" s="4" vm="2690">
        <v>1819.15</v>
      </c>
      <c r="D263" s="4" vm="2691">
        <v>4850.2</v>
      </c>
      <c r="E263" s="4" vm="2692">
        <v>1273.425</v>
      </c>
      <c r="F263" s="4" vm="2693">
        <v>270.75</v>
      </c>
      <c r="G263" s="4" vm="2694">
        <v>61.77</v>
      </c>
      <c r="H263" s="4">
        <f t="shared" si="5"/>
        <v>0</v>
      </c>
    </row>
    <row r="264" spans="1:8" x14ac:dyDescent="0.3">
      <c r="A264" vm="521">
        <v>45553</v>
      </c>
      <c r="B264" s="4" vm="522">
        <v>25377.55</v>
      </c>
      <c r="C264" s="4" vm="2695">
        <v>1842.45</v>
      </c>
      <c r="D264" s="4" vm="2696">
        <v>4850.3500000000004</v>
      </c>
      <c r="E264" s="4" vm="2697">
        <v>1298.575</v>
      </c>
      <c r="F264" s="4" vm="2698">
        <v>275.85000000000002</v>
      </c>
      <c r="G264" s="4" vm="2478">
        <v>61.68</v>
      </c>
      <c r="H264" s="4">
        <f t="shared" si="5"/>
        <v>0</v>
      </c>
    </row>
    <row r="265" spans="1:8" x14ac:dyDescent="0.3">
      <c r="A265" vm="523">
        <v>45554</v>
      </c>
      <c r="B265" s="4" vm="524">
        <v>25415.8</v>
      </c>
      <c r="C265" s="4" vm="2699">
        <v>1840.95</v>
      </c>
      <c r="D265" s="4" vm="2700">
        <v>4864.8999999999996</v>
      </c>
      <c r="E265" s="4" vm="2701">
        <v>1317.1</v>
      </c>
      <c r="F265" s="4" vm="2702">
        <v>278.85000000000002</v>
      </c>
      <c r="G265" s="4" vm="2703">
        <v>62.19</v>
      </c>
      <c r="H265" s="4">
        <f t="shared" si="5"/>
        <v>0</v>
      </c>
    </row>
    <row r="266" spans="1:8" x14ac:dyDescent="0.3">
      <c r="A266" vm="525">
        <v>45555</v>
      </c>
      <c r="B266" s="4" vm="526">
        <v>25790.95</v>
      </c>
      <c r="C266" s="4" vm="2704">
        <v>1870.25</v>
      </c>
      <c r="D266" s="4" vm="2705">
        <v>4963.1499999999996</v>
      </c>
      <c r="E266" s="4" vm="2706">
        <v>1349.7750000000001</v>
      </c>
      <c r="F266" s="4" vm="2707">
        <v>290.5</v>
      </c>
      <c r="G266" s="4" vm="2708">
        <v>62.43</v>
      </c>
      <c r="H266" s="4">
        <f t="shared" si="5"/>
        <v>0</v>
      </c>
    </row>
    <row r="267" spans="1:8" x14ac:dyDescent="0.3">
      <c r="A267" vm="527">
        <v>45558</v>
      </c>
      <c r="B267" s="4" vm="528">
        <v>25939.05</v>
      </c>
      <c r="C267" s="4" vm="2709">
        <v>1920.15</v>
      </c>
      <c r="D267" s="4" vm="2710">
        <v>4879.55</v>
      </c>
      <c r="E267" s="4" vm="2711">
        <v>1362.575</v>
      </c>
      <c r="F267" s="4" vm="2712">
        <v>297</v>
      </c>
      <c r="G267" s="4" vm="2713">
        <v>62.81</v>
      </c>
      <c r="H267" s="4">
        <f t="shared" si="5"/>
        <v>0</v>
      </c>
    </row>
    <row r="268" spans="1:8" x14ac:dyDescent="0.3">
      <c r="A268" vm="529">
        <v>45559</v>
      </c>
      <c r="B268" s="4" vm="530">
        <v>25940.400000000001</v>
      </c>
      <c r="C268" s="4" vm="2714">
        <v>1864.35</v>
      </c>
      <c r="D268" s="4" vm="2407">
        <v>4876.8999999999996</v>
      </c>
      <c r="E268" s="4" vm="2715">
        <v>1348.2</v>
      </c>
      <c r="F268" s="4" vm="2716">
        <v>291.7</v>
      </c>
      <c r="G268" s="4" vm="2717">
        <v>62.99</v>
      </c>
      <c r="H268" s="4">
        <f t="shared" si="5"/>
        <v>0</v>
      </c>
    </row>
    <row r="269" spans="1:8" x14ac:dyDescent="0.3">
      <c r="A269" vm="531">
        <v>45560</v>
      </c>
      <c r="B269" s="4" vm="532">
        <v>26004.15</v>
      </c>
      <c r="C269" s="4" vm="2718">
        <v>1863.6</v>
      </c>
      <c r="D269" s="4" vm="2719">
        <v>4895.25</v>
      </c>
      <c r="E269" s="4" vm="2720">
        <v>1348.675</v>
      </c>
      <c r="F269" s="4" vm="2721">
        <v>285.39999999999998</v>
      </c>
      <c r="G269" s="4" vm="2722">
        <v>63.66</v>
      </c>
      <c r="H269" s="4">
        <f t="shared" si="5"/>
        <v>0</v>
      </c>
    </row>
    <row r="270" spans="1:8" x14ac:dyDescent="0.3">
      <c r="A270" vm="533">
        <v>45561</v>
      </c>
      <c r="B270" s="4" vm="534">
        <v>26216.05</v>
      </c>
      <c r="C270" s="4" vm="2723">
        <v>1898.3</v>
      </c>
      <c r="D270" s="4" vm="2724">
        <v>4994.25</v>
      </c>
      <c r="E270" s="4" vm="2725">
        <v>1377.75</v>
      </c>
      <c r="F270" s="4" vm="2679">
        <v>283.89999999999998</v>
      </c>
      <c r="G270" s="4" vm="2726">
        <v>63.77</v>
      </c>
      <c r="H270" s="4">
        <f t="shared" si="5"/>
        <v>0</v>
      </c>
    </row>
    <row r="271" spans="1:8" x14ac:dyDescent="0.3">
      <c r="A271" vm="535">
        <v>45562</v>
      </c>
      <c r="B271" s="4" vm="536">
        <v>26178.95</v>
      </c>
      <c r="C271" s="4" vm="2727">
        <v>1882.65</v>
      </c>
      <c r="D271" s="4" vm="2728">
        <v>5062.6000000000004</v>
      </c>
      <c r="E271" s="4" vm="2729">
        <v>1372.85</v>
      </c>
      <c r="F271" s="4" vm="2730">
        <v>278.14999999999998</v>
      </c>
      <c r="G271" s="4" vm="2731">
        <v>63.48</v>
      </c>
      <c r="H271" s="4">
        <f t="shared" si="5"/>
        <v>0</v>
      </c>
    </row>
    <row r="272" spans="1:8" x14ac:dyDescent="0.3">
      <c r="A272" vm="537">
        <v>45565</v>
      </c>
      <c r="B272" s="4" vm="538">
        <v>25810.85</v>
      </c>
      <c r="C272" s="4" vm="2732">
        <v>1844</v>
      </c>
      <c r="D272" s="4" vm="2733">
        <v>5026.25</v>
      </c>
      <c r="E272" s="4" vm="2734">
        <v>1344.9749999999999</v>
      </c>
      <c r="F272" s="4" vm="2735">
        <v>273.3</v>
      </c>
      <c r="G272" s="4" vm="2736">
        <v>63.55</v>
      </c>
      <c r="H272" s="4">
        <f t="shared" si="5"/>
        <v>0</v>
      </c>
    </row>
    <row r="273" spans="1:8" x14ac:dyDescent="0.3">
      <c r="A273" vm="539">
        <v>45566</v>
      </c>
      <c r="B273" s="4" vm="540">
        <v>25796.9</v>
      </c>
      <c r="C273" s="4" vm="2737">
        <v>1834.2</v>
      </c>
      <c r="D273" s="4" vm="2738">
        <v>4972.6499999999996</v>
      </c>
      <c r="E273" s="4" vm="2739">
        <v>1353.5250000000001</v>
      </c>
      <c r="F273" s="4" vm="2740">
        <v>274.14999999999998</v>
      </c>
      <c r="G273" s="4" vm="2741">
        <v>63.59</v>
      </c>
      <c r="H273" s="4">
        <f t="shared" si="5"/>
        <v>0</v>
      </c>
    </row>
    <row r="274" spans="1:8" x14ac:dyDescent="0.3">
      <c r="A274" vm="541">
        <v>45568</v>
      </c>
      <c r="B274" s="4" vm="542">
        <v>25250.1</v>
      </c>
      <c r="C274" s="4" vm="2742">
        <v>1805.55</v>
      </c>
      <c r="D274" s="4" vm="2743">
        <v>4782.5</v>
      </c>
      <c r="E274" s="4" vm="2744">
        <v>1337.425</v>
      </c>
      <c r="F274" s="4" vm="2745">
        <v>269</v>
      </c>
      <c r="G274" s="4" vm="2746">
        <v>63.69</v>
      </c>
      <c r="H274" s="4">
        <f t="shared" si="5"/>
        <v>0</v>
      </c>
    </row>
    <row r="275" spans="1:8" x14ac:dyDescent="0.3">
      <c r="A275" vm="543">
        <v>45569</v>
      </c>
      <c r="B275" s="4" vm="544">
        <v>25014.6</v>
      </c>
      <c r="C275" s="4" vm="2747">
        <v>1798.1</v>
      </c>
      <c r="D275" s="4" vm="2748">
        <v>4706.8</v>
      </c>
      <c r="E275" s="4" vm="2749">
        <v>1299.075</v>
      </c>
      <c r="F275" s="4" vm="2750">
        <v>275.3</v>
      </c>
      <c r="G275" s="4" vm="2751">
        <v>63.99</v>
      </c>
      <c r="H275" s="4">
        <f t="shared" si="5"/>
        <v>0</v>
      </c>
    </row>
    <row r="276" spans="1:8" x14ac:dyDescent="0.3">
      <c r="A276" vm="545">
        <v>45572</v>
      </c>
      <c r="B276" s="4" vm="546">
        <v>24795.75</v>
      </c>
      <c r="C276" s="4" vm="2752">
        <v>1787.95</v>
      </c>
      <c r="D276" s="4" vm="2753">
        <v>4667.95</v>
      </c>
      <c r="E276" s="4" vm="2754">
        <v>1286.925</v>
      </c>
      <c r="F276" s="4" vm="2755">
        <v>266.10000000000002</v>
      </c>
      <c r="G276" s="4" vm="2756">
        <v>63.81</v>
      </c>
      <c r="H276" s="4">
        <f t="shared" si="5"/>
        <v>0</v>
      </c>
    </row>
    <row r="277" spans="1:8" x14ac:dyDescent="0.3">
      <c r="A277" vm="547">
        <v>45573</v>
      </c>
      <c r="B277" s="4" vm="548">
        <v>25013.15</v>
      </c>
      <c r="C277" s="4" vm="2757">
        <v>1728.05</v>
      </c>
      <c r="D277" s="4" vm="2758">
        <v>4693.45</v>
      </c>
      <c r="E277" s="4" vm="2759">
        <v>1290.875</v>
      </c>
      <c r="F277" s="4" vm="2760">
        <v>278.7</v>
      </c>
      <c r="G277" s="4" vm="2761">
        <v>63.45</v>
      </c>
      <c r="H277" s="4">
        <f t="shared" si="5"/>
        <v>0</v>
      </c>
    </row>
    <row r="278" spans="1:8" x14ac:dyDescent="0.3">
      <c r="A278" vm="549">
        <v>45574</v>
      </c>
      <c r="B278" s="4" vm="550">
        <v>24981.95</v>
      </c>
      <c r="C278" s="4" vm="2762">
        <v>1737.4</v>
      </c>
      <c r="D278" s="4" vm="2763">
        <v>4708.8999999999996</v>
      </c>
      <c r="E278" s="4" vm="2764">
        <v>1258</v>
      </c>
      <c r="F278" s="4" vm="2765">
        <v>279.95</v>
      </c>
      <c r="G278" s="4" vm="2766">
        <v>63.02</v>
      </c>
      <c r="H278" s="4">
        <f t="shared" si="5"/>
        <v>0</v>
      </c>
    </row>
    <row r="279" spans="1:8" x14ac:dyDescent="0.3">
      <c r="A279" vm="551">
        <v>45575</v>
      </c>
      <c r="B279" s="4" vm="552">
        <v>24998.45</v>
      </c>
      <c r="C279" s="4" vm="2767">
        <v>1734.5</v>
      </c>
      <c r="D279" s="4" vm="2768">
        <v>4697.8999999999996</v>
      </c>
      <c r="E279" s="4" vm="2769">
        <v>1256.2249999999999</v>
      </c>
      <c r="F279" s="4" vm="2770">
        <v>275.35000000000002</v>
      </c>
      <c r="G279" s="4" vm="2771">
        <v>63.01</v>
      </c>
      <c r="H279" s="4">
        <f t="shared" si="5"/>
        <v>0</v>
      </c>
    </row>
    <row r="280" spans="1:8" x14ac:dyDescent="0.3">
      <c r="A280" vm="553">
        <v>45576</v>
      </c>
      <c r="B280" s="4" vm="554">
        <v>24964.25</v>
      </c>
      <c r="C280" s="4" vm="2772">
        <v>1735.05</v>
      </c>
      <c r="D280" s="4" vm="2773">
        <v>4728.05</v>
      </c>
      <c r="E280" s="4" vm="2774">
        <v>1255.9000000000001</v>
      </c>
      <c r="F280" s="4" vm="2775">
        <v>277.55</v>
      </c>
      <c r="G280" s="4" vm="2776">
        <v>63.54</v>
      </c>
      <c r="H280" s="4">
        <f t="shared" si="5"/>
        <v>0</v>
      </c>
    </row>
    <row r="281" spans="1:8" x14ac:dyDescent="0.3">
      <c r="A281" vm="555">
        <v>45579</v>
      </c>
      <c r="B281" s="4" vm="556">
        <v>25127.95</v>
      </c>
      <c r="C281" s="4" vm="2777">
        <v>1738.3</v>
      </c>
      <c r="D281" s="4" vm="2778">
        <v>4779.8</v>
      </c>
      <c r="E281" s="4" vm="2779">
        <v>1251.0250000000001</v>
      </c>
      <c r="F281" s="4" vm="2780">
        <v>280.05</v>
      </c>
      <c r="G281" s="4" vm="2781">
        <v>63.98</v>
      </c>
      <c r="H281" s="4">
        <f t="shared" si="5"/>
        <v>0</v>
      </c>
    </row>
    <row r="282" spans="1:8" x14ac:dyDescent="0.3">
      <c r="A282" vm="557">
        <v>45580</v>
      </c>
      <c r="B282" s="4" vm="558">
        <v>25057.35</v>
      </c>
      <c r="C282" s="4" vm="2782">
        <v>1723.75</v>
      </c>
      <c r="D282" s="4" vm="2783">
        <v>4722.1000000000004</v>
      </c>
      <c r="E282" s="4" vm="2784">
        <v>1242.125</v>
      </c>
      <c r="F282" s="4" vm="2785">
        <v>279.55</v>
      </c>
      <c r="G282" s="4" vm="2786">
        <v>63.86</v>
      </c>
      <c r="H282" s="4">
        <f t="shared" si="5"/>
        <v>0</v>
      </c>
    </row>
    <row r="283" spans="1:8" x14ac:dyDescent="0.3">
      <c r="A283" vm="559">
        <v>45581</v>
      </c>
      <c r="B283" s="4" vm="560">
        <v>24971.3</v>
      </c>
      <c r="C283" s="4" vm="2787">
        <v>1733.75</v>
      </c>
      <c r="D283" s="4" vm="2788">
        <v>4678.25</v>
      </c>
      <c r="E283" s="4" vm="2789">
        <v>1231.125</v>
      </c>
      <c r="F283" s="4" vm="2790">
        <v>274.25</v>
      </c>
      <c r="G283" s="4" vm="2791">
        <v>64.44</v>
      </c>
      <c r="H283" s="4">
        <f t="shared" si="5"/>
        <v>0</v>
      </c>
    </row>
    <row r="284" spans="1:8" x14ac:dyDescent="0.3">
      <c r="A284" vm="561">
        <v>45582</v>
      </c>
      <c r="B284" s="4" vm="562">
        <v>24749.85</v>
      </c>
      <c r="C284" s="4" vm="2792">
        <v>1702</v>
      </c>
      <c r="D284" s="4" vm="2793">
        <v>4623.8500000000004</v>
      </c>
      <c r="E284" s="4" vm="2794">
        <v>1189.3499999999999</v>
      </c>
      <c r="F284" s="4" vm="2795">
        <v>270.55</v>
      </c>
      <c r="G284" s="4" vm="2791">
        <v>64.44</v>
      </c>
      <c r="H284" s="4">
        <f t="shared" si="5"/>
        <v>0</v>
      </c>
    </row>
    <row r="285" spans="1:8" x14ac:dyDescent="0.3">
      <c r="A285" vm="563">
        <v>45583</v>
      </c>
      <c r="B285" s="4" vm="564">
        <v>24854.05</v>
      </c>
      <c r="C285" s="4" vm="2796">
        <v>1706.05</v>
      </c>
      <c r="D285" s="4" vm="2797">
        <v>4765.6499999999996</v>
      </c>
      <c r="E285" s="4" vm="2798">
        <v>1175.125</v>
      </c>
      <c r="F285" s="4" vm="2799">
        <v>257.45</v>
      </c>
      <c r="G285" s="4" vm="2800">
        <v>65.180000000000007</v>
      </c>
      <c r="H285" s="4">
        <f t="shared" si="5"/>
        <v>0</v>
      </c>
    </row>
    <row r="286" spans="1:8" x14ac:dyDescent="0.3">
      <c r="A286" vm="565">
        <v>45586</v>
      </c>
      <c r="B286" s="4" vm="566">
        <v>24781.1</v>
      </c>
      <c r="C286" s="4" vm="2801">
        <v>1711.85</v>
      </c>
      <c r="D286" s="4" vm="2802">
        <v>4810.45</v>
      </c>
      <c r="E286" s="4" vm="2803">
        <v>1177.325</v>
      </c>
      <c r="F286" s="4" vm="2804">
        <v>265.7</v>
      </c>
      <c r="G286" s="4" vm="2805">
        <v>65.790000000000006</v>
      </c>
      <c r="H286" s="4">
        <f t="shared" si="5"/>
        <v>0</v>
      </c>
    </row>
    <row r="287" spans="1:8" x14ac:dyDescent="0.3">
      <c r="A287" vm="567">
        <v>45587</v>
      </c>
      <c r="B287" s="4" vm="568">
        <v>24472.1</v>
      </c>
      <c r="C287" s="4" vm="2806">
        <v>1698.15</v>
      </c>
      <c r="D287" s="4" vm="2807">
        <v>4759.05</v>
      </c>
      <c r="E287" s="4" vm="2798">
        <v>1175.125</v>
      </c>
      <c r="F287" s="4" vm="2808">
        <v>256.35000000000002</v>
      </c>
      <c r="G287" s="4" vm="2809">
        <v>65.73</v>
      </c>
      <c r="H287" s="4">
        <f t="shared" si="5"/>
        <v>0</v>
      </c>
    </row>
    <row r="288" spans="1:8" x14ac:dyDescent="0.3">
      <c r="A288" vm="569">
        <v>45588</v>
      </c>
      <c r="B288" s="4" vm="570">
        <v>24435.5</v>
      </c>
      <c r="C288" s="4" vm="2810">
        <v>1716</v>
      </c>
      <c r="D288" s="4" vm="2811">
        <v>4677.75</v>
      </c>
      <c r="E288" s="4" vm="2812">
        <v>1163.575</v>
      </c>
      <c r="F288" s="4" vm="2813">
        <v>264.05</v>
      </c>
      <c r="G288" s="4" vm="2814">
        <v>66.16</v>
      </c>
      <c r="H288" s="4">
        <f t="shared" si="5"/>
        <v>0</v>
      </c>
    </row>
    <row r="289" spans="1:8" x14ac:dyDescent="0.3">
      <c r="A289" vm="571">
        <v>45589</v>
      </c>
      <c r="B289" s="4" vm="572">
        <v>24399.4</v>
      </c>
      <c r="C289" s="4" vm="2815">
        <v>1635.3</v>
      </c>
      <c r="D289" s="4" vm="2816">
        <v>4668.5</v>
      </c>
      <c r="E289" s="4" vm="2817">
        <v>1129.325</v>
      </c>
      <c r="F289" s="4" vm="2818">
        <v>254.3</v>
      </c>
      <c r="G289" s="4" vm="2819">
        <v>65.75</v>
      </c>
      <c r="H289" s="4">
        <f t="shared" si="5"/>
        <v>0</v>
      </c>
    </row>
    <row r="290" spans="1:8" x14ac:dyDescent="0.3">
      <c r="A290" vm="573">
        <v>45590</v>
      </c>
      <c r="B290" s="4" vm="574">
        <v>24180.799999999999</v>
      </c>
      <c r="C290" s="4" vm="2820">
        <v>1616.75</v>
      </c>
      <c r="D290" s="4" vm="2821">
        <v>4591.6000000000004</v>
      </c>
      <c r="E290" s="4" vm="2822">
        <v>1130.3499999999999</v>
      </c>
      <c r="F290" s="4" vm="2823">
        <v>253.8</v>
      </c>
      <c r="G290" s="4" vm="2824">
        <v>65.45</v>
      </c>
      <c r="H290" s="4">
        <f t="shared" si="5"/>
        <v>0</v>
      </c>
    </row>
    <row r="291" spans="1:8" x14ac:dyDescent="0.3">
      <c r="A291" vm="575">
        <v>45593</v>
      </c>
      <c r="B291" s="4" vm="576">
        <v>24339.15</v>
      </c>
      <c r="C291" s="4" vm="2825">
        <v>1605.9</v>
      </c>
      <c r="D291" s="4" vm="2826">
        <v>4720.6499999999996</v>
      </c>
      <c r="E291" s="4" vm="2827">
        <v>1136.0250000000001</v>
      </c>
      <c r="F291" s="4" vm="2828">
        <v>253.95</v>
      </c>
      <c r="G291" s="4" vm="2829">
        <v>65.78</v>
      </c>
      <c r="H291" s="4">
        <f t="shared" si="5"/>
        <v>0</v>
      </c>
    </row>
    <row r="292" spans="1:8" x14ac:dyDescent="0.3">
      <c r="A292" vm="577">
        <v>45594</v>
      </c>
      <c r="B292" s="4" vm="578">
        <v>24466.85</v>
      </c>
      <c r="C292" s="4" vm="2830">
        <v>1661.35</v>
      </c>
      <c r="D292" s="4" vm="2831">
        <v>4898.1499999999996</v>
      </c>
      <c r="E292" s="4" vm="2832">
        <v>1133.7</v>
      </c>
      <c r="F292" s="4" vm="2833">
        <v>252.25</v>
      </c>
      <c r="G292" s="4" vm="2834">
        <v>66.3</v>
      </c>
      <c r="H292" s="4">
        <f t="shared" si="5"/>
        <v>0</v>
      </c>
    </row>
    <row r="293" spans="1:8" x14ac:dyDescent="0.3">
      <c r="A293" vm="579">
        <v>45595</v>
      </c>
      <c r="B293" s="4" vm="580">
        <v>24340.85</v>
      </c>
      <c r="C293" s="4" vm="2835">
        <v>1624.15</v>
      </c>
      <c r="D293" s="4" vm="2836">
        <v>4869.25</v>
      </c>
      <c r="E293" s="4" vm="2837">
        <v>1138.1500000000001</v>
      </c>
      <c r="F293" s="4" vm="2838">
        <v>246.85</v>
      </c>
      <c r="G293" s="4" vm="2839">
        <v>67.02</v>
      </c>
      <c r="H293" s="4">
        <f t="shared" si="5"/>
        <v>0</v>
      </c>
    </row>
    <row r="294" spans="1:8" x14ac:dyDescent="0.3">
      <c r="A294" vm="581">
        <v>45596</v>
      </c>
      <c r="B294" s="4" vm="582">
        <v>24205.35</v>
      </c>
      <c r="C294" s="4" vm="2840">
        <v>1622.15</v>
      </c>
      <c r="D294" s="4" vm="2841">
        <v>4894.6499999999996</v>
      </c>
      <c r="E294" s="4" vm="2842">
        <v>1131.4749999999999</v>
      </c>
      <c r="F294" s="4" vm="2843">
        <v>241.75</v>
      </c>
      <c r="G294" s="4" vm="2844">
        <v>66.92</v>
      </c>
      <c r="H294" s="4">
        <f t="shared" si="5"/>
        <v>0</v>
      </c>
    </row>
    <row r="295" spans="1:8" x14ac:dyDescent="0.3">
      <c r="A295" vm="583">
        <v>45597</v>
      </c>
      <c r="B295" s="4" vm="584">
        <v>24304.35</v>
      </c>
      <c r="C295" s="4" vm="2845">
        <v>1628.85</v>
      </c>
      <c r="D295" s="4" vm="2846">
        <v>4953.6000000000004</v>
      </c>
      <c r="E295" s="4" vm="2847">
        <v>1141.1500000000001</v>
      </c>
      <c r="F295" s="4" vm="2848">
        <v>248.99</v>
      </c>
      <c r="G295" s="4" vm="2849">
        <v>66.62</v>
      </c>
      <c r="H295" s="4">
        <f t="shared" si="5"/>
        <v>0</v>
      </c>
    </row>
    <row r="296" spans="1:8" x14ac:dyDescent="0.3">
      <c r="A296" vm="585">
        <v>45600</v>
      </c>
      <c r="B296" s="4" vm="586">
        <v>23995.35</v>
      </c>
      <c r="C296" s="4" vm="2850">
        <v>1608.8</v>
      </c>
      <c r="D296" s="4" vm="2851">
        <v>4831.8500000000004</v>
      </c>
      <c r="E296" s="4" vm="2852">
        <v>1123.0999999999999</v>
      </c>
      <c r="F296" s="4" vm="2853">
        <v>245.08</v>
      </c>
      <c r="G296" s="4" vm="2854">
        <v>66.02</v>
      </c>
      <c r="H296" s="4">
        <f t="shared" si="5"/>
        <v>0</v>
      </c>
    </row>
    <row r="297" spans="1:8" x14ac:dyDescent="0.3">
      <c r="A297" vm="587">
        <v>45601</v>
      </c>
      <c r="B297" s="4" vm="588">
        <v>24213.3</v>
      </c>
      <c r="C297" s="4" vm="2855">
        <v>1633.2</v>
      </c>
      <c r="D297" s="4" vm="2856">
        <v>4899.8</v>
      </c>
      <c r="E297" s="4" vm="2857">
        <v>1131.2249999999999</v>
      </c>
      <c r="F297" s="4" vm="2858">
        <v>241.87</v>
      </c>
      <c r="G297" s="4" vm="2859">
        <v>65.94</v>
      </c>
      <c r="H297" s="4">
        <f t="shared" si="5"/>
        <v>0</v>
      </c>
    </row>
    <row r="298" spans="1:8" x14ac:dyDescent="0.3">
      <c r="A298" vm="589">
        <v>45602</v>
      </c>
      <c r="B298" s="4" vm="590">
        <v>24484.05</v>
      </c>
      <c r="C298" s="4" vm="2860">
        <v>1603.95</v>
      </c>
      <c r="D298" s="4" vm="2861">
        <v>4917.1499999999996</v>
      </c>
      <c r="E298" s="4" vm="2862">
        <v>1137.8</v>
      </c>
      <c r="F298" s="4" vm="2863">
        <v>254.94</v>
      </c>
      <c r="G298" s="4" vm="2864">
        <v>65.59</v>
      </c>
      <c r="H298" s="4">
        <f t="shared" si="5"/>
        <v>0</v>
      </c>
    </row>
    <row r="299" spans="1:8" x14ac:dyDescent="0.3">
      <c r="A299" vm="591">
        <v>45603</v>
      </c>
      <c r="B299" s="4" vm="592">
        <v>24199.35</v>
      </c>
      <c r="C299" s="4" vm="2865">
        <v>1589.85</v>
      </c>
      <c r="D299" s="4" vm="2866">
        <v>4878</v>
      </c>
      <c r="E299" s="4" vm="2867">
        <v>1131.425</v>
      </c>
      <c r="F299" s="4" vm="2868">
        <v>255.22</v>
      </c>
      <c r="G299" s="4" vm="2869">
        <v>64.33</v>
      </c>
      <c r="H299" s="4">
        <f t="shared" si="5"/>
        <v>0</v>
      </c>
    </row>
    <row r="300" spans="1:8" x14ac:dyDescent="0.3">
      <c r="A300" vm="593">
        <v>45604</v>
      </c>
      <c r="B300" s="4" vm="594">
        <v>24148.2</v>
      </c>
      <c r="C300" s="4" vm="2870">
        <v>1569.95</v>
      </c>
      <c r="D300" s="4" vm="2871">
        <v>4785.25</v>
      </c>
      <c r="E300" s="4" vm="2872">
        <v>1147.825</v>
      </c>
      <c r="F300" s="4" vm="2873">
        <v>248.73</v>
      </c>
      <c r="G300" s="4" vm="2874">
        <v>65</v>
      </c>
      <c r="H300" s="4">
        <f t="shared" si="5"/>
        <v>0</v>
      </c>
    </row>
    <row r="301" spans="1:8" x14ac:dyDescent="0.3">
      <c r="A301" vm="595">
        <v>45607</v>
      </c>
      <c r="B301" s="4" vm="596">
        <v>24141.3</v>
      </c>
      <c r="C301" s="4" vm="2875">
        <v>1566</v>
      </c>
      <c r="D301" s="4" vm="2876">
        <v>4793.45</v>
      </c>
      <c r="E301" s="4" vm="2877">
        <v>1139.5250000000001</v>
      </c>
      <c r="F301" s="4" vm="2878">
        <v>258.62</v>
      </c>
      <c r="G301" s="4" vm="2879">
        <v>64.489999999999995</v>
      </c>
      <c r="H301" s="4">
        <f t="shared" si="5"/>
        <v>0</v>
      </c>
    </row>
    <row r="302" spans="1:8" x14ac:dyDescent="0.3">
      <c r="A302" vm="597">
        <v>45608</v>
      </c>
      <c r="B302" s="4" vm="598">
        <v>23883.45</v>
      </c>
      <c r="C302" s="4" vm="2880">
        <v>1562.45</v>
      </c>
      <c r="D302" s="4" vm="2881">
        <v>4738.2</v>
      </c>
      <c r="E302" s="4" vm="2882">
        <v>1128.0999999999999</v>
      </c>
      <c r="F302" s="4" vm="2883">
        <v>260.99</v>
      </c>
      <c r="G302" s="4" vm="2884">
        <v>62.84</v>
      </c>
      <c r="H302" s="4">
        <f t="shared" si="5"/>
        <v>0</v>
      </c>
    </row>
    <row r="303" spans="1:8" x14ac:dyDescent="0.3">
      <c r="A303" vm="599">
        <v>45609</v>
      </c>
      <c r="B303" s="4" vm="600">
        <v>23559.05</v>
      </c>
      <c r="C303" s="4" vm="2885">
        <v>1546.7</v>
      </c>
      <c r="D303" s="4" vm="2886">
        <v>4588.7</v>
      </c>
      <c r="E303" s="4" vm="2887">
        <v>1117.625</v>
      </c>
      <c r="F303" s="4" vm="2888">
        <v>258.39999999999998</v>
      </c>
      <c r="G303" s="4" vm="2889">
        <v>63.25</v>
      </c>
      <c r="H303" s="4">
        <f t="shared" si="5"/>
        <v>0</v>
      </c>
    </row>
    <row r="304" spans="1:8" x14ac:dyDescent="0.3">
      <c r="A304" vm="601">
        <v>45610</v>
      </c>
      <c r="B304" s="4" vm="602">
        <v>23532.7</v>
      </c>
      <c r="C304" s="4" vm="2890">
        <v>1562.3</v>
      </c>
      <c r="D304" s="4" vm="2891">
        <v>4883.7</v>
      </c>
      <c r="E304" s="4" vm="2892">
        <v>1091.4000000000001</v>
      </c>
      <c r="F304" s="4" vm="2893">
        <v>269.66000000000003</v>
      </c>
      <c r="G304" s="4" vm="2894">
        <v>61.79</v>
      </c>
      <c r="H304" s="4">
        <f t="shared" si="5"/>
        <v>0</v>
      </c>
    </row>
    <row r="305" spans="1:8" x14ac:dyDescent="0.3">
      <c r="A305" vm="603">
        <v>45614</v>
      </c>
      <c r="B305" s="4" vm="604">
        <v>23453.8</v>
      </c>
      <c r="C305" s="4" vm="2895">
        <v>1562.6</v>
      </c>
      <c r="D305" s="4" vm="2896">
        <v>4875.6499999999996</v>
      </c>
      <c r="E305" s="4" vm="2897">
        <v>1106.5999999999999</v>
      </c>
      <c r="F305" s="4" vm="2898">
        <v>270.79000000000002</v>
      </c>
      <c r="G305" s="4" vm="2899">
        <v>62.9</v>
      </c>
      <c r="H305" s="4">
        <f t="shared" si="5"/>
        <v>0</v>
      </c>
    </row>
    <row r="306" spans="1:8" x14ac:dyDescent="0.3">
      <c r="A306" vm="605">
        <v>45615</v>
      </c>
      <c r="B306" s="4" vm="606">
        <v>23518.5</v>
      </c>
      <c r="C306" s="4" vm="2900">
        <v>1522.9</v>
      </c>
      <c r="D306" s="4" vm="2901">
        <v>4965.45</v>
      </c>
      <c r="E306" s="4" vm="2902">
        <v>1107.075</v>
      </c>
      <c r="F306" s="4" vm="2903">
        <v>271.36</v>
      </c>
      <c r="G306" s="4" vm="2904">
        <v>63.72</v>
      </c>
      <c r="H306" s="4">
        <f t="shared" si="5"/>
        <v>0</v>
      </c>
    </row>
    <row r="307" spans="1:8" x14ac:dyDescent="0.3">
      <c r="A307" vm="607">
        <v>45617</v>
      </c>
      <c r="B307" s="4" vm="608">
        <v>23349.9</v>
      </c>
      <c r="C307" s="4" vm="2905">
        <v>1477.95</v>
      </c>
      <c r="D307" s="4" vm="2906">
        <v>4882.1000000000004</v>
      </c>
      <c r="E307" s="4" vm="2907">
        <v>1105.5999999999999</v>
      </c>
      <c r="F307" s="4" vm="2908">
        <v>266.81</v>
      </c>
      <c r="G307" s="4" vm="2909">
        <v>64.569999999999993</v>
      </c>
      <c r="H307" s="4">
        <f t="shared" si="5"/>
        <v>0</v>
      </c>
    </row>
    <row r="308" spans="1:8" x14ac:dyDescent="0.3">
      <c r="A308" vm="609">
        <v>45618</v>
      </c>
      <c r="B308" s="4" vm="610">
        <v>23907.25</v>
      </c>
      <c r="C308" s="4" vm="2910">
        <v>1485.15</v>
      </c>
      <c r="D308" s="4" vm="2911">
        <v>4986.2</v>
      </c>
      <c r="E308" s="4" vm="2912">
        <v>1123.6500000000001</v>
      </c>
      <c r="F308" s="4" vm="2913">
        <v>264.2</v>
      </c>
      <c r="G308" s="4" vm="2914">
        <v>65.33</v>
      </c>
      <c r="H308" s="4">
        <f t="shared" si="5"/>
        <v>0</v>
      </c>
    </row>
    <row r="309" spans="1:8" x14ac:dyDescent="0.3">
      <c r="A309" vm="611">
        <v>45621</v>
      </c>
      <c r="B309" s="4" vm="612">
        <v>24221.9</v>
      </c>
      <c r="C309" s="4" vm="2915">
        <v>1495.2</v>
      </c>
      <c r="D309" s="4" vm="2916">
        <v>5002.3500000000004</v>
      </c>
      <c r="E309" s="4" vm="2917">
        <v>1128.4749999999999</v>
      </c>
      <c r="F309" s="4" vm="2918">
        <v>273.31</v>
      </c>
      <c r="G309" s="4" vm="2919">
        <v>64.38</v>
      </c>
      <c r="H309" s="4">
        <f t="shared" si="5"/>
        <v>0</v>
      </c>
    </row>
    <row r="310" spans="1:8" x14ac:dyDescent="0.3">
      <c r="A310" vm="613">
        <v>45622</v>
      </c>
      <c r="B310" s="4" vm="614">
        <v>24194.5</v>
      </c>
      <c r="C310" s="4" vm="2920">
        <v>1506.75</v>
      </c>
      <c r="D310" s="4" vm="2921">
        <v>4931.75</v>
      </c>
      <c r="E310" s="4" vm="2922">
        <v>1132.625</v>
      </c>
      <c r="F310" s="4" vm="2923">
        <v>280.11</v>
      </c>
      <c r="G310" s="4" vm="2924">
        <v>63.39</v>
      </c>
      <c r="H310" s="4">
        <f t="shared" si="5"/>
        <v>0</v>
      </c>
    </row>
    <row r="311" spans="1:8" x14ac:dyDescent="0.3">
      <c r="A311" vm="615">
        <v>45623</v>
      </c>
      <c r="B311" s="4" vm="616">
        <v>24274.9</v>
      </c>
      <c r="C311" s="4" vm="2925">
        <v>1505.4</v>
      </c>
      <c r="D311" s="4" vm="2926">
        <v>4917.5</v>
      </c>
      <c r="E311" s="4" vm="2927">
        <v>1136.9749999999999</v>
      </c>
      <c r="F311" s="4" vm="2928">
        <v>284.72000000000003</v>
      </c>
      <c r="G311" s="4" vm="2929">
        <v>63.96</v>
      </c>
      <c r="H311" s="4">
        <f t="shared" si="5"/>
        <v>0</v>
      </c>
    </row>
    <row r="312" spans="1:8" x14ac:dyDescent="0.3">
      <c r="A312" vm="617">
        <v>45624</v>
      </c>
      <c r="B312" s="4" vm="618">
        <v>23914.15</v>
      </c>
      <c r="C312" s="4" vm="2930">
        <v>1428.6</v>
      </c>
      <c r="D312" s="4" vm="2931">
        <v>4815.7</v>
      </c>
      <c r="E312" s="4" vm="2932">
        <v>1118.125</v>
      </c>
      <c r="F312" s="4" vm="2933">
        <v>286.13</v>
      </c>
      <c r="G312" s="4" vm="2934">
        <v>64.040000000000006</v>
      </c>
      <c r="H312" s="4">
        <f t="shared" si="5"/>
        <v>0</v>
      </c>
    </row>
    <row r="313" spans="1:8" x14ac:dyDescent="0.3">
      <c r="A313" vm="619">
        <v>45625</v>
      </c>
      <c r="B313" s="4" vm="620">
        <v>24131.1</v>
      </c>
      <c r="C313" s="4" vm="2935">
        <v>1437.75</v>
      </c>
      <c r="D313" s="4" vm="2851">
        <v>4831.8500000000004</v>
      </c>
      <c r="E313" s="4" vm="2936">
        <v>1117.325</v>
      </c>
      <c r="F313" s="4" vm="2937">
        <v>279.76</v>
      </c>
      <c r="G313" s="4" vm="2938">
        <v>64.290000000000006</v>
      </c>
      <c r="H313" s="4">
        <f t="shared" si="5"/>
        <v>0</v>
      </c>
    </row>
    <row r="314" spans="1:8" x14ac:dyDescent="0.3">
      <c r="A314" vm="621">
        <v>45628</v>
      </c>
      <c r="B314" s="4" vm="622">
        <v>24276.05</v>
      </c>
      <c r="C314" s="4" vm="2939">
        <v>1422.05</v>
      </c>
      <c r="D314" s="4" vm="2940">
        <v>4820.7</v>
      </c>
      <c r="E314" s="4" vm="2941">
        <v>1125.925</v>
      </c>
      <c r="F314" s="4" vm="2942">
        <v>282.5</v>
      </c>
      <c r="G314" s="4" vm="2943">
        <v>63.76</v>
      </c>
      <c r="H314" s="4">
        <f t="shared" si="5"/>
        <v>0</v>
      </c>
    </row>
    <row r="315" spans="1:8" x14ac:dyDescent="0.3">
      <c r="A315" vm="623">
        <v>45629</v>
      </c>
      <c r="B315" s="4" vm="624">
        <v>24457.15</v>
      </c>
      <c r="C315" s="4" vm="2944">
        <v>1440.95</v>
      </c>
      <c r="D315" s="4" vm="2945">
        <v>4844.3500000000004</v>
      </c>
      <c r="E315" s="4" vm="2946">
        <v>1130.8499999999999</v>
      </c>
      <c r="F315" s="4" vm="2947">
        <v>279.85000000000002</v>
      </c>
      <c r="G315" s="4" vm="2948">
        <v>64.06</v>
      </c>
      <c r="H315" s="4">
        <f t="shared" si="5"/>
        <v>0</v>
      </c>
    </row>
    <row r="316" spans="1:8" x14ac:dyDescent="0.3">
      <c r="A316" vm="625">
        <v>45630</v>
      </c>
      <c r="B316" s="4" vm="626">
        <v>24467.45</v>
      </c>
      <c r="C316" s="4" vm="2949">
        <v>1452.6</v>
      </c>
      <c r="D316" s="4" vm="2950">
        <v>4797.05</v>
      </c>
      <c r="E316" s="4" vm="2951">
        <v>1128.9000000000001</v>
      </c>
      <c r="F316" s="4" vm="2952">
        <v>286.25</v>
      </c>
      <c r="G316" s="4" vm="2953">
        <v>64.010000000000005</v>
      </c>
      <c r="H316" s="4">
        <f t="shared" si="5"/>
        <v>0</v>
      </c>
    </row>
    <row r="317" spans="1:8" x14ac:dyDescent="0.3">
      <c r="A317" vm="627">
        <v>45631</v>
      </c>
      <c r="B317" s="4" vm="628">
        <v>24708.400000000001</v>
      </c>
      <c r="C317" s="4" vm="2954">
        <v>1431.85</v>
      </c>
      <c r="D317" s="4" vm="2955">
        <v>4837.55</v>
      </c>
      <c r="E317" s="4" vm="2956">
        <v>1132.75</v>
      </c>
      <c r="F317" s="4" vm="2957">
        <v>299.35000000000002</v>
      </c>
      <c r="G317" s="4" vm="2948">
        <v>64.06</v>
      </c>
      <c r="H317" s="4">
        <f t="shared" si="5"/>
        <v>0</v>
      </c>
    </row>
    <row r="318" spans="1:8" x14ac:dyDescent="0.3">
      <c r="A318" vm="629">
        <v>45632</v>
      </c>
      <c r="B318" s="4" vm="630">
        <v>24677.8</v>
      </c>
      <c r="C318" s="4" vm="2958">
        <v>1448.55</v>
      </c>
      <c r="D318" s="4" vm="2959">
        <v>4877.05</v>
      </c>
      <c r="E318" s="4" vm="2960">
        <v>1133.9000000000001</v>
      </c>
      <c r="F318" s="4" vm="2961">
        <v>302.95</v>
      </c>
      <c r="G318" s="4" vm="2751">
        <v>63.99</v>
      </c>
      <c r="H318" s="4">
        <f t="shared" si="5"/>
        <v>0</v>
      </c>
    </row>
    <row r="319" spans="1:8" x14ac:dyDescent="0.3">
      <c r="A319" vm="631">
        <v>45635</v>
      </c>
      <c r="B319" s="4" vm="632">
        <v>24619</v>
      </c>
      <c r="C319" s="4" vm="2962">
        <v>1469.3</v>
      </c>
      <c r="D319" s="4" vm="2963">
        <v>4842.1000000000004</v>
      </c>
      <c r="E319" s="4" vm="2964">
        <v>1114.425</v>
      </c>
      <c r="F319" s="4" vm="2965">
        <v>295.3</v>
      </c>
      <c r="G319" s="4" vm="2938">
        <v>64.290000000000006</v>
      </c>
      <c r="H319" s="4">
        <f t="shared" si="5"/>
        <v>0</v>
      </c>
    </row>
    <row r="320" spans="1:8" x14ac:dyDescent="0.3">
      <c r="A320" vm="633">
        <v>45636</v>
      </c>
      <c r="B320" s="4" vm="634">
        <v>24610.05</v>
      </c>
      <c r="C320" s="4" vm="2966">
        <v>1461.85</v>
      </c>
      <c r="D320" s="4" vm="2967">
        <v>4813.05</v>
      </c>
      <c r="E320" s="4" vm="2968">
        <v>1107.2249999999999</v>
      </c>
      <c r="F320" s="4" vm="2969">
        <v>295.85000000000002</v>
      </c>
      <c r="G320" s="4" vm="2970">
        <v>64.67</v>
      </c>
      <c r="H320" s="4">
        <f t="shared" si="5"/>
        <v>0</v>
      </c>
    </row>
    <row r="321" spans="1:8" x14ac:dyDescent="0.3">
      <c r="A321" vm="635">
        <v>45637</v>
      </c>
      <c r="B321" s="4" vm="636">
        <v>24641.8</v>
      </c>
      <c r="C321" s="4" vm="2971">
        <v>1456.15</v>
      </c>
      <c r="D321" s="4" vm="2972">
        <v>4801.95</v>
      </c>
      <c r="E321" s="4" vm="2973">
        <v>1120.5250000000001</v>
      </c>
      <c r="F321" s="4" vm="2974">
        <v>291.8</v>
      </c>
      <c r="G321" s="4" vm="2975">
        <v>65.040000000000006</v>
      </c>
      <c r="H321" s="4">
        <f t="shared" si="5"/>
        <v>0</v>
      </c>
    </row>
    <row r="322" spans="1:8" x14ac:dyDescent="0.3">
      <c r="A322" vm="637">
        <v>45638</v>
      </c>
      <c r="B322" s="4" vm="638">
        <v>24548.7</v>
      </c>
      <c r="C322" s="4" vm="2976">
        <v>1432.5</v>
      </c>
      <c r="D322" s="4" vm="2977">
        <v>4807.6499999999996</v>
      </c>
      <c r="E322" s="4" vm="2978">
        <v>1112.0250000000001</v>
      </c>
      <c r="F322" s="4" vm="2979">
        <v>284.89999999999998</v>
      </c>
      <c r="G322" s="4" vm="2980">
        <v>65.489999999999995</v>
      </c>
      <c r="H322" s="4">
        <f t="shared" si="5"/>
        <v>0</v>
      </c>
    </row>
    <row r="323" spans="1:8" x14ac:dyDescent="0.3">
      <c r="A323" vm="639">
        <v>45639</v>
      </c>
      <c r="B323" s="4" vm="640">
        <v>24768.3</v>
      </c>
      <c r="C323" s="4" vm="2981">
        <v>1428.8</v>
      </c>
      <c r="D323" s="4" vm="2982">
        <v>4825.8999999999996</v>
      </c>
      <c r="E323" s="4" vm="2983">
        <v>1126.75</v>
      </c>
      <c r="F323" s="4" vm="2984">
        <v>288.25</v>
      </c>
      <c r="G323" s="4" vm="2985">
        <v>64.61</v>
      </c>
      <c r="H323" s="4">
        <f t="shared" si="5"/>
        <v>0</v>
      </c>
    </row>
    <row r="324" spans="1:8" x14ac:dyDescent="0.3">
      <c r="A324" vm="641">
        <v>45642</v>
      </c>
      <c r="B324" s="4" vm="642">
        <v>24668.25</v>
      </c>
      <c r="C324" s="4" vm="2986">
        <v>1421.65</v>
      </c>
      <c r="D324" s="4" vm="2987">
        <v>4838.5</v>
      </c>
      <c r="E324" s="4" vm="2988">
        <v>1119.375</v>
      </c>
      <c r="F324" s="4" vm="2989">
        <v>294.14999999999998</v>
      </c>
      <c r="G324" s="4" vm="2990">
        <v>64.48</v>
      </c>
      <c r="H324" s="4">
        <f t="shared" si="5"/>
        <v>0</v>
      </c>
    </row>
    <row r="325" spans="1:8" x14ac:dyDescent="0.3">
      <c r="A325" vm="643">
        <v>45643</v>
      </c>
      <c r="B325" s="4" vm="644">
        <v>24336</v>
      </c>
      <c r="C325" s="4" vm="1744">
        <v>1409.7</v>
      </c>
      <c r="D325" s="4" vm="2991">
        <v>4742.6499999999996</v>
      </c>
      <c r="E325" s="4" vm="2992">
        <v>1101.4749999999999</v>
      </c>
      <c r="F325" s="4" vm="2993">
        <v>296.8</v>
      </c>
      <c r="G325" s="4" vm="2994">
        <v>64.099999999999994</v>
      </c>
      <c r="H325" s="4">
        <f t="shared" ref="H325:H388" si="6">SUMPRODUCT($C$3:$G$3,C325:G325)</f>
        <v>0</v>
      </c>
    </row>
    <row r="326" spans="1:8" x14ac:dyDescent="0.3">
      <c r="A326" vm="645">
        <v>45644</v>
      </c>
      <c r="B326" s="4" vm="646">
        <v>24198.85</v>
      </c>
      <c r="C326" s="4" vm="2995">
        <v>1398</v>
      </c>
      <c r="D326" s="4" vm="2996">
        <v>4749.8500000000004</v>
      </c>
      <c r="E326" s="4" vm="2997">
        <v>1094.0250000000001</v>
      </c>
      <c r="F326" s="4" vm="2998">
        <v>291.89999999999998</v>
      </c>
      <c r="G326" s="4" vm="2919">
        <v>64.38</v>
      </c>
      <c r="H326" s="4">
        <f t="shared" si="6"/>
        <v>0</v>
      </c>
    </row>
    <row r="327" spans="1:8" x14ac:dyDescent="0.3">
      <c r="A327" vm="647">
        <v>45645</v>
      </c>
      <c r="B327" s="4" vm="648">
        <v>23951.7</v>
      </c>
      <c r="C327" s="4" vm="2999">
        <v>1405.9</v>
      </c>
      <c r="D327" s="4" vm="3000">
        <v>4771.95</v>
      </c>
      <c r="E327" s="4" vm="3001">
        <v>1080.2</v>
      </c>
      <c r="F327" s="4" vm="3002">
        <v>288.5</v>
      </c>
      <c r="G327" s="4" vm="3003">
        <v>63.78</v>
      </c>
      <c r="H327" s="4">
        <f t="shared" si="6"/>
        <v>0</v>
      </c>
    </row>
    <row r="328" spans="1:8" x14ac:dyDescent="0.3">
      <c r="A328" vm="649">
        <v>45646</v>
      </c>
      <c r="B328" s="4" vm="650">
        <v>23587.5</v>
      </c>
      <c r="C328" s="4" vm="3004">
        <v>1400.6</v>
      </c>
      <c r="D328" s="4" vm="3005">
        <v>4734.5</v>
      </c>
      <c r="E328" s="4" vm="3006">
        <v>1081.75</v>
      </c>
      <c r="F328" s="4" vm="3007">
        <v>282.10000000000002</v>
      </c>
      <c r="G328" s="4" vm="3008">
        <v>63.32</v>
      </c>
      <c r="H328" s="4">
        <f t="shared" si="6"/>
        <v>0</v>
      </c>
    </row>
    <row r="329" spans="1:8" x14ac:dyDescent="0.3">
      <c r="A329" vm="651">
        <v>45649</v>
      </c>
      <c r="B329" s="4" vm="652">
        <v>23753.45</v>
      </c>
      <c r="C329" s="4" vm="3009">
        <v>1405.3</v>
      </c>
      <c r="D329" s="4" vm="3010">
        <v>4750.55</v>
      </c>
      <c r="E329" s="4" vm="3011">
        <v>1075.8</v>
      </c>
      <c r="F329" s="4" vm="3012">
        <v>273.95</v>
      </c>
      <c r="G329" s="4" vm="3013">
        <v>63.97</v>
      </c>
      <c r="H329" s="4">
        <f t="shared" si="6"/>
        <v>0</v>
      </c>
    </row>
    <row r="330" spans="1:8" x14ac:dyDescent="0.3">
      <c r="A330" vm="653">
        <v>45650</v>
      </c>
      <c r="B330" s="4" vm="654">
        <v>23727.65</v>
      </c>
      <c r="C330" s="4" vm="3014">
        <v>1387</v>
      </c>
      <c r="D330" s="4" vm="3015">
        <v>4792.8999999999996</v>
      </c>
      <c r="E330" s="4" vm="3016">
        <v>1083.3499999999999</v>
      </c>
      <c r="F330" s="4" vm="3017">
        <v>274.85000000000002</v>
      </c>
      <c r="G330" s="4" vm="3018">
        <v>63.68</v>
      </c>
      <c r="H330" s="4">
        <f t="shared" si="6"/>
        <v>0</v>
      </c>
    </row>
    <row r="331" spans="1:8" x14ac:dyDescent="0.3">
      <c r="A331" vm="655">
        <v>45652</v>
      </c>
      <c r="B331" s="4" vm="656">
        <v>23750.2</v>
      </c>
      <c r="C331" s="4" vm="3019">
        <v>1409.05</v>
      </c>
      <c r="D331" s="4" vm="3020">
        <v>4801.3500000000004</v>
      </c>
      <c r="E331" s="4" vm="3021">
        <v>1074.95</v>
      </c>
      <c r="F331" s="4" vm="3022">
        <v>273.2</v>
      </c>
      <c r="G331" s="4" vm="3023">
        <v>64</v>
      </c>
      <c r="H331" s="4">
        <f t="shared" si="6"/>
        <v>0</v>
      </c>
    </row>
    <row r="332" spans="1:8" x14ac:dyDescent="0.3">
      <c r="A332" vm="657">
        <v>45653</v>
      </c>
      <c r="B332" s="4" vm="658">
        <v>23813.4</v>
      </c>
      <c r="C332" s="4" vm="3009">
        <v>1405.3</v>
      </c>
      <c r="D332" s="4" vm="2407">
        <v>4876.8999999999996</v>
      </c>
      <c r="E332" s="4" vm="3024">
        <v>1082.8</v>
      </c>
      <c r="F332" s="4" vm="3025">
        <v>271.25</v>
      </c>
      <c r="G332" s="4" vm="3026">
        <v>64.209999999999994</v>
      </c>
      <c r="H332" s="4">
        <f t="shared" si="6"/>
        <v>0</v>
      </c>
    </row>
    <row r="333" spans="1:8" x14ac:dyDescent="0.3">
      <c r="A333" vm="659">
        <v>45656</v>
      </c>
      <c r="B333" s="4" vm="660">
        <v>23644.9</v>
      </c>
      <c r="C333" s="4" vm="3027">
        <v>1403.85</v>
      </c>
      <c r="D333" s="4" vm="3028">
        <v>4855.8</v>
      </c>
      <c r="E333" s="4" vm="3029">
        <v>1079.95</v>
      </c>
      <c r="F333" s="4" vm="3007">
        <v>282.10000000000002</v>
      </c>
      <c r="G333" s="4" vm="3023">
        <v>64</v>
      </c>
      <c r="H333" s="4">
        <f t="shared" si="6"/>
        <v>0</v>
      </c>
    </row>
    <row r="334" spans="1:8" x14ac:dyDescent="0.3">
      <c r="A334" vm="661">
        <v>45657</v>
      </c>
      <c r="B334" s="4" vm="662">
        <v>23644.799999999999</v>
      </c>
      <c r="C334" s="4" vm="3030">
        <v>1390.4</v>
      </c>
      <c r="D334" s="4" vm="3031">
        <v>4821.8999999999996</v>
      </c>
      <c r="E334" s="4" vm="3032">
        <v>1085.0250000000001</v>
      </c>
      <c r="F334" s="4" vm="3033">
        <v>278.05</v>
      </c>
      <c r="G334" s="4" vm="3034">
        <v>64.09</v>
      </c>
      <c r="H334" s="4">
        <f t="shared" si="6"/>
        <v>0</v>
      </c>
    </row>
    <row r="335" spans="1:8" x14ac:dyDescent="0.3">
      <c r="A335" vm="663">
        <v>45658</v>
      </c>
      <c r="B335" s="4" vm="664">
        <v>23742.9</v>
      </c>
      <c r="C335" s="4" vm="3035">
        <v>1400.4</v>
      </c>
      <c r="D335" s="4" vm="3036">
        <v>4885.3</v>
      </c>
      <c r="E335" s="4" vm="3037">
        <v>1084.625</v>
      </c>
      <c r="F335" s="4" vm="3038">
        <v>276.5</v>
      </c>
      <c r="G335" s="4" vm="3039">
        <v>64.349999999999994</v>
      </c>
      <c r="H335" s="4">
        <f t="shared" si="6"/>
        <v>0</v>
      </c>
    </row>
    <row r="336" spans="1:8" x14ac:dyDescent="0.3">
      <c r="A336" vm="665">
        <v>45659</v>
      </c>
      <c r="B336" s="4" vm="666">
        <v>24188.65</v>
      </c>
      <c r="C336" s="4" vm="3040">
        <v>1422.25</v>
      </c>
      <c r="D336" s="4" vm="3041">
        <v>5308.1</v>
      </c>
      <c r="E336" s="4" vm="3042">
        <v>1100.0999999999999</v>
      </c>
      <c r="F336" s="4" vm="3043">
        <v>284.60000000000002</v>
      </c>
      <c r="G336" s="4" vm="3044">
        <v>64.599999999999994</v>
      </c>
      <c r="H336" s="4">
        <f t="shared" si="6"/>
        <v>0</v>
      </c>
    </row>
    <row r="337" spans="1:8" x14ac:dyDescent="0.3">
      <c r="A337" vm="667">
        <v>45660</v>
      </c>
      <c r="B337" s="4" vm="668">
        <v>24004.75</v>
      </c>
      <c r="C337" s="4" vm="3045">
        <v>1447.7</v>
      </c>
      <c r="D337" s="4" vm="3046">
        <v>5310.75</v>
      </c>
      <c r="E337" s="4" vm="3047">
        <v>1116.3499999999999</v>
      </c>
      <c r="F337" s="4" vm="3048">
        <v>272.85000000000002</v>
      </c>
      <c r="G337" s="4" vm="3049">
        <v>65.069999999999993</v>
      </c>
      <c r="H337" s="4">
        <f t="shared" si="6"/>
        <v>0</v>
      </c>
    </row>
    <row r="338" spans="1:8" x14ac:dyDescent="0.3">
      <c r="A338" vm="669">
        <v>45663</v>
      </c>
      <c r="B338" s="4" vm="670">
        <v>23616.05</v>
      </c>
      <c r="C338" s="4" vm="3050">
        <v>1434.65</v>
      </c>
      <c r="D338" s="4" vm="3051">
        <v>5250.1</v>
      </c>
      <c r="E338" s="4" vm="3052">
        <v>1092.5</v>
      </c>
      <c r="F338" s="4" vm="3053">
        <v>264.85000000000002</v>
      </c>
      <c r="G338" s="4" vm="2985">
        <v>64.61</v>
      </c>
      <c r="H338" s="4">
        <f t="shared" si="6"/>
        <v>0</v>
      </c>
    </row>
    <row r="339" spans="1:8" x14ac:dyDescent="0.3">
      <c r="A339" vm="671">
        <v>45664</v>
      </c>
      <c r="B339" s="4" vm="672">
        <v>23707.9</v>
      </c>
      <c r="C339" s="4" vm="3054">
        <v>1477.75</v>
      </c>
      <c r="D339" s="4" vm="3055">
        <v>5177.3</v>
      </c>
      <c r="E339" s="4" vm="3056">
        <v>1106.325</v>
      </c>
      <c r="F339" s="4" vm="3057">
        <v>252.45</v>
      </c>
      <c r="G339" s="4" vm="3058">
        <v>64.77</v>
      </c>
      <c r="H339" s="4">
        <f t="shared" si="6"/>
        <v>0</v>
      </c>
    </row>
    <row r="340" spans="1:8" x14ac:dyDescent="0.3">
      <c r="A340" vm="673">
        <v>45665</v>
      </c>
      <c r="B340" s="4" vm="674">
        <v>23688.95</v>
      </c>
      <c r="C340" s="4" vm="3059">
        <v>1463.15</v>
      </c>
      <c r="D340" s="4" vm="3060">
        <v>5163.2</v>
      </c>
      <c r="E340" s="4" vm="3061">
        <v>1109.95</v>
      </c>
      <c r="F340" s="4" vm="3062">
        <v>250.05</v>
      </c>
      <c r="G340" s="4" vm="3063">
        <v>65.12</v>
      </c>
      <c r="H340" s="4">
        <f t="shared" si="6"/>
        <v>0</v>
      </c>
    </row>
    <row r="341" spans="1:8" x14ac:dyDescent="0.3">
      <c r="A341" vm="675">
        <v>45666</v>
      </c>
      <c r="B341" s="4" vm="676">
        <v>23526.5</v>
      </c>
      <c r="C341" s="4" vm="3064">
        <v>1468.45</v>
      </c>
      <c r="D341" s="4" vm="3065">
        <v>5139.8999999999996</v>
      </c>
      <c r="E341" s="4" vm="3066">
        <v>1128.0250000000001</v>
      </c>
      <c r="F341" s="4" vm="3067">
        <v>245.35</v>
      </c>
      <c r="G341" s="4" vm="3068">
        <v>65.400000000000006</v>
      </c>
      <c r="H341" s="4">
        <f t="shared" si="6"/>
        <v>0</v>
      </c>
    </row>
    <row r="342" spans="1:8" x14ac:dyDescent="0.3">
      <c r="A342" vm="677">
        <v>45667</v>
      </c>
      <c r="B342" s="4" vm="678">
        <v>23431.5</v>
      </c>
      <c r="C342" s="4" vm="3069">
        <v>1478.3</v>
      </c>
      <c r="D342" s="4" vm="3070">
        <v>5058.45</v>
      </c>
      <c r="E342" s="4" vm="3071">
        <v>1123.95</v>
      </c>
      <c r="F342" s="4" vm="3072">
        <v>242.95</v>
      </c>
      <c r="G342" s="4" vm="3073">
        <v>65.930000000000007</v>
      </c>
      <c r="H342" s="4">
        <f t="shared" si="6"/>
        <v>0</v>
      </c>
    </row>
    <row r="343" spans="1:8" x14ac:dyDescent="0.3">
      <c r="A343" vm="679">
        <v>45670</v>
      </c>
      <c r="B343" s="4" vm="680">
        <v>23085.95</v>
      </c>
      <c r="C343" s="4" vm="3074">
        <v>1467.4</v>
      </c>
      <c r="D343" s="4" vm="3075">
        <v>4939.1000000000004</v>
      </c>
      <c r="E343" s="4" vm="3076">
        <v>1118.675</v>
      </c>
      <c r="F343" s="4" vm="3077">
        <v>227.15</v>
      </c>
      <c r="G343" s="4" vm="3078">
        <v>66.25</v>
      </c>
      <c r="H343" s="4">
        <f t="shared" si="6"/>
        <v>0</v>
      </c>
    </row>
    <row r="344" spans="1:8" x14ac:dyDescent="0.3">
      <c r="A344" vm="681">
        <v>45671</v>
      </c>
      <c r="B344" s="4" vm="682">
        <v>23176.05</v>
      </c>
      <c r="C344" s="4" vm="3079">
        <v>1499.25</v>
      </c>
      <c r="D344" s="4" vm="3080">
        <v>5029.55</v>
      </c>
      <c r="E344" s="4" vm="3081">
        <v>1109.5250000000001</v>
      </c>
      <c r="F344" s="4" vm="3082">
        <v>233.6</v>
      </c>
      <c r="G344" s="4" vm="3083">
        <v>66.040000000000006</v>
      </c>
      <c r="H344" s="4">
        <f t="shared" si="6"/>
        <v>0</v>
      </c>
    </row>
    <row r="345" spans="1:8" x14ac:dyDescent="0.3">
      <c r="A345" vm="683">
        <v>45672</v>
      </c>
      <c r="B345" s="4" vm="684">
        <v>23213.200000000001</v>
      </c>
      <c r="C345" s="4" vm="3084">
        <v>1472.75</v>
      </c>
      <c r="D345" s="4" vm="3085">
        <v>5081.8999999999996</v>
      </c>
      <c r="E345" s="4" vm="3086">
        <v>1099.825</v>
      </c>
      <c r="F345" s="4" vm="3087">
        <v>243.9</v>
      </c>
      <c r="G345" s="4" vm="3088">
        <v>66.260000000000005</v>
      </c>
      <c r="H345" s="4">
        <f t="shared" si="6"/>
        <v>0</v>
      </c>
    </row>
    <row r="346" spans="1:8" x14ac:dyDescent="0.3">
      <c r="A346" vm="685">
        <v>45673</v>
      </c>
      <c r="B346" s="4" vm="686">
        <v>23311.8</v>
      </c>
      <c r="C346" s="4" vm="3089">
        <v>1513.6</v>
      </c>
      <c r="D346" s="4" vm="3090">
        <v>5047.8</v>
      </c>
      <c r="E346" s="4" vm="3091">
        <v>1084.6500000000001</v>
      </c>
      <c r="F346" s="4" vm="3092">
        <v>241.9</v>
      </c>
      <c r="G346" s="4" vm="3093">
        <v>66.59</v>
      </c>
      <c r="H346" s="4">
        <f t="shared" si="6"/>
        <v>0</v>
      </c>
    </row>
    <row r="347" spans="1:8" x14ac:dyDescent="0.3">
      <c r="A347" vm="687">
        <v>45674</v>
      </c>
      <c r="B347" s="4" vm="688">
        <v>23203.200000000001</v>
      </c>
      <c r="C347" s="4" vm="3094">
        <v>1540.5</v>
      </c>
      <c r="D347" s="4" vm="3095">
        <v>5012.3</v>
      </c>
      <c r="E347" s="4" vm="3096">
        <v>1108.5999999999999</v>
      </c>
      <c r="F347" s="4" vm="3097">
        <v>248.8</v>
      </c>
      <c r="G347" s="4" vm="3098">
        <v>66.66</v>
      </c>
      <c r="H347" s="4">
        <f t="shared" si="6"/>
        <v>0</v>
      </c>
    </row>
    <row r="348" spans="1:8" x14ac:dyDescent="0.3">
      <c r="A348" vm="689">
        <v>45677</v>
      </c>
      <c r="B348" s="4" vm="690">
        <v>23344.75</v>
      </c>
      <c r="C348" s="4" vm="3099">
        <v>1499.7</v>
      </c>
      <c r="D348" s="4" vm="3100">
        <v>5016.75</v>
      </c>
      <c r="E348" s="4" vm="3101">
        <v>1107</v>
      </c>
      <c r="F348" s="4" vm="3102">
        <v>239.75</v>
      </c>
      <c r="G348" s="4" vm="3093">
        <v>66.59</v>
      </c>
      <c r="H348" s="4">
        <f t="shared" si="6"/>
        <v>0</v>
      </c>
    </row>
    <row r="349" spans="1:8" x14ac:dyDescent="0.3">
      <c r="A349" vm="691">
        <v>45678</v>
      </c>
      <c r="B349" s="4" vm="692">
        <v>23024.65</v>
      </c>
      <c r="C349" s="4" vm="3103">
        <v>1466.55</v>
      </c>
      <c r="D349" s="4" vm="3104">
        <v>4969.95</v>
      </c>
      <c r="E349" s="4" vm="3105">
        <v>1098.2249999999999</v>
      </c>
      <c r="F349" s="4" vm="3106">
        <v>214.55</v>
      </c>
      <c r="G349" s="4" vm="3107">
        <v>66.95</v>
      </c>
      <c r="H349" s="4">
        <f t="shared" si="6"/>
        <v>0</v>
      </c>
    </row>
    <row r="350" spans="1:8" x14ac:dyDescent="0.3">
      <c r="A350" vm="693">
        <v>45679</v>
      </c>
      <c r="B350" s="4" vm="694">
        <v>23155.35</v>
      </c>
      <c r="C350" s="4" vm="2220">
        <v>1460.05</v>
      </c>
      <c r="D350" s="4" vm="3108">
        <v>5009.7</v>
      </c>
      <c r="E350" s="4" vm="3109">
        <v>1103.9000000000001</v>
      </c>
      <c r="F350" s="4" vm="3110">
        <v>216.45</v>
      </c>
      <c r="G350" s="4" vm="3111">
        <v>67.62</v>
      </c>
      <c r="H350" s="4">
        <f t="shared" si="6"/>
        <v>0</v>
      </c>
    </row>
    <row r="351" spans="1:8" x14ac:dyDescent="0.3">
      <c r="A351" vm="695">
        <v>45680</v>
      </c>
      <c r="B351" s="4" vm="696">
        <v>23205.35</v>
      </c>
      <c r="C351" s="4" vm="3112">
        <v>1449.85</v>
      </c>
      <c r="D351" s="4" vm="3113">
        <v>5116.2</v>
      </c>
      <c r="E351" s="4" vm="3114">
        <v>1099.4749999999999</v>
      </c>
      <c r="F351" s="4" vm="3115">
        <v>221.95</v>
      </c>
      <c r="G351" s="4" vm="3116">
        <v>67.430000000000007</v>
      </c>
      <c r="H351" s="4">
        <f t="shared" si="6"/>
        <v>0</v>
      </c>
    </row>
    <row r="352" spans="1:8" x14ac:dyDescent="0.3">
      <c r="A352" vm="697">
        <v>45681</v>
      </c>
      <c r="B352" s="4" vm="698">
        <v>23092.2</v>
      </c>
      <c r="C352" s="4" vm="3117">
        <v>1440.4</v>
      </c>
      <c r="D352" s="4" vm="3118">
        <v>5206.3</v>
      </c>
      <c r="E352" s="4" vm="3119">
        <v>1103.95</v>
      </c>
      <c r="F352" s="4" vm="3120">
        <v>215.6</v>
      </c>
      <c r="G352" s="4" vm="3121">
        <v>67.77</v>
      </c>
      <c r="H352" s="4">
        <f t="shared" si="6"/>
        <v>0</v>
      </c>
    </row>
    <row r="353" spans="1:8" x14ac:dyDescent="0.3">
      <c r="A353" vm="699">
        <v>45684</v>
      </c>
      <c r="B353" s="4" vm="700">
        <v>22829.15</v>
      </c>
      <c r="C353" s="4" vm="3122">
        <v>1424.4</v>
      </c>
      <c r="D353" s="4" vm="3123">
        <v>5144.5</v>
      </c>
      <c r="E353" s="4" vm="3124">
        <v>1087.375</v>
      </c>
      <c r="F353" s="4" vm="3125">
        <v>206.2</v>
      </c>
      <c r="G353" s="4" vm="3126">
        <v>67.69</v>
      </c>
      <c r="H353" s="4">
        <f t="shared" si="6"/>
        <v>0</v>
      </c>
    </row>
    <row r="354" spans="1:8" x14ac:dyDescent="0.3">
      <c r="A354" vm="701">
        <v>45685</v>
      </c>
      <c r="B354" s="4" vm="702">
        <v>22957.25</v>
      </c>
      <c r="C354" s="4" vm="3127">
        <v>1419.5</v>
      </c>
      <c r="D354" s="4" vm="3128">
        <v>5105.3999999999996</v>
      </c>
      <c r="E354" s="4" vm="3129">
        <v>1078.1500000000001</v>
      </c>
      <c r="F354" s="4" vm="3130">
        <v>208.2</v>
      </c>
      <c r="G354" s="4" vm="3131">
        <v>67.58</v>
      </c>
      <c r="H354" s="4">
        <f t="shared" si="6"/>
        <v>0</v>
      </c>
    </row>
    <row r="355" spans="1:8" x14ac:dyDescent="0.3">
      <c r="A355" vm="703">
        <v>45686</v>
      </c>
      <c r="B355" s="4" vm="704">
        <v>23163.1</v>
      </c>
      <c r="C355" s="4" vm="2245">
        <v>1460.9</v>
      </c>
      <c r="D355" s="4" vm="3132">
        <v>5182.8999999999996</v>
      </c>
      <c r="E355" s="4" vm="3133">
        <v>1090.3499999999999</v>
      </c>
      <c r="F355" s="4" vm="3134">
        <v>222.5</v>
      </c>
      <c r="G355" s="4" vm="3135">
        <v>67.86</v>
      </c>
      <c r="H355" s="4">
        <f t="shared" si="6"/>
        <v>0</v>
      </c>
    </row>
    <row r="356" spans="1:8" x14ac:dyDescent="0.3">
      <c r="A356" vm="705">
        <v>45687</v>
      </c>
      <c r="B356" s="4" vm="706">
        <v>23249.5</v>
      </c>
      <c r="C356" s="4" vm="3136">
        <v>1472.9</v>
      </c>
      <c r="D356" s="4" vm="3137">
        <v>5164.3500000000004</v>
      </c>
      <c r="E356" s="4" vm="3138">
        <v>1108.675</v>
      </c>
      <c r="F356" s="4" vm="3139">
        <v>218.8</v>
      </c>
      <c r="G356" s="4" vm="3140">
        <v>68.09</v>
      </c>
      <c r="H356" s="4">
        <f t="shared" si="6"/>
        <v>0</v>
      </c>
    </row>
    <row r="357" spans="1:8" x14ac:dyDescent="0.3">
      <c r="A357" vm="707">
        <v>45688</v>
      </c>
      <c r="B357" s="4" vm="708">
        <v>23508.400000000001</v>
      </c>
      <c r="C357" s="4" vm="3141">
        <v>1483.6</v>
      </c>
      <c r="D357" s="4" vm="3142">
        <v>5194.3</v>
      </c>
      <c r="E357" s="4" vm="3143">
        <v>1156.5999999999999</v>
      </c>
      <c r="F357" s="4" vm="3144">
        <v>220.35</v>
      </c>
      <c r="G357" s="4" vm="3145">
        <v>69.08</v>
      </c>
      <c r="H357" s="4">
        <f t="shared" si="6"/>
        <v>0</v>
      </c>
    </row>
    <row r="358" spans="1:8" x14ac:dyDescent="0.3">
      <c r="A358" vm="709">
        <v>45689</v>
      </c>
      <c r="B358" s="4" vm="710">
        <v>23482.15</v>
      </c>
      <c r="C358" s="4" vm="3146">
        <v>1454.35</v>
      </c>
      <c r="D358" s="4" vm="3147">
        <v>5390.15</v>
      </c>
      <c r="E358" s="4" vm="3148">
        <v>1163.5999999999999</v>
      </c>
      <c r="F358" s="4" vm="3149">
        <v>236.32</v>
      </c>
      <c r="G358" s="4" vm="3150">
        <v>68.95</v>
      </c>
      <c r="H358" s="4">
        <f t="shared" si="6"/>
        <v>0</v>
      </c>
    </row>
    <row r="359" spans="1:8" x14ac:dyDescent="0.3">
      <c r="A359" vm="711">
        <v>45691</v>
      </c>
      <c r="B359" s="4" vm="712">
        <v>23361.05</v>
      </c>
      <c r="C359" s="4" vm="3151">
        <v>1459.95</v>
      </c>
      <c r="D359" s="4" vm="3152">
        <v>5485.25</v>
      </c>
      <c r="E359" s="4" vm="3153">
        <v>1158.55</v>
      </c>
      <c r="F359" s="4" vm="3154">
        <v>238.2</v>
      </c>
      <c r="G359" s="4" vm="3155">
        <v>69.64</v>
      </c>
      <c r="H359" s="4">
        <f t="shared" si="6"/>
        <v>0</v>
      </c>
    </row>
    <row r="360" spans="1:8" x14ac:dyDescent="0.3">
      <c r="A360" vm="713">
        <v>45692</v>
      </c>
      <c r="B360" s="4" vm="714">
        <v>23739.25</v>
      </c>
      <c r="C360" s="4" vm="3156">
        <v>1472.4</v>
      </c>
      <c r="D360" s="4" vm="3157">
        <v>5450.1</v>
      </c>
      <c r="E360" s="4" vm="3158">
        <v>1149.7249999999999</v>
      </c>
      <c r="F360" s="4" vm="3159">
        <v>234.54</v>
      </c>
      <c r="G360" s="4" vm="3160">
        <v>70.08</v>
      </c>
      <c r="H360" s="4">
        <f t="shared" si="6"/>
        <v>0</v>
      </c>
    </row>
    <row r="361" spans="1:8" x14ac:dyDescent="0.3">
      <c r="A361" vm="715">
        <v>45693</v>
      </c>
      <c r="B361" s="4" vm="716">
        <v>23696.3</v>
      </c>
      <c r="C361" s="4" vm="3161">
        <v>1469.15</v>
      </c>
      <c r="D361" s="4" vm="3162">
        <v>5417.2</v>
      </c>
      <c r="E361" s="4" vm="3163">
        <v>1124.4749999999999</v>
      </c>
      <c r="F361" s="4" vm="3164">
        <v>231.12</v>
      </c>
      <c r="G361" s="4" vm="3165">
        <v>71.569999999999993</v>
      </c>
      <c r="H361" s="4">
        <f t="shared" si="6"/>
        <v>0</v>
      </c>
    </row>
    <row r="362" spans="1:8" x14ac:dyDescent="0.3">
      <c r="A362" vm="717">
        <v>45694</v>
      </c>
      <c r="B362" s="4" vm="718">
        <v>23603.35</v>
      </c>
      <c r="C362" s="4" vm="3166">
        <v>1465.1</v>
      </c>
      <c r="D362" s="4" vm="3167">
        <v>5342</v>
      </c>
      <c r="E362" s="4" vm="3168">
        <v>1119.7249999999999</v>
      </c>
      <c r="F362" s="4" vm="3169">
        <v>229.05</v>
      </c>
      <c r="G362" s="4" vm="3170">
        <v>71.430000000000007</v>
      </c>
      <c r="H362" s="4">
        <f t="shared" si="6"/>
        <v>0</v>
      </c>
    </row>
    <row r="363" spans="1:8" x14ac:dyDescent="0.3">
      <c r="A363" vm="719">
        <v>45695</v>
      </c>
      <c r="B363" s="4" vm="720">
        <v>23559.95</v>
      </c>
      <c r="C363" s="4" vm="3171">
        <v>1470.95</v>
      </c>
      <c r="D363" s="4" vm="3172">
        <v>5372.55</v>
      </c>
      <c r="E363" s="4" vm="3173">
        <v>1112.55</v>
      </c>
      <c r="F363" s="4" vm="3174">
        <v>233.9</v>
      </c>
      <c r="G363" s="4" vm="3175">
        <v>71.540000000000006</v>
      </c>
      <c r="H363" s="4">
        <f t="shared" si="6"/>
        <v>0</v>
      </c>
    </row>
    <row r="364" spans="1:8" x14ac:dyDescent="0.3">
      <c r="A364" vm="721">
        <v>45698</v>
      </c>
      <c r="B364" s="4" vm="722">
        <v>23381.599999999999</v>
      </c>
      <c r="C364" s="4" vm="3176">
        <v>1448.2</v>
      </c>
      <c r="D364" s="4" vm="3177">
        <v>5335.35</v>
      </c>
      <c r="E364" s="4" vm="3178">
        <v>1110.5250000000001</v>
      </c>
      <c r="F364" s="4" vm="3179">
        <v>227.25</v>
      </c>
      <c r="G364" s="4" vm="3180">
        <v>72.52</v>
      </c>
      <c r="H364" s="4">
        <f t="shared" si="6"/>
        <v>0</v>
      </c>
    </row>
    <row r="365" spans="1:8" x14ac:dyDescent="0.3">
      <c r="A365" vm="723">
        <v>45699</v>
      </c>
      <c r="B365" s="4" vm="724">
        <v>23071.8</v>
      </c>
      <c r="C365" s="4" vm="3181">
        <v>1419</v>
      </c>
      <c r="D365" s="4" vm="3182">
        <v>4972.3500000000004</v>
      </c>
      <c r="E365" s="4" vm="3183">
        <v>1097.75</v>
      </c>
      <c r="F365" s="4" vm="3184">
        <v>215.45</v>
      </c>
      <c r="G365" s="4" vm="3185">
        <v>71.98</v>
      </c>
      <c r="H365" s="4">
        <f t="shared" si="6"/>
        <v>0</v>
      </c>
    </row>
    <row r="366" spans="1:8" x14ac:dyDescent="0.3">
      <c r="A366" vm="725">
        <v>45700</v>
      </c>
      <c r="B366" s="4" vm="726">
        <v>23045.25</v>
      </c>
      <c r="C366" s="4" vm="3186">
        <v>1452.15</v>
      </c>
      <c r="D366" s="4" vm="3187">
        <v>4849.45</v>
      </c>
      <c r="E366" s="4" vm="3188">
        <v>1096.875</v>
      </c>
      <c r="F366" s="4" vm="3189">
        <v>214.7</v>
      </c>
      <c r="G366" s="4" vm="3190">
        <v>71.47</v>
      </c>
      <c r="H366" s="4">
        <f t="shared" si="6"/>
        <v>0</v>
      </c>
    </row>
    <row r="367" spans="1:8" x14ac:dyDescent="0.3">
      <c r="A367" vm="727">
        <v>45701</v>
      </c>
      <c r="B367" s="4" vm="728">
        <v>23031.4</v>
      </c>
      <c r="C367" s="4" vm="3191">
        <v>1470.5</v>
      </c>
      <c r="D367" s="4" vm="3192">
        <v>4820.3999999999996</v>
      </c>
      <c r="E367" s="4" vm="3193">
        <v>1088.7750000000001</v>
      </c>
      <c r="F367" s="4" vm="3194">
        <v>217.87</v>
      </c>
      <c r="G367" s="4" vm="3195">
        <v>71.87</v>
      </c>
      <c r="H367" s="4">
        <f t="shared" si="6"/>
        <v>0</v>
      </c>
    </row>
    <row r="368" spans="1:8" x14ac:dyDescent="0.3">
      <c r="A368" vm="729">
        <v>45702</v>
      </c>
      <c r="B368" s="4" vm="730">
        <v>22929.25</v>
      </c>
      <c r="C368" s="4" vm="3196">
        <v>1465.45</v>
      </c>
      <c r="D368" s="4" vm="3197">
        <v>4703.3500000000004</v>
      </c>
      <c r="E368" s="4" vm="3198">
        <v>1097.925</v>
      </c>
      <c r="F368" s="4" vm="3199">
        <v>215.99</v>
      </c>
      <c r="G368" s="4" vm="3200">
        <v>72.22</v>
      </c>
      <c r="H368" s="4">
        <f t="shared" si="6"/>
        <v>0</v>
      </c>
    </row>
    <row r="369" spans="1:8" x14ac:dyDescent="0.3">
      <c r="A369" vm="731">
        <v>45705</v>
      </c>
      <c r="B369" s="4" vm="732">
        <v>22959.5</v>
      </c>
      <c r="C369" s="4" vm="3201">
        <v>1476.2</v>
      </c>
      <c r="D369" s="4" vm="3202">
        <v>4745.2</v>
      </c>
      <c r="E369" s="4" vm="3203">
        <v>1108.25</v>
      </c>
      <c r="F369" s="4" vm="3204">
        <v>218.53</v>
      </c>
      <c r="G369" s="4" vm="3205">
        <v>71.650000000000006</v>
      </c>
      <c r="H369" s="4">
        <f t="shared" si="6"/>
        <v>0</v>
      </c>
    </row>
    <row r="370" spans="1:8" x14ac:dyDescent="0.3">
      <c r="A370" vm="733">
        <v>45706</v>
      </c>
      <c r="B370" s="4" vm="734">
        <v>22945.3</v>
      </c>
      <c r="C370" s="4" vm="3206">
        <v>1475.35</v>
      </c>
      <c r="D370" s="4" vm="3207">
        <v>4719.3999999999996</v>
      </c>
      <c r="E370" s="4" vm="3208">
        <v>1111.2</v>
      </c>
      <c r="F370" s="4" vm="3209">
        <v>223.31</v>
      </c>
      <c r="G370" s="4" vm="3185">
        <v>71.98</v>
      </c>
      <c r="H370" s="4">
        <f t="shared" si="6"/>
        <v>0</v>
      </c>
    </row>
    <row r="371" spans="1:8" x14ac:dyDescent="0.3">
      <c r="A371" vm="735">
        <v>45707</v>
      </c>
      <c r="B371" s="4" vm="736">
        <v>22932.9</v>
      </c>
      <c r="C371" s="4" vm="3210">
        <v>1475.6</v>
      </c>
      <c r="D371" s="4" vm="3211">
        <v>4810.6000000000004</v>
      </c>
      <c r="E371" s="4" vm="3212">
        <v>1102.4749999999999</v>
      </c>
      <c r="F371" s="4" vm="3213">
        <v>234.1</v>
      </c>
      <c r="G371" s="4" vm="3214">
        <v>72.73</v>
      </c>
      <c r="H371" s="4">
        <f t="shared" si="6"/>
        <v>0</v>
      </c>
    </row>
    <row r="372" spans="1:8" x14ac:dyDescent="0.3">
      <c r="A372" vm="737">
        <v>45708</v>
      </c>
      <c r="B372" s="4" vm="738">
        <v>22913.15</v>
      </c>
      <c r="C372" s="4" vm="3215">
        <v>1469.8</v>
      </c>
      <c r="D372" s="4" vm="3216">
        <v>4888.3999999999996</v>
      </c>
      <c r="E372" s="4" vm="3217">
        <v>1103.375</v>
      </c>
      <c r="F372" s="4" vm="3218">
        <v>233.93</v>
      </c>
      <c r="G372" s="4" vm="3219">
        <v>72.489999999999995</v>
      </c>
      <c r="H372" s="4">
        <f t="shared" si="6"/>
        <v>0</v>
      </c>
    </row>
    <row r="373" spans="1:8" x14ac:dyDescent="0.3">
      <c r="A373" vm="739">
        <v>45709</v>
      </c>
      <c r="B373" s="4" vm="740">
        <v>22795.9</v>
      </c>
      <c r="C373" s="4" vm="3220">
        <v>1495.4</v>
      </c>
      <c r="D373" s="4" vm="3221">
        <v>4962.45</v>
      </c>
      <c r="E373" s="4" vm="3222">
        <v>1107.4749999999999</v>
      </c>
      <c r="F373" s="4" vm="3223">
        <v>230.36</v>
      </c>
      <c r="G373" s="4" vm="3224">
        <v>72.08</v>
      </c>
      <c r="H373" s="4">
        <f t="shared" si="6"/>
        <v>0</v>
      </c>
    </row>
    <row r="374" spans="1:8" x14ac:dyDescent="0.3">
      <c r="A374" vm="741">
        <v>45712</v>
      </c>
      <c r="B374" s="4" vm="742">
        <v>22553.35</v>
      </c>
      <c r="C374" s="4" vm="3225">
        <v>1486.5</v>
      </c>
      <c r="D374" s="4" vm="3226">
        <v>5010.8</v>
      </c>
      <c r="E374" s="4" vm="3227">
        <v>1110.2</v>
      </c>
      <c r="F374" s="4" vm="3228">
        <v>222.69</v>
      </c>
      <c r="G374" s="4" vm="3229">
        <v>72.599999999999994</v>
      </c>
      <c r="H374" s="4">
        <f t="shared" si="6"/>
        <v>0</v>
      </c>
    </row>
    <row r="375" spans="1:8" x14ac:dyDescent="0.3">
      <c r="A375" vm="743">
        <v>45713</v>
      </c>
      <c r="B375" s="4" vm="744">
        <v>22547.55</v>
      </c>
      <c r="C375" s="4" vm="3230">
        <v>1471.75</v>
      </c>
      <c r="D375" s="4" vm="3231">
        <v>4989.8</v>
      </c>
      <c r="E375" s="4" vm="3232">
        <v>1125.2</v>
      </c>
      <c r="F375" s="4" vm="3233">
        <v>225.63</v>
      </c>
      <c r="G375" s="4" vm="3234">
        <v>72.75</v>
      </c>
      <c r="H375" s="4">
        <f t="shared" si="6"/>
        <v>0</v>
      </c>
    </row>
    <row r="376" spans="1:8" x14ac:dyDescent="0.3">
      <c r="A376" vm="745">
        <v>45715</v>
      </c>
      <c r="B376" s="4" vm="746">
        <v>22545.05</v>
      </c>
      <c r="C376" s="4" vm="3235">
        <v>1469.75</v>
      </c>
      <c r="D376" s="4" vm="3236">
        <v>4935.5</v>
      </c>
      <c r="E376" s="4" vm="3237">
        <v>1139.0999999999999</v>
      </c>
      <c r="F376" s="4" vm="3238">
        <v>229.04</v>
      </c>
      <c r="G376" s="4" vm="3239">
        <v>71.88</v>
      </c>
      <c r="H376" s="4">
        <f t="shared" si="6"/>
        <v>0</v>
      </c>
    </row>
    <row r="377" spans="1:8" x14ac:dyDescent="0.3">
      <c r="A377" vm="747">
        <v>45716</v>
      </c>
      <c r="B377" s="4" vm="748">
        <v>22124.7</v>
      </c>
      <c r="C377" s="4" vm="3240">
        <v>1430.5</v>
      </c>
      <c r="D377" s="4" vm="3241">
        <v>4773.6000000000004</v>
      </c>
      <c r="E377" s="4" vm="3242">
        <v>1094.825</v>
      </c>
      <c r="F377" s="4" vm="3243">
        <v>222.1</v>
      </c>
      <c r="G377" s="4" vm="3244">
        <v>71.099999999999994</v>
      </c>
      <c r="H377" s="4">
        <f t="shared" si="6"/>
        <v>0</v>
      </c>
    </row>
    <row r="378" spans="1:8" x14ac:dyDescent="0.3">
      <c r="A378" vm="749">
        <v>45719</v>
      </c>
      <c r="B378" s="4" vm="750">
        <v>22119.3</v>
      </c>
      <c r="C378" s="4" vm="3245">
        <v>1408.5</v>
      </c>
      <c r="D378" s="4" vm="3246">
        <v>4906.6000000000004</v>
      </c>
      <c r="E378" s="4" vm="3247">
        <v>1092.7750000000001</v>
      </c>
      <c r="F378" s="4" vm="3248">
        <v>222.14</v>
      </c>
      <c r="G378" s="4" vm="3249">
        <v>71.36</v>
      </c>
      <c r="H378" s="4">
        <f t="shared" si="6"/>
        <v>0</v>
      </c>
    </row>
    <row r="379" spans="1:8" x14ac:dyDescent="0.3">
      <c r="A379" vm="751">
        <v>45720</v>
      </c>
      <c r="B379" s="4" vm="752">
        <v>22082.65</v>
      </c>
      <c r="C379" s="4" vm="3250">
        <v>1393.1</v>
      </c>
      <c r="D379" s="4" vm="3251">
        <v>4815.1000000000004</v>
      </c>
      <c r="E379" s="4" vm="3252">
        <v>1073.25</v>
      </c>
      <c r="F379" s="4" vm="3253">
        <v>227.61</v>
      </c>
      <c r="G379" s="4" vm="3254">
        <v>72.42</v>
      </c>
      <c r="H379" s="4">
        <f t="shared" si="6"/>
        <v>0</v>
      </c>
    </row>
    <row r="380" spans="1:8" x14ac:dyDescent="0.3">
      <c r="A380" vm="753">
        <v>45721</v>
      </c>
      <c r="B380" s="4" vm="754">
        <v>22337.3</v>
      </c>
      <c r="C380" s="4" vm="3255">
        <v>1420.7</v>
      </c>
      <c r="D380" s="4" vm="3256">
        <v>4988.3</v>
      </c>
      <c r="E380" s="4" vm="3257">
        <v>1098.5</v>
      </c>
      <c r="F380" s="4" vm="3258">
        <v>227.02</v>
      </c>
      <c r="G380" s="4" vm="3259">
        <v>72.27</v>
      </c>
      <c r="H380" s="4">
        <f t="shared" si="6"/>
        <v>0</v>
      </c>
    </row>
    <row r="381" spans="1:8" x14ac:dyDescent="0.3">
      <c r="A381" vm="755">
        <v>45722</v>
      </c>
      <c r="B381" s="4" vm="756">
        <v>22544.7</v>
      </c>
      <c r="C381" s="4" vm="3260">
        <v>1421.3</v>
      </c>
      <c r="D381" s="4" vm="3261">
        <v>5094.3999999999996</v>
      </c>
      <c r="E381" s="4" vm="3262">
        <v>1100.5999999999999</v>
      </c>
      <c r="F381" s="4" vm="3263">
        <v>225.43</v>
      </c>
      <c r="G381" s="4" vm="3264">
        <v>71.89</v>
      </c>
      <c r="H381" s="4">
        <f t="shared" si="6"/>
        <v>0</v>
      </c>
    </row>
    <row r="382" spans="1:8" x14ac:dyDescent="0.3">
      <c r="A382" vm="757">
        <v>45723</v>
      </c>
      <c r="B382" s="4" vm="758">
        <v>22552.5</v>
      </c>
      <c r="C382" s="4" vm="3265">
        <v>1411.6</v>
      </c>
      <c r="D382" s="4" vm="3266">
        <v>5100.7</v>
      </c>
      <c r="E382" s="4" vm="3267">
        <v>1119.2249999999999</v>
      </c>
      <c r="F382" s="4" vm="3268">
        <v>216.83</v>
      </c>
      <c r="G382" s="4" vm="3269">
        <v>72.209999999999994</v>
      </c>
      <c r="H382" s="4">
        <f t="shared" si="6"/>
        <v>0</v>
      </c>
    </row>
    <row r="383" spans="1:8" x14ac:dyDescent="0.3">
      <c r="A383" vm="759">
        <v>45726</v>
      </c>
      <c r="B383" s="4" vm="760">
        <v>22460.3</v>
      </c>
      <c r="C383" s="4" vm="3270">
        <v>1419.45</v>
      </c>
      <c r="D383" s="4" vm="3271">
        <v>4990.55</v>
      </c>
      <c r="E383" s="4" vm="3272">
        <v>1124.2</v>
      </c>
      <c r="F383" s="4" vm="3273">
        <v>211.28</v>
      </c>
      <c r="G383" s="4" vm="3274">
        <v>72.17</v>
      </c>
      <c r="H383" s="4">
        <f t="shared" si="6"/>
        <v>0</v>
      </c>
    </row>
    <row r="384" spans="1:8" x14ac:dyDescent="0.3">
      <c r="A384" vm="761">
        <v>45727</v>
      </c>
      <c r="B384" s="4" vm="762">
        <v>22497.9</v>
      </c>
      <c r="C384" s="4" vm="3275">
        <v>1417.25</v>
      </c>
      <c r="D384" s="4" vm="3276">
        <v>4985.55</v>
      </c>
      <c r="E384" s="4" vm="3277">
        <v>1125.7</v>
      </c>
      <c r="F384" s="4" vm="3278">
        <v>208.07</v>
      </c>
      <c r="G384" s="4" vm="3224">
        <v>72.08</v>
      </c>
      <c r="H384" s="4">
        <f t="shared" si="6"/>
        <v>0</v>
      </c>
    </row>
    <row r="385" spans="1:8" x14ac:dyDescent="0.3">
      <c r="A385" vm="763">
        <v>45728</v>
      </c>
      <c r="B385" s="4" vm="764">
        <v>22470.5</v>
      </c>
      <c r="C385" s="4" vm="3279">
        <v>1409</v>
      </c>
      <c r="D385" s="4" vm="3280">
        <v>5017.45</v>
      </c>
      <c r="E385" s="4" vm="3183">
        <v>1097.75</v>
      </c>
      <c r="F385" s="4" vm="3281">
        <v>205.46</v>
      </c>
      <c r="G385" s="4" vm="3282">
        <v>72.319999999999993</v>
      </c>
      <c r="H385" s="4">
        <f t="shared" si="6"/>
        <v>0</v>
      </c>
    </row>
    <row r="386" spans="1:8" x14ac:dyDescent="0.3">
      <c r="A386" vm="765">
        <v>45729</v>
      </c>
      <c r="B386" s="4" vm="766">
        <v>22397.200000000001</v>
      </c>
      <c r="C386" s="4" vm="3283">
        <v>1385.55</v>
      </c>
      <c r="D386" s="4" vm="3284">
        <v>5015.25</v>
      </c>
      <c r="E386" s="4" vm="3285">
        <v>1095.9749999999999</v>
      </c>
      <c r="F386" s="4" vm="3286">
        <v>201.43</v>
      </c>
      <c r="G386" s="4" vm="3287">
        <v>72.819999999999993</v>
      </c>
      <c r="H386" s="4">
        <f t="shared" si="6"/>
        <v>0</v>
      </c>
    </row>
    <row r="387" spans="1:8" x14ac:dyDescent="0.3">
      <c r="A387" vm="767">
        <v>45733</v>
      </c>
      <c r="B387" s="4" vm="768">
        <v>22508.75</v>
      </c>
      <c r="C387" s="4" vm="3288">
        <v>1434.25</v>
      </c>
      <c r="D387" s="4" vm="3289">
        <v>5050.25</v>
      </c>
      <c r="E387" s="4" vm="3290">
        <v>1087.175</v>
      </c>
      <c r="F387" s="4" vm="3291">
        <v>203.69</v>
      </c>
      <c r="G387" s="4" vm="3292">
        <v>73.53</v>
      </c>
      <c r="H387" s="4">
        <f t="shared" si="6"/>
        <v>0</v>
      </c>
    </row>
    <row r="388" spans="1:8" x14ac:dyDescent="0.3">
      <c r="A388" vm="769">
        <v>45734</v>
      </c>
      <c r="B388" s="4" vm="770">
        <v>22834.3</v>
      </c>
      <c r="C388" s="4" vm="3293">
        <v>1457.5</v>
      </c>
      <c r="D388" s="4" vm="3294">
        <v>5127.3999999999996</v>
      </c>
      <c r="E388" s="4" vm="3295">
        <v>1101.0250000000001</v>
      </c>
      <c r="F388" s="4" vm="3296">
        <v>218.19</v>
      </c>
      <c r="G388" s="4" vm="3297">
        <v>74.13</v>
      </c>
      <c r="H388" s="4">
        <f t="shared" si="6"/>
        <v>0</v>
      </c>
    </row>
    <row r="389" spans="1:8" x14ac:dyDescent="0.3">
      <c r="A389" vm="771">
        <v>45735</v>
      </c>
      <c r="B389" s="4" vm="772">
        <v>22907.599999999999</v>
      </c>
      <c r="C389" s="4" vm="3298">
        <v>1484.9</v>
      </c>
      <c r="D389" s="4" vm="3299">
        <v>5100.8999999999996</v>
      </c>
      <c r="E389" s="4" vm="3300">
        <v>1092</v>
      </c>
      <c r="F389" s="4" vm="3301">
        <v>223.53</v>
      </c>
      <c r="G389" s="4" vm="3302">
        <v>74.25</v>
      </c>
      <c r="H389" s="4">
        <f t="shared" ref="H389:H452" si="7">SUMPRODUCT($C$3:$G$3,C389:G389)</f>
        <v>0</v>
      </c>
    </row>
    <row r="390" spans="1:8" x14ac:dyDescent="0.3">
      <c r="A390" vm="773">
        <v>45736</v>
      </c>
      <c r="B390" s="4" vm="774">
        <v>23190.65</v>
      </c>
      <c r="C390" s="4" vm="3303">
        <v>1498.35</v>
      </c>
      <c r="D390" s="4" vm="3304">
        <v>5229.3500000000004</v>
      </c>
      <c r="E390" s="4" vm="3305">
        <v>1110.7750000000001</v>
      </c>
      <c r="F390" s="4" vm="3306">
        <v>224.47</v>
      </c>
      <c r="G390" s="4" vm="3307">
        <v>74.489999999999995</v>
      </c>
      <c r="H390" s="4">
        <f t="shared" si="7"/>
        <v>0</v>
      </c>
    </row>
    <row r="391" spans="1:8" x14ac:dyDescent="0.3">
      <c r="A391" vm="775">
        <v>45737</v>
      </c>
      <c r="B391" s="4" vm="776">
        <v>23350.400000000001</v>
      </c>
      <c r="C391" s="4" vm="3308">
        <v>1546.4</v>
      </c>
      <c r="D391" s="4" vm="3309">
        <v>5305.95</v>
      </c>
      <c r="E391" s="4" vm="3310">
        <v>1134.425</v>
      </c>
      <c r="F391" s="4" vm="3311">
        <v>227.52</v>
      </c>
      <c r="G391" s="4" vm="3312">
        <v>73.95</v>
      </c>
      <c r="H391" s="4">
        <f t="shared" si="7"/>
        <v>0</v>
      </c>
    </row>
    <row r="392" spans="1:8" x14ac:dyDescent="0.3">
      <c r="A392" vm="777">
        <v>45740</v>
      </c>
      <c r="B392" s="4" vm="778">
        <v>23658.35</v>
      </c>
      <c r="C392" s="4" vm="3313">
        <v>1569.8</v>
      </c>
      <c r="D392" s="4" vm="3314">
        <v>5424.2</v>
      </c>
      <c r="E392" s="4" vm="3315">
        <v>1131.7750000000001</v>
      </c>
      <c r="F392" s="4" vm="3316">
        <v>222.8</v>
      </c>
      <c r="G392" s="4" vm="3317">
        <v>73</v>
      </c>
      <c r="H392" s="4">
        <f t="shared" si="7"/>
        <v>0</v>
      </c>
    </row>
    <row r="393" spans="1:8" x14ac:dyDescent="0.3">
      <c r="A393" vm="779">
        <v>45741</v>
      </c>
      <c r="B393" s="4" vm="780">
        <v>23668.65</v>
      </c>
      <c r="C393" s="4" vm="3318">
        <v>1557.2</v>
      </c>
      <c r="D393" s="4" vm="3319">
        <v>5431.25</v>
      </c>
      <c r="E393" s="4" vm="3320">
        <v>1127.425</v>
      </c>
      <c r="F393" s="4" vm="3321">
        <v>209.81</v>
      </c>
      <c r="G393" s="4" vm="3322">
        <v>73.23</v>
      </c>
      <c r="H393" s="4">
        <f t="shared" si="7"/>
        <v>0</v>
      </c>
    </row>
    <row r="394" spans="1:8" x14ac:dyDescent="0.3">
      <c r="A394" vm="781">
        <v>45742</v>
      </c>
      <c r="B394" s="4" vm="782">
        <v>23486.85</v>
      </c>
      <c r="C394" s="4" vm="3323">
        <v>1541.3</v>
      </c>
      <c r="D394" s="4" vm="3324">
        <v>5403.3</v>
      </c>
      <c r="E394" s="4" vm="3325">
        <v>1121.7249999999999</v>
      </c>
      <c r="F394" s="4" vm="3326">
        <v>203.29</v>
      </c>
      <c r="G394" s="4" vm="3327">
        <v>73.25</v>
      </c>
      <c r="H394" s="4">
        <f t="shared" si="7"/>
        <v>0</v>
      </c>
    </row>
    <row r="395" spans="1:8" x14ac:dyDescent="0.3">
      <c r="A395" vm="783">
        <v>45743</v>
      </c>
      <c r="B395" s="4" vm="784">
        <v>23591.95</v>
      </c>
      <c r="C395" s="4" vm="3328">
        <v>1544.9</v>
      </c>
      <c r="D395" s="4" vm="3329">
        <v>5345.75</v>
      </c>
      <c r="E395" s="4" vm="3330">
        <v>1121.0250000000001</v>
      </c>
      <c r="F395" s="4" vm="3331">
        <v>206.28</v>
      </c>
      <c r="G395" s="4" vm="3332">
        <v>73.8</v>
      </c>
      <c r="H395" s="4">
        <f t="shared" si="7"/>
        <v>0</v>
      </c>
    </row>
    <row r="396" spans="1:8" x14ac:dyDescent="0.3">
      <c r="A396" vm="785">
        <v>45744</v>
      </c>
      <c r="B396" s="4" vm="786">
        <v>23519.35</v>
      </c>
      <c r="C396" s="4" vm="3333">
        <v>1547.85</v>
      </c>
      <c r="D396" s="4" vm="3334">
        <v>5347.7</v>
      </c>
      <c r="E396" s="4" vm="3335">
        <v>1125.375</v>
      </c>
      <c r="F396" s="4" vm="3336">
        <v>201.7</v>
      </c>
      <c r="G396" s="4" vm="3337">
        <v>74.16</v>
      </c>
      <c r="H396" s="4">
        <f t="shared" si="7"/>
        <v>0</v>
      </c>
    </row>
    <row r="397" spans="1:8" x14ac:dyDescent="0.3">
      <c r="A397" vm="787">
        <v>45748</v>
      </c>
      <c r="B397" s="4" vm="788">
        <v>23165.7</v>
      </c>
      <c r="C397" s="4" vm="3338">
        <v>1545.25</v>
      </c>
      <c r="D397" s="4" vm="3339">
        <v>5307.2</v>
      </c>
      <c r="E397" s="4" vm="3340">
        <v>1117</v>
      </c>
      <c r="F397" s="4" vm="3341">
        <v>202.01</v>
      </c>
      <c r="G397" s="4" vm="3342">
        <v>76.72</v>
      </c>
      <c r="H397" s="4">
        <f t="shared" si="7"/>
        <v>0</v>
      </c>
    </row>
    <row r="398" spans="1:8" x14ac:dyDescent="0.3">
      <c r="A398" vm="789">
        <v>45749</v>
      </c>
      <c r="B398" s="4" vm="790">
        <v>23332.35</v>
      </c>
      <c r="C398" s="4" vm="3343">
        <v>1559.85</v>
      </c>
      <c r="D398" s="4" vm="3344">
        <v>5355.5</v>
      </c>
      <c r="E398" s="4" vm="3345">
        <v>1105.3499999999999</v>
      </c>
      <c r="F398" s="4" vm="3346">
        <v>212.03</v>
      </c>
      <c r="G398" s="4" vm="3347">
        <v>76.23</v>
      </c>
      <c r="H398" s="4">
        <f t="shared" si="7"/>
        <v>0</v>
      </c>
    </row>
    <row r="399" spans="1:8" x14ac:dyDescent="0.3">
      <c r="A399" vm="791">
        <v>45750</v>
      </c>
      <c r="B399" s="4" vm="792">
        <v>23250.1</v>
      </c>
      <c r="C399" s="4" vm="3348">
        <v>1542.25</v>
      </c>
      <c r="D399" s="4" vm="3349">
        <v>5379.15</v>
      </c>
      <c r="E399" s="4" vm="3350">
        <v>1122.825</v>
      </c>
      <c r="F399" s="4" vm="3351">
        <v>210.9</v>
      </c>
      <c r="G399" s="4" vm="3352">
        <v>75.849999999999994</v>
      </c>
      <c r="H399" s="4">
        <f t="shared" si="7"/>
        <v>0</v>
      </c>
    </row>
    <row r="400" spans="1:8" x14ac:dyDescent="0.3">
      <c r="A400" vm="793">
        <v>45751</v>
      </c>
      <c r="B400" s="4" vm="794">
        <v>22904.45</v>
      </c>
      <c r="C400" s="4" vm="3353">
        <v>1512.6</v>
      </c>
      <c r="D400" s="4" vm="3354">
        <v>5247.9</v>
      </c>
      <c r="E400" s="4" vm="3355">
        <v>1131.075</v>
      </c>
      <c r="F400" s="4" vm="3356">
        <v>210.53</v>
      </c>
      <c r="G400" s="4" vm="3357">
        <v>74.989999999999995</v>
      </c>
      <c r="H400" s="4">
        <f t="shared" si="7"/>
        <v>0</v>
      </c>
    </row>
    <row r="401" spans="1:8" x14ac:dyDescent="0.3">
      <c r="A401" vm="795">
        <v>45754</v>
      </c>
      <c r="B401" s="4" vm="796">
        <v>22161.599999999999</v>
      </c>
      <c r="C401" s="4" vm="2158">
        <v>1460.8</v>
      </c>
      <c r="D401" s="4" vm="3358">
        <v>5065.25</v>
      </c>
      <c r="E401" s="4" vm="3359">
        <v>1124.5</v>
      </c>
      <c r="F401" s="4" vm="3360">
        <v>209.63</v>
      </c>
      <c r="G401" s="4" vm="3361">
        <v>73.83</v>
      </c>
      <c r="H401" s="4">
        <f t="shared" si="7"/>
        <v>0</v>
      </c>
    </row>
    <row r="402" spans="1:8" x14ac:dyDescent="0.3">
      <c r="A402" vm="797">
        <v>45755</v>
      </c>
      <c r="B402" s="4" vm="798">
        <v>22535.85</v>
      </c>
      <c r="C402" s="4" vm="3362">
        <v>1488</v>
      </c>
      <c r="D402" s="4" vm="3363">
        <v>5231.3500000000004</v>
      </c>
      <c r="E402" s="4" vm="3364">
        <v>1137.7</v>
      </c>
      <c r="F402" s="4" vm="3365">
        <v>215.19</v>
      </c>
      <c r="G402" s="4" vm="3366">
        <v>73.680000000000007</v>
      </c>
      <c r="H402" s="4">
        <f t="shared" si="7"/>
        <v>0</v>
      </c>
    </row>
    <row r="403" spans="1:8" x14ac:dyDescent="0.3">
      <c r="A403" vm="799">
        <v>45756</v>
      </c>
      <c r="B403" s="4" vm="800">
        <v>22399.15</v>
      </c>
      <c r="C403" s="4" vm="3367">
        <v>1481.65</v>
      </c>
      <c r="D403" s="4" vm="3368">
        <v>5258.3</v>
      </c>
      <c r="E403" s="4" vm="3369">
        <v>1172.425</v>
      </c>
      <c r="F403" s="4" vm="3370">
        <v>211.39</v>
      </c>
      <c r="G403" s="4" vm="3371">
        <v>74.89</v>
      </c>
      <c r="H403" s="4">
        <f t="shared" si="7"/>
        <v>0</v>
      </c>
    </row>
    <row r="404" spans="1:8" x14ac:dyDescent="0.3">
      <c r="A404" vm="801">
        <v>45758</v>
      </c>
      <c r="B404" s="4" vm="802">
        <v>22828.55</v>
      </c>
      <c r="C404" s="4" vm="3372">
        <v>1521.9</v>
      </c>
      <c r="D404" s="4" vm="3373">
        <v>5350.9</v>
      </c>
      <c r="E404" s="4" vm="3374">
        <v>1180.7</v>
      </c>
      <c r="F404" s="4" vm="3375">
        <v>217.2</v>
      </c>
      <c r="G404" s="4" vm="3376">
        <v>77.900000000000006</v>
      </c>
      <c r="H404" s="4">
        <f t="shared" si="7"/>
        <v>0</v>
      </c>
    </row>
    <row r="405" spans="1:8" x14ac:dyDescent="0.3">
      <c r="A405" vm="803">
        <v>45762</v>
      </c>
      <c r="B405" s="4" vm="804">
        <v>23328.55</v>
      </c>
      <c r="C405" s="4" vm="2895">
        <v>1562.6</v>
      </c>
      <c r="D405" s="4" vm="3377">
        <v>5529</v>
      </c>
      <c r="E405" s="4" vm="3378">
        <v>1183.95</v>
      </c>
      <c r="F405" s="4" vm="3379">
        <v>222.23</v>
      </c>
      <c r="G405" s="4" vm="3380">
        <v>77.66</v>
      </c>
      <c r="H405" s="4">
        <f t="shared" si="7"/>
        <v>0</v>
      </c>
    </row>
    <row r="406" spans="1:8" x14ac:dyDescent="0.3">
      <c r="A406" vm="805">
        <v>45763</v>
      </c>
      <c r="B406" s="4" vm="806">
        <v>23437.200000000001</v>
      </c>
      <c r="C406" s="4" vm="3381">
        <v>1565.4</v>
      </c>
      <c r="D406" s="4" vm="3382">
        <v>5615.5</v>
      </c>
      <c r="E406" s="4" vm="3383">
        <v>1191.6500000000001</v>
      </c>
      <c r="F406" s="4" vm="3384">
        <v>222.08</v>
      </c>
      <c r="G406" s="4" vm="3385">
        <v>79.23</v>
      </c>
      <c r="H406" s="4">
        <f t="shared" si="7"/>
        <v>0</v>
      </c>
    </row>
    <row r="407" spans="1:8" x14ac:dyDescent="0.3">
      <c r="A407" vm="807">
        <v>45764</v>
      </c>
      <c r="B407" s="4" vm="808">
        <v>23851.65</v>
      </c>
      <c r="C407" s="4" vm="3386">
        <v>1608.2</v>
      </c>
      <c r="D407" s="4" vm="3387">
        <v>5678.5</v>
      </c>
      <c r="E407" s="4" vm="3388">
        <v>1208.3</v>
      </c>
      <c r="F407" s="4" vm="3389">
        <v>231.6</v>
      </c>
      <c r="G407" s="4" vm="3390">
        <v>79.53</v>
      </c>
      <c r="H407" s="4">
        <f t="shared" si="7"/>
        <v>0</v>
      </c>
    </row>
    <row r="408" spans="1:8" x14ac:dyDescent="0.3">
      <c r="A408" vm="809">
        <v>45768</v>
      </c>
      <c r="B408" s="4" vm="810">
        <v>24125.55</v>
      </c>
      <c r="C408" s="4" vm="3391">
        <v>1628.5</v>
      </c>
      <c r="D408" s="4" vm="3392">
        <v>5810.5</v>
      </c>
      <c r="E408" s="4" vm="3393">
        <v>1199.7</v>
      </c>
      <c r="F408" s="4" vm="3394">
        <v>234.24</v>
      </c>
      <c r="G408" s="4" vm="3395">
        <v>81.069999999999993</v>
      </c>
      <c r="H408" s="4">
        <f t="shared" si="7"/>
        <v>0</v>
      </c>
    </row>
    <row r="409" spans="1:8" x14ac:dyDescent="0.3">
      <c r="A409" vm="811">
        <v>45769</v>
      </c>
      <c r="B409" s="4" vm="812">
        <v>24167.25</v>
      </c>
      <c r="C409" s="4" vm="3396">
        <v>1619</v>
      </c>
      <c r="D409" s="4" vm="3397">
        <v>5784</v>
      </c>
      <c r="E409" s="4" vm="3398">
        <v>1203.6500000000001</v>
      </c>
      <c r="F409" s="4" vm="3399">
        <v>237.47</v>
      </c>
      <c r="G409" s="4" vm="3400">
        <v>82.9</v>
      </c>
      <c r="H409" s="4">
        <f t="shared" si="7"/>
        <v>0</v>
      </c>
    </row>
    <row r="410" spans="1:8" x14ac:dyDescent="0.3">
      <c r="A410" vm="813">
        <v>45770</v>
      </c>
      <c r="B410" s="4" vm="814">
        <v>24328.95</v>
      </c>
      <c r="C410" s="4" vm="3401">
        <v>1615.5</v>
      </c>
      <c r="D410" s="4" vm="3402">
        <v>5740</v>
      </c>
      <c r="E410" s="4" vm="3403">
        <v>1216.7</v>
      </c>
      <c r="F410" s="4" vm="3404">
        <v>239.24</v>
      </c>
      <c r="G410" s="4" vm="3405">
        <v>80.39</v>
      </c>
      <c r="H410" s="4">
        <f t="shared" si="7"/>
        <v>0</v>
      </c>
    </row>
    <row r="411" spans="1:8" x14ac:dyDescent="0.3">
      <c r="A411" vm="815">
        <v>45771</v>
      </c>
      <c r="B411" s="4" vm="816">
        <v>24246.7</v>
      </c>
      <c r="C411" s="4" vm="3386">
        <v>1608.2</v>
      </c>
      <c r="D411" s="4" vm="3406">
        <v>5650.5</v>
      </c>
      <c r="E411" s="4" vm="3407">
        <v>1216.5999999999999</v>
      </c>
      <c r="F411" s="4" vm="3408">
        <v>236.38</v>
      </c>
      <c r="G411" s="4" vm="3409">
        <v>80.510000000000005</v>
      </c>
      <c r="H411" s="4">
        <f t="shared" si="7"/>
        <v>0</v>
      </c>
    </row>
    <row r="412" spans="1:8" x14ac:dyDescent="0.3">
      <c r="A412" vm="817">
        <v>45772</v>
      </c>
      <c r="B412" s="4" vm="818">
        <v>24039.35</v>
      </c>
      <c r="C412" s="4" vm="3410">
        <v>1695.1</v>
      </c>
      <c r="D412" s="4" vm="3411">
        <v>5575.5</v>
      </c>
      <c r="E412" s="4" vm="3412">
        <v>1206.75</v>
      </c>
      <c r="F412" s="4" vm="3413">
        <v>228.81</v>
      </c>
      <c r="G412" s="4" vm="3414">
        <v>80.03</v>
      </c>
      <c r="H412" s="4">
        <f t="shared" si="7"/>
        <v>0</v>
      </c>
    </row>
    <row r="413" spans="1:8" x14ac:dyDescent="0.3">
      <c r="A413" vm="819">
        <v>45775</v>
      </c>
      <c r="B413" s="4" vm="820">
        <v>24328.5</v>
      </c>
      <c r="C413" s="4" vm="3415">
        <v>1736.1</v>
      </c>
      <c r="D413" s="4" vm="3416">
        <v>5622</v>
      </c>
      <c r="E413" s="4" vm="3417">
        <v>1203</v>
      </c>
      <c r="F413" s="4" vm="3418">
        <v>227.21</v>
      </c>
      <c r="G413" s="4" vm="3419">
        <v>79.05</v>
      </c>
      <c r="H413" s="4">
        <f t="shared" si="7"/>
        <v>0</v>
      </c>
    </row>
    <row r="414" spans="1:8" x14ac:dyDescent="0.3">
      <c r="A414" vm="821">
        <v>45776</v>
      </c>
      <c r="B414" s="4" vm="822">
        <v>24335.95</v>
      </c>
      <c r="C414" s="4" vm="3420">
        <v>1730.1</v>
      </c>
      <c r="D414" s="4" vm="3421">
        <v>5579</v>
      </c>
      <c r="E414" s="4" vm="3422">
        <v>1193.75</v>
      </c>
      <c r="F414" s="4" vm="3423">
        <v>231.11</v>
      </c>
      <c r="G414" s="4" vm="3424">
        <v>80.040000000000006</v>
      </c>
      <c r="H414" s="4">
        <f t="shared" si="7"/>
        <v>0</v>
      </c>
    </row>
    <row r="415" spans="1:8" x14ac:dyDescent="0.3">
      <c r="A415" vm="823">
        <v>45777</v>
      </c>
      <c r="B415" s="4" vm="824">
        <v>24334.2</v>
      </c>
      <c r="C415" s="4" vm="3425">
        <v>1765.8</v>
      </c>
      <c r="D415" s="4" vm="3426">
        <v>5567</v>
      </c>
      <c r="E415" s="4" vm="3427">
        <v>1194.0999999999999</v>
      </c>
      <c r="F415" s="4" vm="3428">
        <v>232.52</v>
      </c>
      <c r="G415" s="4" vm="3429">
        <v>79.09</v>
      </c>
      <c r="H415" s="4">
        <f t="shared" si="7"/>
        <v>0</v>
      </c>
    </row>
    <row r="416" spans="1:8" x14ac:dyDescent="0.3">
      <c r="A416" vm="825">
        <v>45779</v>
      </c>
      <c r="B416" s="4" vm="826">
        <v>24346.7</v>
      </c>
      <c r="C416" s="4" vm="3430">
        <v>1764.7</v>
      </c>
      <c r="D416" s="4" vm="3431">
        <v>5437.5</v>
      </c>
      <c r="E416" s="4" vm="3432">
        <v>1168.8499999999999</v>
      </c>
      <c r="F416" s="4" vm="3433">
        <v>234.29</v>
      </c>
      <c r="G416" s="4" vm="3434">
        <v>78.91</v>
      </c>
      <c r="H416" s="4">
        <f t="shared" si="7"/>
        <v>0</v>
      </c>
    </row>
    <row r="417" spans="1:8" x14ac:dyDescent="0.3">
      <c r="A417" vm="827">
        <v>45782</v>
      </c>
      <c r="B417" s="4" vm="828">
        <v>24461.15</v>
      </c>
      <c r="C417" s="4" vm="3435">
        <v>1769.9</v>
      </c>
      <c r="D417" s="4" vm="3436">
        <v>5460.5</v>
      </c>
      <c r="E417" s="4" vm="3437">
        <v>1164.0999999999999</v>
      </c>
      <c r="F417" s="4" vm="3438">
        <v>239.9</v>
      </c>
      <c r="G417" s="4" vm="3439">
        <v>79.58</v>
      </c>
      <c r="H417" s="4">
        <f t="shared" si="7"/>
        <v>0</v>
      </c>
    </row>
    <row r="418" spans="1:8" x14ac:dyDescent="0.3">
      <c r="A418" vm="829">
        <v>45783</v>
      </c>
      <c r="B418" s="4" vm="830">
        <v>24379.599999999999</v>
      </c>
      <c r="C418" s="4" vm="3440">
        <v>1726</v>
      </c>
      <c r="D418" s="4" vm="3441">
        <v>5515</v>
      </c>
      <c r="E418" s="4" vm="3442">
        <v>1178.25</v>
      </c>
      <c r="F418" s="4" vm="3443">
        <v>232.64</v>
      </c>
      <c r="G418" s="4" vm="3444">
        <v>82.13</v>
      </c>
      <c r="H418" s="4">
        <f t="shared" si="7"/>
        <v>0</v>
      </c>
    </row>
    <row r="419" spans="1:8" x14ac:dyDescent="0.3">
      <c r="A419" vm="831">
        <v>45784</v>
      </c>
      <c r="B419" s="4" vm="832">
        <v>24414.400000000001</v>
      </c>
      <c r="C419" s="4" vm="3445">
        <v>1744.5</v>
      </c>
      <c r="D419" s="4" vm="3446">
        <v>5489</v>
      </c>
      <c r="E419" s="4" vm="3447">
        <v>1169.2</v>
      </c>
      <c r="F419" s="4" vm="3448">
        <v>236.9</v>
      </c>
      <c r="G419" s="4" vm="3449">
        <v>81.28</v>
      </c>
      <c r="H419" s="4">
        <f t="shared" si="7"/>
        <v>0</v>
      </c>
    </row>
    <row r="420" spans="1:8" x14ac:dyDescent="0.3">
      <c r="A420" vm="833">
        <v>45785</v>
      </c>
      <c r="B420" s="4" vm="834">
        <v>24273.8</v>
      </c>
      <c r="C420" s="4" vm="3450">
        <v>1731.5</v>
      </c>
      <c r="D420" s="4" vm="3451">
        <v>5372.5</v>
      </c>
      <c r="E420" s="4" vm="3452">
        <v>1170.3499999999999</v>
      </c>
      <c r="F420" s="4" vm="3453">
        <v>229.81</v>
      </c>
      <c r="G420" s="4" vm="3454">
        <v>80.94</v>
      </c>
      <c r="H420" s="4">
        <f t="shared" si="7"/>
        <v>0</v>
      </c>
    </row>
    <row r="421" spans="1:8" x14ac:dyDescent="0.3">
      <c r="A421" vm="835">
        <v>45786</v>
      </c>
      <c r="B421" s="4" vm="836">
        <v>24008</v>
      </c>
      <c r="C421" s="4" vm="3455">
        <v>1699.8</v>
      </c>
      <c r="D421" s="4" vm="3456">
        <v>5324</v>
      </c>
      <c r="E421" s="4" vm="3457">
        <v>1162.7</v>
      </c>
      <c r="F421" s="4" vm="3458">
        <v>227.14</v>
      </c>
      <c r="G421" s="4" vm="3459">
        <v>80.8</v>
      </c>
      <c r="H421" s="4">
        <f t="shared" si="7"/>
        <v>0</v>
      </c>
    </row>
    <row r="422" spans="1:8" x14ac:dyDescent="0.3">
      <c r="A422" vm="837">
        <v>45789</v>
      </c>
      <c r="B422" s="4" vm="838">
        <v>24924.7</v>
      </c>
      <c r="C422" s="4" vm="3460">
        <v>1751.5</v>
      </c>
      <c r="D422" s="4" vm="3461">
        <v>5520</v>
      </c>
      <c r="E422" s="4" vm="3462">
        <v>1191.9000000000001</v>
      </c>
      <c r="F422" s="4" vm="3463">
        <v>239.5</v>
      </c>
      <c r="G422" s="4" vm="3464">
        <v>77.98</v>
      </c>
      <c r="H422" s="4">
        <f t="shared" si="7"/>
        <v>0</v>
      </c>
    </row>
    <row r="423" spans="1:8" x14ac:dyDescent="0.3">
      <c r="A423" vm="839">
        <v>45790</v>
      </c>
      <c r="B423" s="4" vm="840">
        <v>24578.35</v>
      </c>
      <c r="C423" s="4" vm="3465">
        <v>1740</v>
      </c>
      <c r="D423" s="4" vm="3466">
        <v>5419</v>
      </c>
      <c r="E423" s="4" vm="3467">
        <v>1185.0999999999999</v>
      </c>
      <c r="F423" s="4" vm="3468">
        <v>231.65</v>
      </c>
      <c r="G423" s="4" vm="3469">
        <v>79.069999999999993</v>
      </c>
      <c r="H423" s="4">
        <f t="shared" si="7"/>
        <v>0</v>
      </c>
    </row>
    <row r="424" spans="1:8" x14ac:dyDescent="0.3">
      <c r="A424" vm="841">
        <v>45791</v>
      </c>
      <c r="B424" s="4" vm="842">
        <v>24666.9</v>
      </c>
      <c r="C424" s="4" vm="3470">
        <v>1755.2</v>
      </c>
      <c r="D424" s="4" vm="3471">
        <v>5446.5</v>
      </c>
      <c r="E424" s="4" vm="3472">
        <v>1185.2</v>
      </c>
      <c r="F424" s="4" vm="3473">
        <v>236.86</v>
      </c>
      <c r="G424" s="4" vm="3474">
        <v>78.58</v>
      </c>
      <c r="H424" s="4">
        <f t="shared" si="7"/>
        <v>0</v>
      </c>
    </row>
    <row r="425" spans="1:8" x14ac:dyDescent="0.3">
      <c r="A425" vm="843">
        <v>45792</v>
      </c>
      <c r="B425" s="4" vm="844">
        <v>25062.1</v>
      </c>
      <c r="C425" s="4" vm="3475">
        <v>1784.6</v>
      </c>
      <c r="D425" s="4" vm="3476">
        <v>5466</v>
      </c>
      <c r="E425" s="4" vm="3477">
        <v>1199.05</v>
      </c>
      <c r="F425" s="4" vm="3478">
        <v>242.59</v>
      </c>
      <c r="G425" s="4" vm="3479">
        <v>77.040000000000006</v>
      </c>
      <c r="H425" s="4">
        <f t="shared" si="7"/>
        <v>0</v>
      </c>
    </row>
    <row r="426" spans="1:8" x14ac:dyDescent="0.3">
      <c r="A426" vm="845">
        <v>45793</v>
      </c>
      <c r="B426" s="4" vm="846">
        <v>25019.8</v>
      </c>
      <c r="C426" s="4" vm="3480">
        <v>1773.4</v>
      </c>
      <c r="D426" s="4" vm="3481">
        <v>5509.5</v>
      </c>
      <c r="E426" s="4" vm="3482">
        <v>1204.4000000000001</v>
      </c>
      <c r="F426" s="4" vm="3483">
        <v>245.76</v>
      </c>
      <c r="G426" s="4" vm="3484">
        <v>77.78</v>
      </c>
      <c r="H426" s="4">
        <f t="shared" si="7"/>
        <v>0</v>
      </c>
    </row>
    <row r="427" spans="1:8" x14ac:dyDescent="0.3">
      <c r="A427" vm="847">
        <v>45796</v>
      </c>
      <c r="B427" s="4" vm="848">
        <v>24945.45</v>
      </c>
      <c r="C427" s="4" vm="3485">
        <v>1770</v>
      </c>
      <c r="D427" s="4" vm="3486">
        <v>5530</v>
      </c>
      <c r="E427" s="4" vm="3487">
        <v>1203.9000000000001</v>
      </c>
      <c r="F427" s="4" vm="3488">
        <v>238.03</v>
      </c>
      <c r="G427" s="4" vm="3489">
        <v>78.319999999999993</v>
      </c>
      <c r="H427" s="4">
        <f t="shared" si="7"/>
        <v>0</v>
      </c>
    </row>
    <row r="428" spans="1:8" x14ac:dyDescent="0.3">
      <c r="A428" vm="849">
        <v>45797</v>
      </c>
      <c r="B428" s="4" vm="850">
        <v>24683.9</v>
      </c>
      <c r="C428" s="4" vm="3490">
        <v>1757.8</v>
      </c>
      <c r="D428" s="4" vm="3491">
        <v>5387.5</v>
      </c>
      <c r="E428" s="4" vm="3492">
        <v>1179.25</v>
      </c>
      <c r="F428" s="4" vm="3493">
        <v>228.28</v>
      </c>
      <c r="G428" s="4" vm="3494">
        <v>78.19</v>
      </c>
      <c r="H428" s="4">
        <f t="shared" si="7"/>
        <v>0</v>
      </c>
    </row>
    <row r="429" spans="1:8" x14ac:dyDescent="0.3">
      <c r="A429" vm="851">
        <v>45798</v>
      </c>
      <c r="B429" s="4" vm="852">
        <v>24813.45</v>
      </c>
      <c r="C429" s="4" vm="3495">
        <v>1763.9</v>
      </c>
      <c r="D429" s="4" vm="3496">
        <v>5409</v>
      </c>
      <c r="E429" s="4" vm="3497">
        <v>1196.3</v>
      </c>
      <c r="F429" s="4" vm="3498">
        <v>229.97</v>
      </c>
      <c r="G429" s="4" vm="3499">
        <v>79.5</v>
      </c>
      <c r="H429" s="4">
        <f t="shared" si="7"/>
        <v>0</v>
      </c>
    </row>
    <row r="430" spans="1:8" x14ac:dyDescent="0.3">
      <c r="A430" vm="853">
        <v>45799</v>
      </c>
      <c r="B430" s="4" vm="854">
        <v>24609.7</v>
      </c>
      <c r="C430" s="4" vm="3500">
        <v>1759.3</v>
      </c>
      <c r="D430" s="4" vm="3501">
        <v>5387</v>
      </c>
      <c r="E430" s="4" vm="3502">
        <v>1180.8499999999999</v>
      </c>
      <c r="F430" s="4" vm="3503">
        <v>229.02</v>
      </c>
      <c r="G430" s="4" vm="3504">
        <v>79.81</v>
      </c>
      <c r="H430" s="4">
        <f t="shared" si="7"/>
        <v>0</v>
      </c>
    </row>
    <row r="431" spans="1:8" x14ac:dyDescent="0.3">
      <c r="A431" vm="855">
        <v>45800</v>
      </c>
      <c r="B431" s="4" vm="856">
        <v>24853.15</v>
      </c>
      <c r="C431" s="4" vm="3505">
        <v>1798.7</v>
      </c>
      <c r="D431" s="4" vm="3506">
        <v>5400</v>
      </c>
      <c r="E431" s="4" vm="3507">
        <v>1207.2</v>
      </c>
      <c r="F431" s="4" vm="3508">
        <v>237.55</v>
      </c>
      <c r="G431" s="4" vm="3509">
        <v>79.510000000000005</v>
      </c>
      <c r="H431" s="4">
        <f t="shared" si="7"/>
        <v>0</v>
      </c>
    </row>
    <row r="432" spans="1:8" x14ac:dyDescent="0.3">
      <c r="A432" vm="857">
        <v>45803</v>
      </c>
      <c r="B432" s="4" vm="858">
        <v>25001.15</v>
      </c>
      <c r="C432" s="4" vm="3510">
        <v>1801.6</v>
      </c>
      <c r="D432" s="4" vm="3511">
        <v>5427.5</v>
      </c>
      <c r="E432" s="4" vm="3512">
        <v>1227</v>
      </c>
      <c r="F432" s="4" vm="3513">
        <v>226.8</v>
      </c>
      <c r="G432" s="4" vm="3514">
        <v>79.77</v>
      </c>
      <c r="H432" s="4">
        <f t="shared" si="7"/>
        <v>0</v>
      </c>
    </row>
    <row r="433" spans="1:8" x14ac:dyDescent="0.3">
      <c r="A433" vm="859">
        <v>45804</v>
      </c>
      <c r="B433" s="4" vm="860">
        <v>24826.2</v>
      </c>
      <c r="C433" s="4" vm="3515">
        <v>1803.3</v>
      </c>
      <c r="D433" s="4" vm="3516">
        <v>5389.5</v>
      </c>
      <c r="E433" s="4" vm="3517">
        <v>1230.45</v>
      </c>
      <c r="F433" s="4" vm="3518">
        <v>224.79</v>
      </c>
      <c r="G433" s="4" vm="3519">
        <v>79.56</v>
      </c>
      <c r="H433" s="4">
        <f t="shared" si="7"/>
        <v>0</v>
      </c>
    </row>
    <row r="434" spans="1:8" x14ac:dyDescent="0.3">
      <c r="A434" vm="861">
        <v>45805</v>
      </c>
      <c r="B434" s="4" vm="862">
        <v>24752.45</v>
      </c>
      <c r="C434" s="4" vm="3520">
        <v>1807.4</v>
      </c>
      <c r="D434" s="4" vm="3521">
        <v>5326.5</v>
      </c>
      <c r="E434" s="4" vm="3522">
        <v>1209.5</v>
      </c>
      <c r="F434" s="4" vm="3523">
        <v>224.18</v>
      </c>
      <c r="G434" s="4" vm="3524">
        <v>80.06</v>
      </c>
      <c r="H434" s="4">
        <f t="shared" si="7"/>
        <v>0</v>
      </c>
    </row>
    <row r="435" spans="1:8" x14ac:dyDescent="0.3">
      <c r="A435" vm="863">
        <v>45806</v>
      </c>
      <c r="B435" s="4" vm="864">
        <v>24833.599999999999</v>
      </c>
      <c r="C435" s="4" vm="3525">
        <v>1825</v>
      </c>
      <c r="D435" s="4" vm="3526">
        <v>5379</v>
      </c>
      <c r="E435" s="4" vm="3527">
        <v>1217.5</v>
      </c>
      <c r="F435" s="4" vm="3528">
        <v>228.37</v>
      </c>
      <c r="G435" s="4" vm="3529">
        <v>79.099999999999994</v>
      </c>
      <c r="H435" s="4">
        <f t="shared" si="7"/>
        <v>0</v>
      </c>
    </row>
    <row r="436" spans="1:8" x14ac:dyDescent="0.3">
      <c r="A436" vm="865">
        <v>45807</v>
      </c>
      <c r="B436" s="4" vm="866">
        <v>24750.7</v>
      </c>
      <c r="C436" s="4" vm="3530">
        <v>1812.2</v>
      </c>
      <c r="D436" s="4" vm="3531">
        <v>5333.5</v>
      </c>
      <c r="E436" s="4" vm="3532">
        <v>1198.0999999999999</v>
      </c>
      <c r="F436" s="4" vm="3533">
        <v>238.31</v>
      </c>
      <c r="G436" s="4" vm="3534">
        <v>79.489999999999995</v>
      </c>
      <c r="H436" s="4">
        <f t="shared" si="7"/>
        <v>0</v>
      </c>
    </row>
    <row r="437" spans="1:8" x14ac:dyDescent="0.3">
      <c r="A437" vm="867">
        <v>45810</v>
      </c>
      <c r="B437" s="4" vm="868">
        <v>24716.6</v>
      </c>
      <c r="C437" s="4" vm="3535">
        <v>1802.5</v>
      </c>
      <c r="D437" s="4" vm="3536">
        <v>5361</v>
      </c>
      <c r="E437" s="4" vm="3537">
        <v>1203.1500000000001</v>
      </c>
      <c r="F437" s="4" vm="3538">
        <v>241.2</v>
      </c>
      <c r="G437" s="4" vm="3539">
        <v>80.52</v>
      </c>
      <c r="H437" s="4">
        <f t="shared" si="7"/>
        <v>0</v>
      </c>
    </row>
    <row r="438" spans="1:8" x14ac:dyDescent="0.3">
      <c r="A438" vm="869">
        <v>45811</v>
      </c>
      <c r="B438" s="4" vm="870">
        <v>24542.5</v>
      </c>
      <c r="C438" s="4" vm="3540">
        <v>1775.3</v>
      </c>
      <c r="D438" s="4" vm="3541">
        <v>5354</v>
      </c>
      <c r="E438" s="4" vm="3542">
        <v>1195.7</v>
      </c>
      <c r="F438" s="4" vm="3543">
        <v>237.7</v>
      </c>
      <c r="G438" s="4" vm="3544">
        <v>80.97</v>
      </c>
      <c r="H438" s="4">
        <f t="shared" si="7"/>
        <v>0</v>
      </c>
    </row>
    <row r="439" spans="1:8" x14ac:dyDescent="0.3">
      <c r="A439" vm="871">
        <v>45812</v>
      </c>
      <c r="B439" s="4" vm="872">
        <v>24620.2</v>
      </c>
      <c r="C439" s="4" vm="3545">
        <v>1775.9</v>
      </c>
      <c r="D439" s="4" vm="3546">
        <v>5319.5</v>
      </c>
      <c r="E439" s="4" vm="3547">
        <v>1198.75</v>
      </c>
      <c r="F439" s="4" vm="3548">
        <v>245.68</v>
      </c>
      <c r="G439" s="4" vm="3549">
        <v>81.31</v>
      </c>
      <c r="H439" s="4">
        <f t="shared" si="7"/>
        <v>0</v>
      </c>
    </row>
    <row r="440" spans="1:8" x14ac:dyDescent="0.3">
      <c r="A440" vm="873">
        <v>45813</v>
      </c>
      <c r="B440" s="4" vm="874">
        <v>24750.9</v>
      </c>
      <c r="C440" s="4" vm="3550">
        <v>1774.8</v>
      </c>
      <c r="D440" s="4" vm="3551">
        <v>5308.5</v>
      </c>
      <c r="E440" s="4" vm="3552">
        <v>1200.6500000000001</v>
      </c>
      <c r="F440" s="4" vm="3553">
        <v>256.56</v>
      </c>
      <c r="G440" s="4" vm="3554">
        <v>81.73</v>
      </c>
      <c r="H440" s="4">
        <f t="shared" si="7"/>
        <v>0</v>
      </c>
    </row>
    <row r="441" spans="1:8" x14ac:dyDescent="0.3">
      <c r="A441" vm="875">
        <v>45814</v>
      </c>
      <c r="B441" s="4" vm="876">
        <v>25003.05</v>
      </c>
      <c r="C441" s="4" vm="3555">
        <v>1780.6</v>
      </c>
      <c r="D441" s="4" vm="3556">
        <v>5394</v>
      </c>
      <c r="E441" s="4" vm="3557">
        <v>1208.5999999999999</v>
      </c>
      <c r="F441" s="4" vm="3558">
        <v>261.86</v>
      </c>
      <c r="G441" s="4" vm="3559">
        <v>81.23</v>
      </c>
      <c r="H441" s="4">
        <f t="shared" si="7"/>
        <v>0</v>
      </c>
    </row>
    <row r="442" spans="1:8" x14ac:dyDescent="0.3">
      <c r="A442" vm="877">
        <v>45817</v>
      </c>
      <c r="B442" s="4" vm="878">
        <v>25103.200000000001</v>
      </c>
      <c r="C442" s="4" vm="3560">
        <v>1790.8</v>
      </c>
      <c r="D442" s="4" vm="3561">
        <v>5391</v>
      </c>
      <c r="E442" s="4" vm="3562">
        <v>1207.6500000000001</v>
      </c>
      <c r="F442" s="4" vm="3563">
        <v>256.83999999999997</v>
      </c>
      <c r="G442" s="4" vm="3564">
        <v>80.48</v>
      </c>
      <c r="H442" s="4">
        <f t="shared" si="7"/>
        <v>0</v>
      </c>
    </row>
    <row r="443" spans="1:8" x14ac:dyDescent="0.3">
      <c r="A443" vm="879">
        <v>45818</v>
      </c>
      <c r="B443" s="4" vm="880">
        <v>25104.25</v>
      </c>
      <c r="C443" s="4" vm="3565">
        <v>1785.5</v>
      </c>
      <c r="D443" s="4" vm="3566">
        <v>5377.5</v>
      </c>
      <c r="E443" s="4" vm="3567">
        <v>1215.7</v>
      </c>
      <c r="F443" s="4" vm="3568">
        <v>255.68</v>
      </c>
      <c r="G443" s="4" vm="3569">
        <v>80.61</v>
      </c>
      <c r="H443" s="4">
        <f t="shared" si="7"/>
        <v>0</v>
      </c>
    </row>
    <row r="444" spans="1:8" x14ac:dyDescent="0.3">
      <c r="A444" vm="881">
        <v>45819</v>
      </c>
      <c r="B444" s="4" vm="882">
        <v>25141.4</v>
      </c>
      <c r="C444" s="4" vm="3570">
        <v>1799.3</v>
      </c>
      <c r="D444" s="4" vm="3571">
        <v>5352</v>
      </c>
      <c r="E444" s="4" vm="3572">
        <v>1209.5999999999999</v>
      </c>
      <c r="F444" s="4" vm="3573">
        <v>257.07</v>
      </c>
      <c r="G444" s="4" vm="3574">
        <v>80.760000000000005</v>
      </c>
      <c r="H444" s="4">
        <f t="shared" si="7"/>
        <v>0</v>
      </c>
    </row>
    <row r="445" spans="1:8" x14ac:dyDescent="0.3">
      <c r="A445" vm="883">
        <v>45820</v>
      </c>
      <c r="B445" s="4" vm="884">
        <v>24888.2</v>
      </c>
      <c r="C445" s="4" vm="3575">
        <v>1766</v>
      </c>
      <c r="D445" s="4" vm="3576">
        <v>5315.5</v>
      </c>
      <c r="E445" s="4" vm="3577">
        <v>1192.8</v>
      </c>
      <c r="F445" s="4" vm="3578">
        <v>251.56</v>
      </c>
      <c r="G445" s="4" vm="3579">
        <v>81.39</v>
      </c>
      <c r="H445" s="4">
        <f t="shared" si="7"/>
        <v>0</v>
      </c>
    </row>
    <row r="446" spans="1:8" x14ac:dyDescent="0.3">
      <c r="A446" vm="885">
        <v>45821</v>
      </c>
      <c r="B446" s="4" vm="886">
        <v>24718.6</v>
      </c>
      <c r="C446" s="4" vm="3470">
        <v>1755.2</v>
      </c>
      <c r="D446" s="4" vm="3580">
        <v>5319</v>
      </c>
      <c r="E446" s="4" vm="3581">
        <v>1188.4000000000001</v>
      </c>
      <c r="F446" s="4" vm="2560">
        <v>249.08</v>
      </c>
      <c r="G446" s="4" vm="3582">
        <v>83.13</v>
      </c>
      <c r="H446" s="4">
        <f t="shared" si="7"/>
        <v>0</v>
      </c>
    </row>
    <row r="447" spans="1:8" x14ac:dyDescent="0.3">
      <c r="A447" vm="887">
        <v>45824</v>
      </c>
      <c r="B447" s="4" vm="888">
        <v>24946.5</v>
      </c>
      <c r="C447" s="4" vm="3583">
        <v>1797.8</v>
      </c>
      <c r="D447" s="4" vm="3584">
        <v>5365</v>
      </c>
      <c r="E447" s="4" vm="3585">
        <v>1194.9000000000001</v>
      </c>
      <c r="F447" s="4" vm="3586">
        <v>252.15</v>
      </c>
      <c r="G447" s="4" vm="3587">
        <v>83.09</v>
      </c>
      <c r="H447" s="4">
        <f t="shared" si="7"/>
        <v>0</v>
      </c>
    </row>
    <row r="448" spans="1:8" x14ac:dyDescent="0.3">
      <c r="A448" vm="889">
        <v>45825</v>
      </c>
      <c r="B448" s="4" vm="890">
        <v>24853.4</v>
      </c>
      <c r="C448" s="4" vm="3588">
        <v>1800.2</v>
      </c>
      <c r="D448" s="4" vm="3589">
        <v>5341</v>
      </c>
      <c r="E448" s="4" vm="3590">
        <v>1181</v>
      </c>
      <c r="F448" s="4" vm="3591">
        <v>247.25</v>
      </c>
      <c r="G448" s="4" vm="3592">
        <v>82.56</v>
      </c>
      <c r="H448" s="4">
        <f t="shared" si="7"/>
        <v>0</v>
      </c>
    </row>
    <row r="449" spans="1:8" x14ac:dyDescent="0.3">
      <c r="A449" vm="891">
        <v>45826</v>
      </c>
      <c r="B449" s="4" vm="892">
        <v>24812.05</v>
      </c>
      <c r="C449" s="4" vm="3593">
        <v>1797.2</v>
      </c>
      <c r="D449" s="4" vm="3594">
        <v>5393</v>
      </c>
      <c r="E449" s="4" vm="3595">
        <v>1170.4000000000001</v>
      </c>
      <c r="F449" s="4" vm="3596">
        <v>248.41</v>
      </c>
      <c r="G449" s="4" vm="3597">
        <v>82.79</v>
      </c>
      <c r="H449" s="4">
        <f t="shared" si="7"/>
        <v>0</v>
      </c>
    </row>
    <row r="450" spans="1:8" x14ac:dyDescent="0.3">
      <c r="A450" vm="893">
        <v>45827</v>
      </c>
      <c r="B450" s="4" vm="894">
        <v>24793.25</v>
      </c>
      <c r="C450" s="4" vm="3598">
        <v>1789.4</v>
      </c>
      <c r="D450" s="4" vm="3599">
        <v>5493.5</v>
      </c>
      <c r="E450" s="4" vm="3600">
        <v>1159.45</v>
      </c>
      <c r="F450" s="4" vm="3601">
        <v>249.42</v>
      </c>
      <c r="G450" s="4" vm="3597">
        <v>82.79</v>
      </c>
      <c r="H450" s="4">
        <f t="shared" si="7"/>
        <v>0</v>
      </c>
    </row>
    <row r="451" spans="1:8" x14ac:dyDescent="0.3">
      <c r="A451" vm="895">
        <v>45828</v>
      </c>
      <c r="B451" s="4" vm="896">
        <v>25112.400000000001</v>
      </c>
      <c r="C451" s="4" vm="3602">
        <v>1810.9</v>
      </c>
      <c r="D451" s="4" vm="3603">
        <v>5525</v>
      </c>
      <c r="E451" s="4" vm="3604">
        <v>1180.2</v>
      </c>
      <c r="F451" s="4" vm="3605">
        <v>253.33</v>
      </c>
      <c r="G451" s="4" vm="3606">
        <v>82.23</v>
      </c>
      <c r="H451" s="4">
        <f t="shared" si="7"/>
        <v>0</v>
      </c>
    </row>
    <row r="452" spans="1:8" x14ac:dyDescent="0.3">
      <c r="A452" vm="897">
        <v>45831</v>
      </c>
      <c r="B452" s="4" vm="898">
        <v>24971.9</v>
      </c>
      <c r="C452" s="4" vm="3607">
        <v>1818.6</v>
      </c>
      <c r="D452" s="4" vm="3608">
        <v>5552.5</v>
      </c>
      <c r="E452" s="4" vm="3609">
        <v>1179.55</v>
      </c>
      <c r="F452" s="4" vm="3610">
        <v>254.64</v>
      </c>
      <c r="G452" s="4" vm="3611">
        <v>82.66</v>
      </c>
      <c r="H452" s="4">
        <f t="shared" si="7"/>
        <v>0</v>
      </c>
    </row>
    <row r="453" spans="1:8" x14ac:dyDescent="0.3">
      <c r="A453" vm="899">
        <v>45832</v>
      </c>
      <c r="B453" s="4" vm="900">
        <v>25044.35</v>
      </c>
      <c r="C453" s="4" vm="3612">
        <v>1843</v>
      </c>
      <c r="D453" s="4" vm="3613">
        <v>5629</v>
      </c>
      <c r="E453" s="4" vm="3614">
        <v>1182.9000000000001</v>
      </c>
      <c r="F453" s="4" vm="3615">
        <v>255.07</v>
      </c>
      <c r="G453" s="4" vm="3616">
        <v>80.98</v>
      </c>
      <c r="H453" s="4">
        <f t="shared" ref="H453:H516" si="8">SUMPRODUCT($C$3:$G$3,C453:G453)</f>
        <v>0</v>
      </c>
    </row>
    <row r="454" spans="1:8" x14ac:dyDescent="0.3">
      <c r="A454" vm="901">
        <v>45833</v>
      </c>
      <c r="B454" s="4" vm="902">
        <v>25244.75</v>
      </c>
      <c r="C454" s="4" vm="3617">
        <v>1842.7</v>
      </c>
      <c r="D454" s="4" vm="3618">
        <v>5576</v>
      </c>
      <c r="E454" s="4" vm="3619">
        <v>1202.2</v>
      </c>
      <c r="F454" s="4" vm="3620">
        <v>258.86</v>
      </c>
      <c r="G454" s="4" vm="3621">
        <v>81.11</v>
      </c>
      <c r="H454" s="4">
        <f t="shared" si="8"/>
        <v>0</v>
      </c>
    </row>
    <row r="455" spans="1:8" x14ac:dyDescent="0.3">
      <c r="A455" vm="903">
        <v>45834</v>
      </c>
      <c r="B455" s="4" vm="904">
        <v>25549</v>
      </c>
      <c r="C455" s="4" vm="3622">
        <v>1860.8</v>
      </c>
      <c r="D455" s="4" vm="3623">
        <v>5611.5</v>
      </c>
      <c r="E455" s="4" vm="3567">
        <v>1215.7</v>
      </c>
      <c r="F455" s="4" vm="3624">
        <v>265.18</v>
      </c>
      <c r="G455" s="4" vm="3625">
        <v>81.12</v>
      </c>
      <c r="H455" s="4">
        <f t="shared" si="8"/>
        <v>0</v>
      </c>
    </row>
    <row r="456" spans="1:8" x14ac:dyDescent="0.3">
      <c r="A456" vm="905">
        <v>45835</v>
      </c>
      <c r="B456" s="4" vm="906">
        <v>25637.8</v>
      </c>
      <c r="C456" s="4" vm="3626">
        <v>1850.6</v>
      </c>
      <c r="D456" s="4" vm="3627">
        <v>5660</v>
      </c>
      <c r="E456" s="4" vm="2213">
        <v>1229.3499999999999</v>
      </c>
      <c r="F456" s="4" vm="3558">
        <v>261.86</v>
      </c>
      <c r="G456" s="4" vm="3504">
        <v>79.81</v>
      </c>
      <c r="H456" s="4">
        <f t="shared" si="8"/>
        <v>0</v>
      </c>
    </row>
    <row r="457" spans="1:8" x14ac:dyDescent="0.3">
      <c r="A457" vm="907">
        <v>45838</v>
      </c>
      <c r="B457" s="4" vm="908">
        <v>25517.05</v>
      </c>
      <c r="C457" s="4" vm="3628">
        <v>1838.3</v>
      </c>
      <c r="D457" s="4" vm="3629">
        <v>5656.5</v>
      </c>
      <c r="E457" s="4" vm="3630">
        <v>1232.6500000000001</v>
      </c>
      <c r="F457" s="4" vm="3631">
        <v>264.14999999999998</v>
      </c>
      <c r="G457" s="4" vm="3632">
        <v>79.989999999999995</v>
      </c>
      <c r="H457" s="4">
        <f t="shared" si="8"/>
        <v>0</v>
      </c>
    </row>
    <row r="458" spans="1:8" x14ac:dyDescent="0.3">
      <c r="A458" vm="909">
        <v>45839</v>
      </c>
      <c r="B458" s="4" vm="910">
        <v>25541.8</v>
      </c>
      <c r="C458" s="4" vm="3633">
        <v>1862.5</v>
      </c>
      <c r="D458" s="4" vm="3634">
        <v>5715.5</v>
      </c>
      <c r="E458" s="4" vm="3635">
        <v>1205.05</v>
      </c>
      <c r="F458" s="4" vm="3636">
        <v>261</v>
      </c>
      <c r="G458" s="4" vm="3637">
        <v>81.05</v>
      </c>
      <c r="H458" s="4">
        <f t="shared" si="8"/>
        <v>0</v>
      </c>
    </row>
    <row r="459" spans="1:8" x14ac:dyDescent="0.3">
      <c r="A459" vm="911">
        <v>45840</v>
      </c>
      <c r="B459" s="4" vm="912">
        <v>25453.4</v>
      </c>
      <c r="C459" s="4" vm="3638">
        <v>1856.8</v>
      </c>
      <c r="D459" s="4" vm="3639">
        <v>5722.5</v>
      </c>
      <c r="E459" s="4" vm="3640">
        <v>1194</v>
      </c>
      <c r="F459" s="4" vm="3641">
        <v>259.75</v>
      </c>
      <c r="G459" s="4" vm="3621">
        <v>81.11</v>
      </c>
      <c r="H459" s="4">
        <f t="shared" si="8"/>
        <v>0</v>
      </c>
    </row>
    <row r="460" spans="1:8" x14ac:dyDescent="0.3">
      <c r="A460" vm="913">
        <v>45841</v>
      </c>
      <c r="B460" s="4" vm="914">
        <v>25405.3</v>
      </c>
      <c r="C460" s="4" vm="3642">
        <v>1810.2</v>
      </c>
      <c r="D460" s="4" vm="3643">
        <v>5716</v>
      </c>
      <c r="E460" s="4" vm="3644">
        <v>1194.2</v>
      </c>
      <c r="F460" s="4" vm="3645">
        <v>260.85000000000002</v>
      </c>
      <c r="G460" s="4" vm="3646">
        <v>81.010000000000005</v>
      </c>
      <c r="H460" s="4">
        <f t="shared" si="8"/>
        <v>0</v>
      </c>
    </row>
    <row r="461" spans="1:8" x14ac:dyDescent="0.3">
      <c r="A461" vm="915">
        <v>45842</v>
      </c>
      <c r="B461" s="4" vm="916">
        <v>25461</v>
      </c>
      <c r="C461" s="4" vm="3647">
        <v>1799.7</v>
      </c>
      <c r="D461" s="4" vm="3613">
        <v>5629</v>
      </c>
      <c r="E461" s="4" vm="3648">
        <v>1196.4000000000001</v>
      </c>
      <c r="F461" s="4" vm="3649">
        <v>261.39999999999998</v>
      </c>
      <c r="G461" s="4" vm="3650">
        <v>80.89</v>
      </c>
      <c r="H461" s="4">
        <f t="shared" si="8"/>
        <v>0</v>
      </c>
    </row>
    <row r="462" spans="1:8" x14ac:dyDescent="0.3">
      <c r="A462" vm="917">
        <v>45845</v>
      </c>
      <c r="B462" s="4" vm="918">
        <v>25461.3</v>
      </c>
      <c r="C462" s="4" vm="3651">
        <v>1808.3</v>
      </c>
      <c r="D462" s="4" vm="3652">
        <v>5682.5</v>
      </c>
      <c r="E462" s="4" vm="3653">
        <v>1211.05</v>
      </c>
      <c r="F462" s="4" vm="3654">
        <v>258.55</v>
      </c>
      <c r="G462" s="4" vm="3655">
        <v>80.53</v>
      </c>
      <c r="H462" s="4">
        <f t="shared" si="8"/>
        <v>0</v>
      </c>
    </row>
    <row r="463" spans="1:8" x14ac:dyDescent="0.3">
      <c r="A463" vm="919">
        <v>45846</v>
      </c>
      <c r="B463" s="4" vm="920">
        <v>25522.5</v>
      </c>
      <c r="C463" s="4" vm="3656">
        <v>1816.9</v>
      </c>
      <c r="D463" s="4" vm="3657">
        <v>5679.5</v>
      </c>
      <c r="E463" s="4" vm="3658">
        <v>1208.95</v>
      </c>
      <c r="F463" s="4" vm="3659">
        <v>263.5</v>
      </c>
      <c r="G463" s="4" vm="3660">
        <v>80.78</v>
      </c>
      <c r="H463" s="4">
        <f t="shared" si="8"/>
        <v>0</v>
      </c>
    </row>
    <row r="464" spans="1:8" x14ac:dyDescent="0.3">
      <c r="A464" vm="921">
        <v>45847</v>
      </c>
      <c r="B464" s="4" vm="922">
        <v>25476.1</v>
      </c>
      <c r="C464" s="4" vm="3661">
        <v>1814.9</v>
      </c>
      <c r="D464" s="4" vm="3662">
        <v>5695</v>
      </c>
      <c r="E464" s="4" vm="3663">
        <v>1213.9000000000001</v>
      </c>
      <c r="F464" s="4" vm="3664">
        <v>264.55</v>
      </c>
      <c r="G464" s="4" vm="3414">
        <v>80.03</v>
      </c>
      <c r="H464" s="4">
        <f t="shared" si="8"/>
        <v>0</v>
      </c>
    </row>
    <row r="465" spans="1:8" x14ac:dyDescent="0.3">
      <c r="A465" vm="923">
        <v>45848</v>
      </c>
      <c r="B465" s="4" vm="924">
        <v>25355.25</v>
      </c>
      <c r="C465" s="4" vm="3642">
        <v>1810.2</v>
      </c>
      <c r="D465" s="4" vm="3665">
        <v>5652</v>
      </c>
      <c r="E465" s="4" vm="3666">
        <v>1200.7</v>
      </c>
      <c r="F465" s="4" vm="3667">
        <v>262.85000000000002</v>
      </c>
      <c r="G465" s="4" vm="3668">
        <v>80.709999999999994</v>
      </c>
      <c r="H465" s="4">
        <f t="shared" si="8"/>
        <v>0</v>
      </c>
    </row>
    <row r="466" spans="1:8" x14ac:dyDescent="0.3">
      <c r="A466" vm="925">
        <v>45849</v>
      </c>
      <c r="B466" s="4" vm="926">
        <v>25149.85</v>
      </c>
      <c r="C466" s="4" vm="3669">
        <v>1835.2</v>
      </c>
      <c r="D466" s="4" vm="3670">
        <v>5612.5</v>
      </c>
      <c r="E466" s="4" vm="3671">
        <v>1201.75</v>
      </c>
      <c r="F466" s="4" vm="3672">
        <v>263.35000000000002</v>
      </c>
      <c r="G466" s="4" vm="3673">
        <v>81.150000000000006</v>
      </c>
      <c r="H466" s="4">
        <f t="shared" si="8"/>
        <v>0</v>
      </c>
    </row>
    <row r="467" spans="1:8" x14ac:dyDescent="0.3">
      <c r="A467" vm="927">
        <v>45852</v>
      </c>
      <c r="B467" s="4" vm="928">
        <v>25082.3</v>
      </c>
      <c r="C467" s="4" vm="3674">
        <v>1851.3</v>
      </c>
      <c r="D467" s="4" vm="3675">
        <v>5540.5</v>
      </c>
      <c r="E467" s="4" vm="3676">
        <v>1196.45</v>
      </c>
      <c r="F467" s="4" vm="3677">
        <v>270.60000000000002</v>
      </c>
      <c r="G467" s="4" vm="3678">
        <v>81.88</v>
      </c>
      <c r="H467" s="4">
        <f t="shared" si="8"/>
        <v>0</v>
      </c>
    </row>
    <row r="468" spans="1:8" x14ac:dyDescent="0.3">
      <c r="A468" vm="929">
        <v>45853</v>
      </c>
      <c r="B468" s="4" vm="930">
        <v>25195.8</v>
      </c>
      <c r="C468" s="4" vm="3679">
        <v>1824.8</v>
      </c>
      <c r="D468" s="4" vm="3680">
        <v>5591</v>
      </c>
      <c r="E468" s="4" vm="3681">
        <v>1208.1500000000001</v>
      </c>
      <c r="F468" s="4" vm="3682">
        <v>266.45</v>
      </c>
      <c r="G468" s="4" vm="3683">
        <v>81.67</v>
      </c>
      <c r="H468" s="4">
        <f t="shared" si="8"/>
        <v>0</v>
      </c>
    </row>
    <row r="469" spans="1:8" x14ac:dyDescent="0.3">
      <c r="A469" vm="931">
        <v>45854</v>
      </c>
      <c r="B469" s="4" vm="932">
        <v>25212.05</v>
      </c>
      <c r="C469" s="4" vm="3684">
        <v>1829.1</v>
      </c>
      <c r="D469" s="4" vm="3685">
        <v>5626.5</v>
      </c>
      <c r="E469" s="4" vm="3686">
        <v>1230</v>
      </c>
      <c r="F469" s="4" vm="3687">
        <v>262.35000000000002</v>
      </c>
      <c r="G469" s="4" vm="3688">
        <v>81.349999999999994</v>
      </c>
      <c r="H469" s="4">
        <f t="shared" si="8"/>
        <v>0</v>
      </c>
    </row>
    <row r="470" spans="1:8" x14ac:dyDescent="0.3">
      <c r="A470" vm="933">
        <v>45855</v>
      </c>
      <c r="B470" s="4" vm="934">
        <v>25111.45</v>
      </c>
      <c r="C470" s="4" vm="3689">
        <v>1802.8</v>
      </c>
      <c r="D470" s="4" vm="3690">
        <v>5650</v>
      </c>
      <c r="E470" s="4" vm="3691">
        <v>1224.55</v>
      </c>
      <c r="F470" s="4" vm="3692">
        <v>259.64999999999998</v>
      </c>
      <c r="G470" s="4" vm="3693">
        <v>81.16</v>
      </c>
      <c r="H470" s="4">
        <f t="shared" si="8"/>
        <v>0</v>
      </c>
    </row>
    <row r="471" spans="1:8" x14ac:dyDescent="0.3">
      <c r="A471" vm="935">
        <v>45856</v>
      </c>
      <c r="B471" s="4" vm="936">
        <v>24968.400000000001</v>
      </c>
      <c r="C471" s="4" vm="3694">
        <v>1788.4</v>
      </c>
      <c r="D471" s="4" vm="3695">
        <v>5627.5</v>
      </c>
      <c r="E471" s="4" vm="3696">
        <v>1236.0999999999999</v>
      </c>
      <c r="F471" s="4" vm="3697">
        <v>257.2</v>
      </c>
      <c r="G471" s="4" vm="3554">
        <v>81.73</v>
      </c>
      <c r="H471" s="4">
        <f t="shared" si="8"/>
        <v>0</v>
      </c>
    </row>
    <row r="472" spans="1:8" x14ac:dyDescent="0.3">
      <c r="A472" vm="937">
        <v>45859</v>
      </c>
      <c r="B472" s="4" vm="938">
        <v>25090.7</v>
      </c>
      <c r="C472" s="4" vm="3698">
        <v>1804.7</v>
      </c>
      <c r="D472" s="4" vm="3699">
        <v>5558</v>
      </c>
      <c r="E472" s="4" vm="3700">
        <v>1236.3</v>
      </c>
      <c r="F472" s="4" vm="3701">
        <v>271.7</v>
      </c>
      <c r="G472" s="4" vm="3444">
        <v>82.13</v>
      </c>
      <c r="H472" s="4">
        <f t="shared" si="8"/>
        <v>0</v>
      </c>
    </row>
    <row r="473" spans="1:8" x14ac:dyDescent="0.3">
      <c r="A473" vm="939">
        <v>45860</v>
      </c>
      <c r="B473" s="4" vm="940">
        <v>25060.9</v>
      </c>
      <c r="C473" s="4" vm="3702">
        <v>1809</v>
      </c>
      <c r="D473" s="4" vm="3703">
        <v>5439.5</v>
      </c>
      <c r="E473" s="4" vm="3704">
        <v>1221.75</v>
      </c>
      <c r="F473" s="4" vm="3705">
        <v>299.8</v>
      </c>
      <c r="G473" s="4" vm="3706">
        <v>82.77</v>
      </c>
      <c r="H473" s="4">
        <f t="shared" si="8"/>
        <v>0</v>
      </c>
    </row>
    <row r="474" spans="1:8" x14ac:dyDescent="0.3">
      <c r="A474" vm="941">
        <v>45861</v>
      </c>
      <c r="B474" s="4" vm="942">
        <v>25219.9</v>
      </c>
      <c r="C474" s="4" vm="3707">
        <v>1809.5</v>
      </c>
      <c r="D474" s="4" vm="3708">
        <v>5441.5</v>
      </c>
      <c r="E474" s="4" vm="3709">
        <v>1226.25</v>
      </c>
      <c r="F474" s="4" vm="3710">
        <v>302.05</v>
      </c>
      <c r="G474" s="4" vm="3711">
        <v>83.75</v>
      </c>
      <c r="H474" s="4">
        <f t="shared" si="8"/>
        <v>0</v>
      </c>
    </row>
    <row r="475" spans="1:8" x14ac:dyDescent="0.3">
      <c r="A475" vm="943">
        <v>45862</v>
      </c>
      <c r="B475" s="4" vm="844">
        <v>25062.1</v>
      </c>
      <c r="C475" s="4" vm="3712">
        <v>1793.6</v>
      </c>
      <c r="D475" s="4" vm="3713">
        <v>5469</v>
      </c>
      <c r="E475" s="4" vm="3714">
        <v>1161.05</v>
      </c>
      <c r="F475" s="4" vm="3715">
        <v>313.14999999999998</v>
      </c>
      <c r="G475" s="4" vm="3716">
        <v>82.3</v>
      </c>
      <c r="H475" s="4">
        <f t="shared" si="8"/>
        <v>0</v>
      </c>
    </row>
    <row r="476" spans="1:8" x14ac:dyDescent="0.3">
      <c r="A476" vm="944">
        <v>45863</v>
      </c>
      <c r="B476" s="4" vm="945">
        <v>24837</v>
      </c>
      <c r="C476" s="4" vm="3717">
        <v>1832.1</v>
      </c>
      <c r="D476" s="4" vm="3718">
        <v>5433</v>
      </c>
      <c r="E476" s="4" vm="3719">
        <v>1137.3</v>
      </c>
      <c r="F476" s="4" vm="3720">
        <v>310.55</v>
      </c>
      <c r="G476" s="4" vm="3721">
        <v>82.1</v>
      </c>
      <c r="H476" s="4">
        <f t="shared" si="8"/>
        <v>0</v>
      </c>
    </row>
    <row r="477" spans="1:8" x14ac:dyDescent="0.3">
      <c r="A477" vm="946">
        <v>45866</v>
      </c>
      <c r="B477" s="4" vm="947">
        <v>24680.9</v>
      </c>
      <c r="C477" s="4" vm="3722">
        <v>1850.5</v>
      </c>
      <c r="D477" s="4" vm="3723">
        <v>5386</v>
      </c>
      <c r="E477" s="4" vm="3724">
        <v>1114.6500000000001</v>
      </c>
      <c r="F477" s="4" vm="3725">
        <v>307.3</v>
      </c>
      <c r="G477" s="4" vm="3726">
        <v>82.03</v>
      </c>
      <c r="H477" s="4">
        <f t="shared" si="8"/>
        <v>0</v>
      </c>
    </row>
    <row r="478" spans="1:8" x14ac:dyDescent="0.3">
      <c r="A478" vm="948">
        <v>45867</v>
      </c>
      <c r="B478" s="4" vm="949">
        <v>24821.1</v>
      </c>
      <c r="C478" s="4" vm="3727">
        <v>1833.4</v>
      </c>
      <c r="D478" s="4" vm="3728">
        <v>5470.5</v>
      </c>
      <c r="E478" s="4" vm="3729">
        <v>1111.8499999999999</v>
      </c>
      <c r="F478" s="4" vm="3730">
        <v>306.55</v>
      </c>
      <c r="G478" s="4" vm="3731">
        <v>81.91</v>
      </c>
      <c r="H478" s="4">
        <f t="shared" si="8"/>
        <v>0</v>
      </c>
    </row>
    <row r="479" spans="1:8" x14ac:dyDescent="0.3">
      <c r="A479" vm="950">
        <v>45868</v>
      </c>
      <c r="B479" s="4" vm="951">
        <v>24855.05</v>
      </c>
      <c r="C479" s="4" vm="3732">
        <v>1839.1</v>
      </c>
      <c r="D479" s="4" vm="3733">
        <v>5481</v>
      </c>
      <c r="E479" s="4" vm="3734">
        <v>1115.75</v>
      </c>
      <c r="F479" s="4" vm="3735">
        <v>303.45</v>
      </c>
      <c r="G479" s="4" vm="3736">
        <v>82.39</v>
      </c>
      <c r="H479" s="4">
        <f t="shared" si="8"/>
        <v>0</v>
      </c>
    </row>
    <row r="480" spans="1:8" x14ac:dyDescent="0.3">
      <c r="A480" vm="952">
        <v>45869</v>
      </c>
      <c r="B480" s="4" vm="953">
        <v>24768.35</v>
      </c>
      <c r="C480" s="4" vm="3737">
        <v>1840.7</v>
      </c>
      <c r="D480" s="4" vm="3738">
        <v>5468.5</v>
      </c>
      <c r="E480" s="4" vm="3739">
        <v>1123.8499999999999</v>
      </c>
      <c r="F480" s="4" vm="3740">
        <v>307.8</v>
      </c>
      <c r="G480" s="4" vm="3741">
        <v>82.2</v>
      </c>
      <c r="H480" s="4">
        <f t="shared" si="8"/>
        <v>0</v>
      </c>
    </row>
    <row r="481" spans="1:8" x14ac:dyDescent="0.3">
      <c r="A481" vm="954">
        <v>45870</v>
      </c>
      <c r="B481" s="4" vm="955">
        <v>24565.35</v>
      </c>
      <c r="C481" s="4" vm="3742">
        <v>1796.2</v>
      </c>
      <c r="D481" s="4" vm="3743">
        <v>5528</v>
      </c>
      <c r="E481" s="4" vm="3744">
        <v>1138.25</v>
      </c>
      <c r="F481" s="4" vm="3745">
        <v>304.75</v>
      </c>
      <c r="G481" s="4" vm="3746">
        <v>81.95</v>
      </c>
      <c r="H481" s="4">
        <f t="shared" si="8"/>
        <v>0</v>
      </c>
    </row>
    <row r="482" spans="1:8" x14ac:dyDescent="0.3">
      <c r="A482" vm="956">
        <v>45873</v>
      </c>
      <c r="B482" s="4" vm="957">
        <v>24722.75</v>
      </c>
      <c r="C482" s="4" vm="3747">
        <v>1831.5</v>
      </c>
      <c r="D482" s="4" vm="3748">
        <v>5621</v>
      </c>
      <c r="E482" s="4" vm="3749">
        <v>1138.7</v>
      </c>
      <c r="F482" s="4" vm="3750">
        <v>305.25</v>
      </c>
      <c r="G482" s="4" vm="3751">
        <v>83.23</v>
      </c>
      <c r="H482" s="4">
        <f t="shared" si="8"/>
        <v>0</v>
      </c>
    </row>
    <row r="483" spans="1:8" x14ac:dyDescent="0.3">
      <c r="A483" vm="958">
        <v>45874</v>
      </c>
      <c r="B483" s="4" vm="959">
        <v>24649.55</v>
      </c>
      <c r="C483" s="4" vm="3752">
        <v>1857</v>
      </c>
      <c r="D483" s="4" vm="3753">
        <v>5681</v>
      </c>
      <c r="E483" s="4" vm="3754">
        <v>1133.6500000000001</v>
      </c>
      <c r="F483" s="4" vm="3755">
        <v>302.14999999999998</v>
      </c>
      <c r="G483" s="4" vm="3756">
        <v>83.61</v>
      </c>
      <c r="H483" s="4">
        <f t="shared" si="8"/>
        <v>0</v>
      </c>
    </row>
    <row r="484" spans="1:8" x14ac:dyDescent="0.3">
      <c r="A484" vm="960">
        <v>45875</v>
      </c>
      <c r="B484" s="4" vm="961">
        <v>24574.2</v>
      </c>
      <c r="C484" s="4" vm="3757">
        <v>1854.3</v>
      </c>
      <c r="D484" s="4" vm="3758">
        <v>5668</v>
      </c>
      <c r="E484" s="4" vm="3759">
        <v>1116.6500000000001</v>
      </c>
      <c r="F484" s="4" vm="3760">
        <v>298.85000000000002</v>
      </c>
      <c r="G484" s="4" vm="3761">
        <v>83.44</v>
      </c>
      <c r="H484" s="4">
        <f t="shared" si="8"/>
        <v>0</v>
      </c>
    </row>
    <row r="485" spans="1:8" x14ac:dyDescent="0.3">
      <c r="A485" vm="962">
        <v>45876</v>
      </c>
      <c r="B485" s="4" vm="963">
        <v>24596.15</v>
      </c>
      <c r="C485" s="4" vm="3762">
        <v>1861.1</v>
      </c>
      <c r="D485" s="4" vm="3763">
        <v>5681.5</v>
      </c>
      <c r="E485" s="4" vm="3764">
        <v>1117.3</v>
      </c>
      <c r="F485" s="4" vm="3765">
        <v>301.75</v>
      </c>
      <c r="G485" s="4" vm="3766">
        <v>83.94</v>
      </c>
      <c r="H485" s="4">
        <f t="shared" si="8"/>
        <v>0</v>
      </c>
    </row>
    <row r="486" spans="1:8" x14ac:dyDescent="0.3">
      <c r="A486" vm="964">
        <v>45877</v>
      </c>
      <c r="B486" s="4" vm="965">
        <v>24363.3</v>
      </c>
      <c r="C486" s="4" vm="3767">
        <v>1833.6</v>
      </c>
      <c r="D486" s="4" vm="3768">
        <v>5663</v>
      </c>
      <c r="E486" s="4" vm="3769">
        <v>1096.5</v>
      </c>
      <c r="F486" s="4" vm="3770">
        <v>300.89999999999998</v>
      </c>
      <c r="G486" s="4" vm="3771">
        <v>84.36</v>
      </c>
      <c r="H486" s="4">
        <f t="shared" si="8"/>
        <v>0</v>
      </c>
    </row>
    <row r="487" spans="1:8" x14ac:dyDescent="0.3">
      <c r="A487" vm="966">
        <v>45880</v>
      </c>
      <c r="B487" s="4" vm="967">
        <v>24585.05</v>
      </c>
      <c r="C487" s="4" vm="3772">
        <v>1851</v>
      </c>
      <c r="D487" s="4" vm="3773">
        <v>5671.5</v>
      </c>
      <c r="E487" s="4" vm="3774">
        <v>1105</v>
      </c>
      <c r="F487" s="4" vm="3775">
        <v>309.39999999999998</v>
      </c>
      <c r="G487" s="4" vm="3751">
        <v>83.23</v>
      </c>
      <c r="H487" s="4">
        <f t="shared" si="8"/>
        <v>0</v>
      </c>
    </row>
    <row r="488" spans="1:8" x14ac:dyDescent="0.3">
      <c r="A488" vm="968">
        <v>45881</v>
      </c>
      <c r="B488" s="4" vm="969">
        <v>24487.4</v>
      </c>
      <c r="C488" s="4" vm="3776">
        <v>1838</v>
      </c>
      <c r="D488" s="4" vm="3777">
        <v>5658</v>
      </c>
      <c r="E488" s="4" vm="3778">
        <v>1091.0999999999999</v>
      </c>
      <c r="F488" s="4" vm="3779">
        <v>305.89999999999998</v>
      </c>
      <c r="G488" s="4" vm="3780">
        <v>82.98</v>
      </c>
      <c r="H488" s="4">
        <f t="shared" si="8"/>
        <v>0</v>
      </c>
    </row>
    <row r="489" spans="1:8" x14ac:dyDescent="0.3">
      <c r="A489" vm="970">
        <v>45882</v>
      </c>
      <c r="B489" s="4" vm="971">
        <v>24619.35</v>
      </c>
      <c r="C489" s="4" vm="3781">
        <v>1840.3</v>
      </c>
      <c r="D489" s="4" vm="3782">
        <v>5714.5</v>
      </c>
      <c r="E489" s="4" vm="3783">
        <v>1096.9000000000001</v>
      </c>
      <c r="F489" s="4" vm="3784">
        <v>312.35000000000002</v>
      </c>
      <c r="G489" s="4" vm="3785">
        <v>83.19</v>
      </c>
      <c r="H489" s="4">
        <f t="shared" si="8"/>
        <v>0</v>
      </c>
    </row>
    <row r="490" spans="1:8" x14ac:dyDescent="0.3">
      <c r="A490" vm="972">
        <v>45883</v>
      </c>
      <c r="B490" s="4" vm="973">
        <v>24631.3</v>
      </c>
      <c r="C490" s="4" vm="3786">
        <v>1840.6</v>
      </c>
      <c r="D490" s="4" vm="3787">
        <v>5764</v>
      </c>
      <c r="E490" s="4" vm="3788">
        <v>1089.4000000000001</v>
      </c>
      <c r="F490" s="4" vm="3789">
        <v>318.39999999999998</v>
      </c>
      <c r="G490" s="4" vm="3790">
        <v>83.14</v>
      </c>
      <c r="H490" s="4">
        <f t="shared" si="8"/>
        <v>0</v>
      </c>
    </row>
    <row r="491" spans="1:8" x14ac:dyDescent="0.3">
      <c r="A491" vm="974">
        <v>45887</v>
      </c>
      <c r="B491" s="4" vm="975">
        <v>24876.95</v>
      </c>
      <c r="C491" s="4" vm="3791">
        <v>1863</v>
      </c>
      <c r="D491" s="4" vm="3792">
        <v>5912</v>
      </c>
      <c r="E491" s="4" vm="3793">
        <v>1144.0999999999999</v>
      </c>
      <c r="F491" s="4" vm="3794">
        <v>314.89999999999998</v>
      </c>
      <c r="G491" s="4" vm="3795">
        <v>82.75</v>
      </c>
      <c r="H491" s="4">
        <f t="shared" si="8"/>
        <v>0</v>
      </c>
    </row>
    <row r="492" spans="1:8" x14ac:dyDescent="0.3">
      <c r="A492" vm="976">
        <v>45888</v>
      </c>
      <c r="B492" s="4" vm="977">
        <v>24980.65</v>
      </c>
      <c r="C492" s="4" vm="3796">
        <v>1854.1</v>
      </c>
      <c r="D492" s="4" vm="3797">
        <v>5938.5</v>
      </c>
      <c r="E492" s="4" vm="3798">
        <v>1161.4000000000001</v>
      </c>
      <c r="F492" s="4" vm="3799">
        <v>321.45</v>
      </c>
      <c r="G492" s="4" vm="3800">
        <v>82.31</v>
      </c>
      <c r="H492" s="4">
        <f t="shared" si="8"/>
        <v>0</v>
      </c>
    </row>
    <row r="493" spans="1:8" x14ac:dyDescent="0.3">
      <c r="A493" vm="978">
        <v>45889</v>
      </c>
      <c r="B493" s="4" vm="979">
        <v>25050.55</v>
      </c>
      <c r="C493" s="4" vm="3801">
        <v>1858.5</v>
      </c>
      <c r="D493" s="4" vm="3802">
        <v>5937.5</v>
      </c>
      <c r="E493" s="4" vm="3803">
        <v>1190.3</v>
      </c>
      <c r="F493" s="4" vm="3804">
        <v>326.55</v>
      </c>
      <c r="G493" s="4" vm="3805">
        <v>82.08</v>
      </c>
      <c r="H493" s="4">
        <f t="shared" si="8"/>
        <v>0</v>
      </c>
    </row>
    <row r="494" spans="1:8" x14ac:dyDescent="0.3">
      <c r="A494" vm="980">
        <v>45890</v>
      </c>
      <c r="B494" s="4" vm="981">
        <v>25083.75</v>
      </c>
      <c r="C494" s="4" vm="3806">
        <v>1877.3</v>
      </c>
      <c r="D494" s="4" vm="3807">
        <v>5975</v>
      </c>
      <c r="E494" s="4" vm="3808">
        <v>1179.4000000000001</v>
      </c>
      <c r="F494" s="4" vm="3809">
        <v>321.8</v>
      </c>
      <c r="G494" s="4" vm="3810">
        <v>82.55</v>
      </c>
      <c r="H494" s="4">
        <f t="shared" si="8"/>
        <v>0</v>
      </c>
    </row>
    <row r="495" spans="1:8" x14ac:dyDescent="0.3">
      <c r="A495" vm="982">
        <v>45891</v>
      </c>
      <c r="B495" s="4" vm="983">
        <v>24870.1</v>
      </c>
      <c r="C495" s="4" vm="3811">
        <v>1859</v>
      </c>
      <c r="D495" s="4" vm="3812">
        <v>5924.5</v>
      </c>
      <c r="E495" s="4" vm="3813">
        <v>1162.9000000000001</v>
      </c>
      <c r="F495" s="4" vm="3814">
        <v>319.10000000000002</v>
      </c>
      <c r="G495" s="4" vm="3815">
        <v>82.62</v>
      </c>
      <c r="H495" s="4">
        <f t="shared" si="8"/>
        <v>0</v>
      </c>
    </row>
    <row r="496" spans="1:8" x14ac:dyDescent="0.3">
      <c r="A496" vm="984">
        <v>45894</v>
      </c>
      <c r="B496" s="4" vm="985">
        <v>24967.75</v>
      </c>
      <c r="C496" s="4" vm="3816">
        <v>1846.8</v>
      </c>
      <c r="D496" s="4" vm="3817">
        <v>5990.5</v>
      </c>
      <c r="E496" s="4" vm="3818">
        <v>1153</v>
      </c>
      <c r="F496" s="4" vm="3819">
        <v>319.25</v>
      </c>
      <c r="G496" s="4" vm="3820">
        <v>83.5</v>
      </c>
      <c r="H496" s="4">
        <f t="shared" si="8"/>
        <v>0</v>
      </c>
    </row>
    <row r="497" spans="1:8" x14ac:dyDescent="0.3">
      <c r="A497" vm="986">
        <v>45895</v>
      </c>
      <c r="B497" s="4" vm="987">
        <v>24712.05</v>
      </c>
      <c r="C497" s="4" vm="3821">
        <v>1816.6</v>
      </c>
      <c r="D497" s="4" vm="3822">
        <v>6151</v>
      </c>
      <c r="E497" s="4" vm="3823">
        <v>1162.2</v>
      </c>
      <c r="F497" s="4" vm="3824">
        <v>317.89999999999998</v>
      </c>
      <c r="G497" s="4" vm="3825">
        <v>83.83</v>
      </c>
      <c r="H497" s="4">
        <f t="shared" si="8"/>
        <v>0</v>
      </c>
    </row>
    <row r="498" spans="1:8" x14ac:dyDescent="0.3">
      <c r="A498" vm="988">
        <v>45897</v>
      </c>
      <c r="B498" s="4" vm="989">
        <v>24500.9</v>
      </c>
      <c r="C498" s="4" vm="3826">
        <v>1816.8</v>
      </c>
      <c r="D498" s="4" vm="3827">
        <v>6133</v>
      </c>
      <c r="E498" s="4" vm="3828">
        <v>1162.4000000000001</v>
      </c>
      <c r="F498" s="4" vm="3829">
        <v>315.5</v>
      </c>
      <c r="G498" s="4" vm="3830">
        <v>84.42</v>
      </c>
      <c r="H498" s="4">
        <f t="shared" si="8"/>
        <v>0</v>
      </c>
    </row>
    <row r="499" spans="1:8" x14ac:dyDescent="0.3">
      <c r="A499" vm="990">
        <v>45898</v>
      </c>
      <c r="B499" s="4" vm="991">
        <v>24426.85</v>
      </c>
      <c r="C499" s="4" vm="3831">
        <v>1805.5</v>
      </c>
      <c r="D499" s="4" vm="3832">
        <v>6103</v>
      </c>
      <c r="E499" s="4" vm="3833">
        <v>1156.2</v>
      </c>
      <c r="F499" s="4" vm="3834">
        <v>313.95</v>
      </c>
      <c r="G499" s="4" vm="3835">
        <v>85.34</v>
      </c>
      <c r="H499" s="4">
        <f t="shared" si="8"/>
        <v>0</v>
      </c>
    </row>
    <row r="500" spans="1:8" x14ac:dyDescent="0.3">
      <c r="A500" vm="992">
        <v>45901</v>
      </c>
      <c r="B500" s="4" vm="993">
        <v>24625.05</v>
      </c>
      <c r="C500" s="4" vm="3836">
        <v>1809.8</v>
      </c>
      <c r="D500" s="4" vm="3837">
        <v>6280</v>
      </c>
      <c r="E500" s="4" vm="3838">
        <v>1174.4000000000001</v>
      </c>
      <c r="F500" s="4" vm="3839">
        <v>321.10000000000002</v>
      </c>
      <c r="G500" s="4" vm="3840">
        <v>86.61</v>
      </c>
      <c r="H500" s="4">
        <f t="shared" si="8"/>
        <v>0</v>
      </c>
    </row>
    <row r="501" spans="1:8" x14ac:dyDescent="0.3">
      <c r="A501" vm="994">
        <v>45902</v>
      </c>
      <c r="B501" s="4" vm="995">
        <v>24579.599999999999</v>
      </c>
      <c r="C501" s="4" vm="3841">
        <v>1814.5</v>
      </c>
      <c r="D501" s="4" vm="3842">
        <v>6349</v>
      </c>
      <c r="E501" s="4" vm="3843">
        <v>1200.9000000000001</v>
      </c>
      <c r="F501" s="4" vm="3844">
        <v>322.39999999999998</v>
      </c>
      <c r="G501" s="4" vm="3840">
        <v>86.61</v>
      </c>
      <c r="H501" s="4">
        <f t="shared" si="8"/>
        <v>0</v>
      </c>
    </row>
    <row r="502" spans="1:8" x14ac:dyDescent="0.3">
      <c r="A502" vm="996">
        <v>45903</v>
      </c>
      <c r="B502" s="4" vm="997">
        <v>24715.05</v>
      </c>
      <c r="C502" s="4" vm="3845">
        <v>1810.7</v>
      </c>
      <c r="D502" s="4" vm="3846">
        <v>6371.5</v>
      </c>
      <c r="E502" s="4" vm="3847">
        <v>1194.8</v>
      </c>
      <c r="F502" s="4" vm="3848">
        <v>326.10000000000002</v>
      </c>
      <c r="G502" s="4" vm="3849">
        <v>87.88</v>
      </c>
      <c r="H502" s="4">
        <f t="shared" si="8"/>
        <v>0</v>
      </c>
    </row>
    <row r="503" spans="1:8" x14ac:dyDescent="0.3">
      <c r="A503" vm="998">
        <v>45904</v>
      </c>
      <c r="B503" s="4" vm="999">
        <v>24734.3</v>
      </c>
      <c r="C503" s="4" vm="3850">
        <v>1791.1</v>
      </c>
      <c r="D503" s="4" vm="3851">
        <v>6425</v>
      </c>
      <c r="E503" s="4" vm="3852">
        <v>1212.5999999999999</v>
      </c>
      <c r="F503" s="4" vm="3853">
        <v>326.25</v>
      </c>
      <c r="G503" s="4" vm="3854">
        <v>88.16</v>
      </c>
      <c r="H503" s="4">
        <f t="shared" si="8"/>
        <v>0</v>
      </c>
    </row>
    <row r="504" spans="1:8" x14ac:dyDescent="0.3">
      <c r="A504" vm="1000">
        <v>45905</v>
      </c>
      <c r="B504" s="4" vm="1001">
        <v>24741</v>
      </c>
      <c r="C504" s="4" vm="3855">
        <v>1805.3</v>
      </c>
      <c r="D504" s="4" vm="3856">
        <v>6580.5</v>
      </c>
      <c r="E504" s="4" vm="3857">
        <v>1208.5</v>
      </c>
      <c r="F504" s="4" vm="3858">
        <v>329.15</v>
      </c>
      <c r="G504" s="4" vm="3859">
        <v>88.65</v>
      </c>
      <c r="H504" s="4">
        <f t="shared" si="8"/>
        <v>0</v>
      </c>
    </row>
    <row r="505" spans="1:8" x14ac:dyDescent="0.3">
      <c r="A505" vm="1002">
        <v>45908</v>
      </c>
      <c r="B505" s="4" vm="1003">
        <v>24773.15</v>
      </c>
      <c r="C505" s="4" vm="3860">
        <v>1780.9</v>
      </c>
      <c r="D505" s="4" vm="3861">
        <v>6815</v>
      </c>
      <c r="E505" s="4" vm="3862">
        <v>1187.7</v>
      </c>
      <c r="F505" s="4" vm="3863">
        <v>329.65</v>
      </c>
      <c r="G505" s="4" vm="3864">
        <v>89.98</v>
      </c>
      <c r="H505" s="4">
        <f t="shared" si="8"/>
        <v>0</v>
      </c>
    </row>
    <row r="506" spans="1:8" x14ac:dyDescent="0.3">
      <c r="A506" vm="1004">
        <v>45909</v>
      </c>
      <c r="B506" s="4" vm="1005">
        <v>24868.6</v>
      </c>
      <c r="C506" s="4" vm="3865">
        <v>1805.7</v>
      </c>
      <c r="D506" s="4" vm="3866">
        <v>6874.5</v>
      </c>
      <c r="E506" s="4" vm="3619">
        <v>1202.2</v>
      </c>
      <c r="F506" s="4" vm="3867">
        <v>325.7</v>
      </c>
      <c r="G506" s="4" vm="3868">
        <v>91.17</v>
      </c>
      <c r="H506" s="4">
        <f t="shared" si="8"/>
        <v>0</v>
      </c>
    </row>
    <row r="507" spans="1:8" x14ac:dyDescent="0.3">
      <c r="A507" vm="1006">
        <v>45910</v>
      </c>
      <c r="B507" s="4" vm="1007">
        <v>24973.1</v>
      </c>
      <c r="C507" s="4" vm="3869">
        <v>1833.7</v>
      </c>
      <c r="D507" s="4" vm="3870">
        <v>6836.5</v>
      </c>
      <c r="E507" s="4" vm="3527">
        <v>1217.5</v>
      </c>
      <c r="F507" s="4" vm="3871">
        <v>324.39999999999998</v>
      </c>
      <c r="G507" s="4" vm="3872">
        <v>90.9</v>
      </c>
      <c r="H507" s="4">
        <f t="shared" si="8"/>
        <v>0</v>
      </c>
    </row>
    <row r="508" spans="1:8" x14ac:dyDescent="0.3">
      <c r="A508" vm="1008">
        <v>45911</v>
      </c>
      <c r="B508" s="4" vm="1009">
        <v>25005.5</v>
      </c>
      <c r="C508" s="4" vm="3873">
        <v>1814.2</v>
      </c>
      <c r="D508" s="4" vm="3874">
        <v>6758</v>
      </c>
      <c r="E508" s="4" vm="3875">
        <v>1220.8</v>
      </c>
      <c r="F508" s="4" vm="3876">
        <v>328.1</v>
      </c>
      <c r="G508" s="4" vm="3877">
        <v>90.62</v>
      </c>
      <c r="H508" s="4">
        <f t="shared" si="8"/>
        <v>0</v>
      </c>
    </row>
    <row r="509" spans="1:8" x14ac:dyDescent="0.3">
      <c r="A509" vm="1010">
        <v>45912</v>
      </c>
      <c r="B509" s="4" vm="1011">
        <v>25114</v>
      </c>
      <c r="C509" s="4" vm="3878">
        <v>1830.2</v>
      </c>
      <c r="D509" s="4" vm="3879">
        <v>6875</v>
      </c>
      <c r="E509" s="4" vm="3880">
        <v>1217.5999999999999</v>
      </c>
      <c r="F509" s="4" vm="3881">
        <v>321.39999999999998</v>
      </c>
      <c r="G509" s="4" vm="3882">
        <v>91.26</v>
      </c>
      <c r="H509" s="4">
        <f t="shared" si="8"/>
        <v>0</v>
      </c>
    </row>
    <row r="510" spans="1:8" x14ac:dyDescent="0.3">
      <c r="A510" vm="1012">
        <v>45915</v>
      </c>
      <c r="B510" s="4" vm="1013">
        <v>25069.200000000001</v>
      </c>
      <c r="C510" s="4" vm="3883">
        <v>1822.2</v>
      </c>
      <c r="D510" s="4" vm="3884">
        <v>6801</v>
      </c>
      <c r="E510" s="4" vm="3885">
        <v>1212.5</v>
      </c>
      <c r="F510" s="4" vm="3886">
        <v>323.3</v>
      </c>
      <c r="G510" s="4" vm="3887">
        <v>90.92</v>
      </c>
      <c r="H510" s="4">
        <f t="shared" si="8"/>
        <v>0</v>
      </c>
    </row>
    <row r="511" spans="1:8" x14ac:dyDescent="0.3">
      <c r="A511" vm="1014">
        <v>45916</v>
      </c>
      <c r="B511" s="4" vm="1015">
        <v>25239.1</v>
      </c>
      <c r="C511" s="4" vm="3888">
        <v>1818.8</v>
      </c>
      <c r="D511" s="4" vm="3889">
        <v>6927.5</v>
      </c>
      <c r="E511" s="4" vm="3890">
        <v>1204.2</v>
      </c>
      <c r="F511" s="4" vm="3891">
        <v>327.3</v>
      </c>
      <c r="G511" s="4" vm="3892">
        <v>92.27</v>
      </c>
      <c r="H511" s="4">
        <f t="shared" si="8"/>
        <v>0</v>
      </c>
    </row>
    <row r="512" spans="1:8" x14ac:dyDescent="0.3">
      <c r="A512" vm="1016">
        <v>45917</v>
      </c>
      <c r="B512" s="4" vm="1017">
        <v>25330.25</v>
      </c>
      <c r="C512" s="4" vm="3893">
        <v>1804</v>
      </c>
      <c r="D512" s="4" vm="3894">
        <v>6890.5</v>
      </c>
      <c r="E512" s="4" vm="3895">
        <v>1204.3</v>
      </c>
      <c r="F512" s="4" vm="3896">
        <v>328.25</v>
      </c>
      <c r="G512" s="4" vm="3897">
        <v>91.25</v>
      </c>
      <c r="H512" s="4">
        <f t="shared" si="8"/>
        <v>0</v>
      </c>
    </row>
    <row r="513" spans="1:8" x14ac:dyDescent="0.3">
      <c r="A513" vm="1018">
        <v>45918</v>
      </c>
      <c r="B513" s="4" vm="1019">
        <v>25423.599999999999</v>
      </c>
      <c r="C513" s="4" vm="3898">
        <v>1821.8</v>
      </c>
      <c r="D513" s="4" vm="3899">
        <v>6924.5</v>
      </c>
      <c r="E513" s="4" vm="3900">
        <v>1209.0999999999999</v>
      </c>
      <c r="F513" s="4" vm="3901">
        <v>337.85</v>
      </c>
      <c r="G513" s="4" vm="3902">
        <v>91.6</v>
      </c>
      <c r="H513" s="4">
        <f t="shared" si="8"/>
        <v>0</v>
      </c>
    </row>
    <row r="514" spans="1:8" x14ac:dyDescent="0.3">
      <c r="A514" vm="1020">
        <v>45919</v>
      </c>
      <c r="B514" s="4" vm="1021">
        <v>25327.05</v>
      </c>
      <c r="C514" s="4" vm="3903">
        <v>1841.7</v>
      </c>
      <c r="D514" s="4" vm="3904">
        <v>6973.5</v>
      </c>
      <c r="E514" s="4" vm="3905">
        <v>1194.5</v>
      </c>
      <c r="F514" s="4" vm="3906">
        <v>336.55</v>
      </c>
      <c r="G514" s="4" vm="3907">
        <v>91.29</v>
      </c>
      <c r="H514" s="4">
        <f t="shared" si="8"/>
        <v>0</v>
      </c>
    </row>
    <row r="515" spans="1:8" x14ac:dyDescent="0.3">
      <c r="A515" vm="1022">
        <v>45922</v>
      </c>
      <c r="B515" s="4" vm="1023">
        <v>25202.35</v>
      </c>
      <c r="C515" s="4" vm="3908">
        <v>1857.7</v>
      </c>
      <c r="D515" s="4" vm="3909">
        <v>6946</v>
      </c>
      <c r="E515" s="4" vm="3910">
        <v>1188.3</v>
      </c>
      <c r="F515" s="4" vm="3911">
        <v>341.85</v>
      </c>
      <c r="G515" s="4" vm="3912">
        <v>93.14</v>
      </c>
      <c r="H515" s="4">
        <f t="shared" si="8"/>
        <v>0</v>
      </c>
    </row>
    <row r="516" spans="1:8" x14ac:dyDescent="0.3">
      <c r="A516" vm="1024">
        <v>45923</v>
      </c>
      <c r="B516" s="4" vm="1025">
        <v>25169.5</v>
      </c>
      <c r="C516" s="4" vm="3913">
        <v>1819.4</v>
      </c>
      <c r="D516" s="4" vm="3914">
        <v>6990.5</v>
      </c>
      <c r="E516" s="4" vm="3915">
        <v>1168.4000000000001</v>
      </c>
      <c r="F516" s="4" vm="3916">
        <v>338.35</v>
      </c>
      <c r="G516" s="4" vm="3917">
        <v>95.13</v>
      </c>
      <c r="H516" s="4">
        <f t="shared" si="8"/>
        <v>0</v>
      </c>
    </row>
    <row r="517" spans="1:8" x14ac:dyDescent="0.3">
      <c r="A517" vm="1026">
        <v>45924</v>
      </c>
      <c r="B517" s="4" vm="1027">
        <v>25056.9</v>
      </c>
      <c r="C517" s="4" vm="3918">
        <v>1817.1</v>
      </c>
      <c r="D517" s="4" vm="3919">
        <v>7011.5</v>
      </c>
      <c r="E517" s="4" vm="3920">
        <v>1178.5999999999999</v>
      </c>
      <c r="F517" s="4" vm="3921">
        <v>335.8</v>
      </c>
      <c r="G517" s="4" vm="3922">
        <v>94.64</v>
      </c>
      <c r="H517" s="4">
        <f t="shared" ref="H517:H580" si="9">SUMPRODUCT($C$3:$G$3,C517:G517)</f>
        <v>0</v>
      </c>
    </row>
    <row r="518" spans="1:8" x14ac:dyDescent="0.3">
      <c r="A518" vm="1028">
        <v>45925</v>
      </c>
      <c r="B518" s="4" vm="1029">
        <v>24890.85</v>
      </c>
      <c r="C518" s="4" vm="3836">
        <v>1809.8</v>
      </c>
      <c r="D518" s="4" vm="3923">
        <v>6986</v>
      </c>
      <c r="E518" s="4" vm="3924">
        <v>1173.5</v>
      </c>
      <c r="F518" s="4" vm="3925">
        <v>332.25</v>
      </c>
      <c r="G518" s="4" vm="3926">
        <v>94.43</v>
      </c>
      <c r="H518" s="4">
        <f t="shared" si="9"/>
        <v>0</v>
      </c>
    </row>
    <row r="519" spans="1:8" x14ac:dyDescent="0.3">
      <c r="A519" vm="1030">
        <v>45926</v>
      </c>
      <c r="B519" s="4" vm="1031">
        <v>24654.7</v>
      </c>
      <c r="C519" s="4" vm="3927">
        <v>1798.8</v>
      </c>
      <c r="D519" s="4" vm="3928">
        <v>7047</v>
      </c>
      <c r="E519" s="4" vm="3929">
        <v>1162.5999999999999</v>
      </c>
      <c r="F519" s="4" vm="3930">
        <v>321</v>
      </c>
      <c r="G519" s="4" vm="3931">
        <v>94.22</v>
      </c>
      <c r="H519" s="4">
        <f t="shared" si="9"/>
        <v>0</v>
      </c>
    </row>
    <row r="520" spans="1:8" x14ac:dyDescent="0.3">
      <c r="A520" vm="1032">
        <v>45929</v>
      </c>
      <c r="B520" s="4" vm="1033">
        <v>24634.9</v>
      </c>
      <c r="C520" s="4" vm="3932">
        <v>1788.7</v>
      </c>
      <c r="D520" s="4" vm="3933">
        <v>6985</v>
      </c>
      <c r="E520" s="4" vm="3934">
        <v>1152.5</v>
      </c>
      <c r="F520" s="4" vm="3935">
        <v>324.85000000000002</v>
      </c>
      <c r="G520" s="4" vm="3936">
        <v>95.9</v>
      </c>
      <c r="H520" s="4">
        <f t="shared" si="9"/>
        <v>0</v>
      </c>
    </row>
    <row r="521" spans="1:8" x14ac:dyDescent="0.3">
      <c r="A521" vm="1034">
        <v>45930</v>
      </c>
      <c r="B521" s="4" vm="1035">
        <v>24611.1</v>
      </c>
      <c r="C521" s="4" vm="3937">
        <v>1790.6</v>
      </c>
      <c r="D521" s="4" vm="3938">
        <v>7005.5</v>
      </c>
      <c r="E521" s="4" vm="3939">
        <v>1152.9000000000001</v>
      </c>
      <c r="F521" s="4" vm="3940">
        <v>325.5</v>
      </c>
      <c r="G521" s="4" vm="3941">
        <v>95.85</v>
      </c>
      <c r="H521" s="4">
        <f t="shared" si="9"/>
        <v>0</v>
      </c>
    </row>
    <row r="522" spans="1:8" x14ac:dyDescent="0.3">
      <c r="A522" vm="1036">
        <v>45931</v>
      </c>
      <c r="B522" s="4" vm="1037">
        <v>24836.3</v>
      </c>
      <c r="C522" s="4" vm="3942">
        <v>1801.1</v>
      </c>
      <c r="D522" s="4" vm="3943">
        <v>7021.5</v>
      </c>
      <c r="E522" s="4" vm="3944">
        <v>1166.4000000000001</v>
      </c>
      <c r="F522" s="4" vm="3945">
        <v>329</v>
      </c>
      <c r="G522" s="4" vm="3946">
        <v>97.63</v>
      </c>
      <c r="H522" s="4">
        <f t="shared" si="9"/>
        <v>0</v>
      </c>
    </row>
    <row r="523" spans="1:8" x14ac:dyDescent="0.3">
      <c r="A523" vm="1038">
        <v>45933</v>
      </c>
      <c r="B523" s="4" vm="1039">
        <v>24894.25</v>
      </c>
      <c r="C523" s="4" vm="3947">
        <v>1785.1</v>
      </c>
      <c r="D523" s="4" vm="3948">
        <v>6941</v>
      </c>
      <c r="E523" s="4" vm="3949">
        <v>1169.9000000000001</v>
      </c>
      <c r="F523" s="4" vm="3950">
        <v>328.45</v>
      </c>
      <c r="G523" s="4" vm="3951">
        <v>97.07</v>
      </c>
      <c r="H523" s="4">
        <f t="shared" si="9"/>
        <v>0</v>
      </c>
    </row>
    <row r="524" spans="1:8" x14ac:dyDescent="0.3">
      <c r="A524" vm="1040">
        <v>45936</v>
      </c>
      <c r="B524" s="4" vm="1041">
        <v>25077.65</v>
      </c>
      <c r="C524" s="4" vm="3952">
        <v>1770.9</v>
      </c>
      <c r="D524" s="4" vm="3953">
        <v>6880</v>
      </c>
      <c r="E524" s="4" vm="3954">
        <v>1181.7</v>
      </c>
      <c r="F524" s="4" vm="3955">
        <v>335.1</v>
      </c>
      <c r="G524" s="4" vm="3956">
        <v>99.22</v>
      </c>
      <c r="H524" s="4">
        <f t="shared" si="9"/>
        <v>0</v>
      </c>
    </row>
    <row r="525" spans="1:8" x14ac:dyDescent="0.3">
      <c r="A525" vm="1042">
        <v>45937</v>
      </c>
      <c r="B525" s="4" vm="1043">
        <v>25108.3</v>
      </c>
      <c r="C525" s="4" vm="3957">
        <v>1784.1</v>
      </c>
      <c r="D525" s="4" vm="3958">
        <v>6957</v>
      </c>
      <c r="E525" s="4" vm="3959">
        <v>1176.8</v>
      </c>
      <c r="F525" s="4" vm="3901">
        <v>337.85</v>
      </c>
      <c r="G525" s="4" vm="3960">
        <v>99.66</v>
      </c>
      <c r="H525" s="4">
        <f t="shared" si="9"/>
        <v>0</v>
      </c>
    </row>
    <row r="526" spans="1:8" x14ac:dyDescent="0.3">
      <c r="A526" vm="1044">
        <v>45938</v>
      </c>
      <c r="B526" s="4" vm="1045">
        <v>25046.15</v>
      </c>
      <c r="C526" s="4" vm="3961">
        <v>1772.9</v>
      </c>
      <c r="D526" s="4" vm="3962">
        <v>6902.5</v>
      </c>
      <c r="E526" s="4" vm="3963">
        <v>1180.5</v>
      </c>
      <c r="F526" s="4" vm="3964">
        <v>341.65</v>
      </c>
      <c r="G526" s="4" vm="3965">
        <v>101.69</v>
      </c>
      <c r="H526" s="4">
        <f t="shared" si="9"/>
        <v>0</v>
      </c>
    </row>
    <row r="527" spans="1:8" x14ac:dyDescent="0.3">
      <c r="A527" vm="1046">
        <v>45939</v>
      </c>
      <c r="B527" s="4" vm="1047">
        <v>25181.8</v>
      </c>
      <c r="C527" s="4" vm="3836">
        <v>1809.8</v>
      </c>
      <c r="D527" s="4" vm="3966">
        <v>6896.5</v>
      </c>
      <c r="E527" s="4" vm="3967">
        <v>1187.8</v>
      </c>
      <c r="F527" s="4" vm="3968">
        <v>345.5</v>
      </c>
      <c r="G527" s="4" vm="3969">
        <v>101.47</v>
      </c>
      <c r="H527" s="4">
        <f t="shared" si="9"/>
        <v>0</v>
      </c>
    </row>
    <row r="528" spans="1:8" x14ac:dyDescent="0.3">
      <c r="A528" vm="1048">
        <v>45940</v>
      </c>
      <c r="B528" s="4" vm="1049">
        <v>25285.35</v>
      </c>
      <c r="C528" s="4" vm="3970">
        <v>1810.4</v>
      </c>
      <c r="D528" s="4" vm="3971">
        <v>6965</v>
      </c>
      <c r="E528" s="4" vm="3972">
        <v>1199.5</v>
      </c>
      <c r="F528" s="4" vm="3973">
        <v>348.3</v>
      </c>
      <c r="G528" s="4" vm="3974">
        <v>100.67</v>
      </c>
      <c r="H528" s="4">
        <f t="shared" si="9"/>
        <v>0</v>
      </c>
    </row>
    <row r="529" spans="1:8" x14ac:dyDescent="0.3">
      <c r="A529" vm="1050">
        <v>45943</v>
      </c>
      <c r="B529" s="4" vm="1051">
        <v>25227.35</v>
      </c>
      <c r="C529" s="4" vm="3975">
        <v>1815.3</v>
      </c>
      <c r="D529" s="4" vm="3976">
        <v>6912</v>
      </c>
      <c r="E529" s="4" vm="3977">
        <v>1188.0999999999999</v>
      </c>
      <c r="F529" s="4" vm="3978">
        <v>348.35</v>
      </c>
      <c r="G529" s="4" vm="3979">
        <v>102.65</v>
      </c>
      <c r="H529" s="4">
        <f t="shared" si="9"/>
        <v>0</v>
      </c>
    </row>
    <row r="530" spans="1:8" x14ac:dyDescent="0.3">
      <c r="A530" vm="1052">
        <v>45944</v>
      </c>
      <c r="B530" s="4" vm="1053">
        <v>25145.5</v>
      </c>
      <c r="C530" s="4" vm="3980">
        <v>1816.2</v>
      </c>
      <c r="D530" s="4" vm="3981">
        <v>6887</v>
      </c>
      <c r="E530" s="4" vm="3982">
        <v>1175.5</v>
      </c>
      <c r="F530" s="4" vm="3983">
        <v>347.75</v>
      </c>
      <c r="G530" s="4" vm="3984">
        <v>105.09</v>
      </c>
      <c r="H530" s="4">
        <f t="shared" si="9"/>
        <v>0</v>
      </c>
    </row>
    <row r="531" spans="1:8" x14ac:dyDescent="0.3">
      <c r="A531" vm="1054">
        <v>45945</v>
      </c>
      <c r="B531" s="4" vm="1055">
        <v>25323.55</v>
      </c>
      <c r="C531" s="4" vm="3786">
        <v>1840.6</v>
      </c>
      <c r="D531" s="4" vm="3985">
        <v>6895</v>
      </c>
      <c r="E531" s="4" vm="3986">
        <v>1221.4000000000001</v>
      </c>
      <c r="F531" s="4" vm="3987">
        <v>354.35</v>
      </c>
      <c r="G531" s="4" vm="3988">
        <v>105.29</v>
      </c>
      <c r="H531" s="4">
        <f t="shared" si="9"/>
        <v>0</v>
      </c>
    </row>
    <row r="532" spans="1:8" x14ac:dyDescent="0.3">
      <c r="A532" vm="1056">
        <v>45946</v>
      </c>
      <c r="B532" s="4" vm="1057">
        <v>25585.3</v>
      </c>
      <c r="C532" s="4" vm="3989">
        <v>1835.7</v>
      </c>
      <c r="D532" s="4" vm="3990">
        <v>6988</v>
      </c>
      <c r="E532" s="4" vm="3991">
        <v>1276.5999999999999</v>
      </c>
      <c r="F532" s="4" vm="3992">
        <v>347.85</v>
      </c>
      <c r="G532" s="4" vm="3993">
        <v>105.37</v>
      </c>
      <c r="H532" s="4">
        <f t="shared" si="9"/>
        <v>0</v>
      </c>
    </row>
    <row r="533" spans="1:8" x14ac:dyDescent="0.3">
      <c r="A533" vm="1058">
        <v>45947</v>
      </c>
      <c r="B533" s="4" vm="1059">
        <v>25709.85</v>
      </c>
      <c r="C533" s="4" vm="3994">
        <v>1844.1</v>
      </c>
      <c r="D533" s="4" vm="3995">
        <v>7042.5</v>
      </c>
      <c r="E533" s="4" vm="2033">
        <v>1289.5</v>
      </c>
      <c r="F533" s="4" vm="3996">
        <v>342.65</v>
      </c>
      <c r="G533" s="4" vm="3997">
        <v>108.11</v>
      </c>
      <c r="H533" s="4">
        <f t="shared" si="9"/>
        <v>0</v>
      </c>
    </row>
    <row r="534" spans="1:8" x14ac:dyDescent="0.3">
      <c r="A534" vm="1060">
        <v>45950</v>
      </c>
      <c r="B534" s="4" vm="1061">
        <v>25843.15</v>
      </c>
      <c r="C534" s="4" vm="3998">
        <v>1839.7</v>
      </c>
      <c r="D534" s="4" vm="3999">
        <v>7013.5</v>
      </c>
      <c r="E534" s="4" vm="4000">
        <v>1285.4000000000001</v>
      </c>
      <c r="F534" s="4" vm="4001">
        <v>338.15</v>
      </c>
      <c r="G534" s="4" vm="4002">
        <v>105.14</v>
      </c>
      <c r="H534" s="4">
        <f t="shared" si="9"/>
        <v>0</v>
      </c>
    </row>
    <row r="535" spans="1:8" x14ac:dyDescent="0.3">
      <c r="A535" vm="1062">
        <v>45951</v>
      </c>
      <c r="B535" s="4" vm="1063">
        <v>25868.6</v>
      </c>
      <c r="C535" s="4" vm="4003">
        <v>1841</v>
      </c>
      <c r="D535" s="4" vm="4004">
        <v>7018.5</v>
      </c>
      <c r="E535" s="4" vm="4005">
        <v>1287.3</v>
      </c>
      <c r="F535" s="4" vm="4006">
        <v>338.1</v>
      </c>
      <c r="G535" s="4" vm="4007">
        <v>105.69</v>
      </c>
      <c r="H535" s="4">
        <f t="shared" si="9"/>
        <v>0</v>
      </c>
    </row>
    <row r="536" spans="1:8" x14ac:dyDescent="0.3">
      <c r="A536" vm="1064">
        <v>45953</v>
      </c>
      <c r="B536" s="4" vm="1065">
        <v>25891.4</v>
      </c>
      <c r="C536" s="4" vm="4008">
        <v>1852.7</v>
      </c>
      <c r="D536" s="4" vm="4009">
        <v>6884.5</v>
      </c>
      <c r="E536" s="4" vm="4010">
        <v>1272.8</v>
      </c>
      <c r="F536" s="4" vm="4011">
        <v>328.35</v>
      </c>
      <c r="G536" s="4" vm="4012">
        <v>101.7</v>
      </c>
      <c r="H536" s="4">
        <f t="shared" si="9"/>
        <v>0</v>
      </c>
    </row>
    <row r="537" spans="1:8" x14ac:dyDescent="0.3">
      <c r="A537" vm="1066">
        <v>45954</v>
      </c>
      <c r="B537" s="4" vm="1067">
        <v>25795.15</v>
      </c>
      <c r="C537" s="4" vm="4013">
        <v>1839.8</v>
      </c>
      <c r="D537" s="4" vm="4014">
        <v>6840</v>
      </c>
      <c r="E537" s="4" vm="4015">
        <v>1282</v>
      </c>
      <c r="F537" s="4" vm="4016">
        <v>326.60000000000002</v>
      </c>
      <c r="G537" s="4" vm="4017">
        <v>100.42</v>
      </c>
      <c r="H537" s="4">
        <f t="shared" si="9"/>
        <v>0</v>
      </c>
    </row>
    <row r="538" spans="1:8" x14ac:dyDescent="0.3">
      <c r="A538" vm="1068">
        <v>45957</v>
      </c>
      <c r="B538" s="4" vm="1069">
        <v>25966.05</v>
      </c>
      <c r="C538" s="4" vm="4018">
        <v>1903.1</v>
      </c>
      <c r="D538" s="4" vm="4019">
        <v>6906.5</v>
      </c>
      <c r="E538" s="4" vm="4020">
        <v>1283</v>
      </c>
      <c r="F538" s="4" vm="4021">
        <v>333.7</v>
      </c>
      <c r="G538" s="4" vm="4022">
        <v>100.14</v>
      </c>
      <c r="H538" s="4">
        <f t="shared" si="9"/>
        <v>0</v>
      </c>
    </row>
    <row r="539" spans="1:8" x14ac:dyDescent="0.3">
      <c r="A539" vm="1070">
        <v>45958</v>
      </c>
      <c r="B539" s="4" vm="1071">
        <v>25936.2</v>
      </c>
      <c r="C539" s="4" vm="4023">
        <v>1936.8</v>
      </c>
      <c r="D539" s="4" vm="4024">
        <v>7002.5</v>
      </c>
      <c r="E539" s="4" vm="4025">
        <v>1271</v>
      </c>
      <c r="F539" s="4" vm="4026">
        <v>334.6</v>
      </c>
      <c r="G539" s="4" vm="4027">
        <v>96.84</v>
      </c>
      <c r="H539" s="4">
        <f t="shared" si="9"/>
        <v>0</v>
      </c>
    </row>
    <row r="540" spans="1:8" x14ac:dyDescent="0.3">
      <c r="A540" vm="1072">
        <v>45959</v>
      </c>
      <c r="B540" s="4" vm="1073">
        <v>26053.9</v>
      </c>
      <c r="C540" s="4" vm="4028">
        <v>1970.4</v>
      </c>
      <c r="D540" s="4" vm="4029">
        <v>6952</v>
      </c>
      <c r="E540" s="4" vm="4030">
        <v>1273</v>
      </c>
      <c r="F540" s="4" vm="4031">
        <v>330.45</v>
      </c>
      <c r="G540" s="4" vm="1561">
        <v>99.95</v>
      </c>
      <c r="H540" s="4">
        <f t="shared" si="9"/>
        <v>0</v>
      </c>
    </row>
    <row r="541" spans="1:8" x14ac:dyDescent="0.3">
      <c r="A541" vm="1074">
        <v>45960</v>
      </c>
      <c r="B541" s="4" vm="1075">
        <v>25877.85</v>
      </c>
      <c r="C541" s="4" vm="4032">
        <v>1968.4</v>
      </c>
      <c r="D541" s="4" vm="4033">
        <v>6889</v>
      </c>
      <c r="E541" s="4" vm="4034">
        <v>1279.9000000000001</v>
      </c>
      <c r="F541" s="4" vm="4035">
        <v>329.35</v>
      </c>
      <c r="G541" s="4" vm="4036">
        <v>99.68</v>
      </c>
      <c r="H541" s="4">
        <f t="shared" si="9"/>
        <v>0</v>
      </c>
    </row>
    <row r="542" spans="1:8" x14ac:dyDescent="0.3">
      <c r="A542" vm="1076">
        <v>45961</v>
      </c>
      <c r="B542" s="4" vm="1077">
        <v>25722.1</v>
      </c>
      <c r="C542" s="4" vm="4037">
        <v>1955.7</v>
      </c>
      <c r="D542" s="4" vm="4038">
        <v>7007</v>
      </c>
      <c r="E542" s="4" vm="4039">
        <v>1271.5999999999999</v>
      </c>
      <c r="F542" s="4" vm="4040">
        <v>317.75</v>
      </c>
      <c r="G542" s="4" vm="4041">
        <v>100.02</v>
      </c>
      <c r="H542" s="4">
        <f t="shared" si="9"/>
        <v>0</v>
      </c>
    </row>
    <row r="543" spans="1:8" x14ac:dyDescent="0.3">
      <c r="A543" vm="1078">
        <v>45964</v>
      </c>
      <c r="B543" s="4" vm="1079">
        <v>25763.35</v>
      </c>
      <c r="C543" s="4" vm="4042">
        <v>1969.6</v>
      </c>
      <c r="D543" s="4" vm="4043">
        <v>7023.5</v>
      </c>
      <c r="E543" s="4" vm="4044">
        <v>1266.7</v>
      </c>
      <c r="F543" s="4" vm="4045">
        <v>322.60000000000002</v>
      </c>
      <c r="G543" s="4" vm="1497">
        <v>100.05</v>
      </c>
      <c r="H543" s="4">
        <f t="shared" si="9"/>
        <v>0</v>
      </c>
    </row>
    <row r="544" spans="1:8" x14ac:dyDescent="0.3">
      <c r="A544" vm="1080">
        <v>45965</v>
      </c>
      <c r="B544" s="4" vm="1081">
        <v>25597.65</v>
      </c>
      <c r="C544" s="4" vm="4046">
        <v>1971.5</v>
      </c>
      <c r="D544" s="4" vm="4047">
        <v>6930</v>
      </c>
      <c r="E544" s="4" vm="4048">
        <v>1265</v>
      </c>
      <c r="F544" s="4" vm="4049">
        <v>313.5</v>
      </c>
      <c r="G544" s="4" vm="4050">
        <v>99.8</v>
      </c>
      <c r="H544" s="4">
        <f t="shared" si="9"/>
        <v>0</v>
      </c>
    </row>
    <row r="545" spans="1:8" x14ac:dyDescent="0.3">
      <c r="A545" vm="1082">
        <v>45967</v>
      </c>
      <c r="B545" s="4" vm="1083">
        <v>25509.7</v>
      </c>
      <c r="C545" s="4" vm="4051">
        <v>1970.8</v>
      </c>
      <c r="D545" s="4" vm="4052">
        <v>6806.5</v>
      </c>
      <c r="E545" s="4" vm="4053">
        <v>1266.0999999999999</v>
      </c>
      <c r="F545" s="4" vm="4054">
        <v>305.64999999999998</v>
      </c>
      <c r="G545" s="4" vm="4055">
        <v>100.07</v>
      </c>
      <c r="H545" s="4">
        <f t="shared" si="9"/>
        <v>0</v>
      </c>
    </row>
    <row r="546" spans="1:8" x14ac:dyDescent="0.3">
      <c r="A546" vm="1084">
        <v>45968</v>
      </c>
      <c r="B546" s="4" vm="1085">
        <v>25492.3</v>
      </c>
      <c r="C546" s="4" vm="4056">
        <v>1998.9</v>
      </c>
      <c r="D546" s="4" vm="4057">
        <v>6886</v>
      </c>
      <c r="E546" s="4" vm="4058">
        <v>1262.7</v>
      </c>
      <c r="F546" s="4" vm="4059">
        <v>306.10000000000002</v>
      </c>
      <c r="G546" s="4" vm="4060">
        <v>99.94</v>
      </c>
      <c r="H546" s="4">
        <f t="shared" si="9"/>
        <v>0</v>
      </c>
    </row>
    <row r="547" spans="1:8" x14ac:dyDescent="0.3">
      <c r="A547" vm="1086">
        <v>45971</v>
      </c>
      <c r="B547" s="4" vm="1087">
        <v>25574.35</v>
      </c>
      <c r="C547" s="4" vm="4061">
        <v>1989.3</v>
      </c>
      <c r="D547" s="4" vm="4062">
        <v>6866.5</v>
      </c>
      <c r="E547" s="4" vm="4063">
        <v>1262.9000000000001</v>
      </c>
      <c r="F547" s="4" vm="4064">
        <v>301.45</v>
      </c>
      <c r="G547" s="4" vm="4012">
        <v>101.7</v>
      </c>
      <c r="H547" s="4">
        <f t="shared" si="9"/>
        <v>0</v>
      </c>
    </row>
    <row r="548" spans="1:8" x14ac:dyDescent="0.3">
      <c r="A548" vm="1088">
        <v>45972</v>
      </c>
      <c r="B548" s="4" vm="1089">
        <v>25694.95</v>
      </c>
      <c r="C548" s="4" vm="4065">
        <v>1997.3</v>
      </c>
      <c r="D548" s="4" vm="4066">
        <v>6873</v>
      </c>
      <c r="E548" s="4" vm="2189">
        <v>1268.0999999999999</v>
      </c>
      <c r="F548" s="4" vm="4067">
        <v>305.8</v>
      </c>
      <c r="G548" s="4" vm="4068">
        <v>103.29</v>
      </c>
      <c r="H548" s="4">
        <f t="shared" si="9"/>
        <v>0</v>
      </c>
    </row>
    <row r="549" spans="1:8" x14ac:dyDescent="0.3">
      <c r="A549" vm="1090">
        <v>45973</v>
      </c>
      <c r="B549" s="4" vm="1091">
        <v>25875.8</v>
      </c>
      <c r="C549" s="4" vm="4069">
        <v>1996.7</v>
      </c>
      <c r="D549" s="4" vm="4070">
        <v>6879</v>
      </c>
      <c r="E549" s="4" vm="4071">
        <v>1278.2</v>
      </c>
      <c r="F549" s="4" vm="4072">
        <v>308.8</v>
      </c>
      <c r="G549" s="4" vm="4073">
        <v>102.69</v>
      </c>
      <c r="H549" s="4">
        <f t="shared" si="9"/>
        <v>0</v>
      </c>
    </row>
    <row r="550" spans="1:8" x14ac:dyDescent="0.3">
      <c r="A550" vm="1092">
        <v>45974</v>
      </c>
      <c r="B550" s="4" vm="1093">
        <v>25879.15</v>
      </c>
      <c r="C550" s="4" vm="4074">
        <v>1987.9</v>
      </c>
      <c r="D550" s="4" vm="4075">
        <v>6855</v>
      </c>
      <c r="E550" s="4" vm="4076">
        <v>1275.2</v>
      </c>
      <c r="F550" s="4" vm="4077">
        <v>297.75</v>
      </c>
      <c r="G550" s="4" vm="3993">
        <v>105.37</v>
      </c>
      <c r="H550" s="4">
        <f t="shared" si="9"/>
        <v>0</v>
      </c>
    </row>
    <row r="551" spans="1:8" x14ac:dyDescent="0.3">
      <c r="A551" vm="1094">
        <v>45975</v>
      </c>
      <c r="B551" s="4" vm="1095">
        <v>25910.05</v>
      </c>
      <c r="C551" s="4" vm="4078">
        <v>2000.9</v>
      </c>
      <c r="D551" s="4" vm="4079">
        <v>6695</v>
      </c>
      <c r="E551" s="4" vm="4039">
        <v>1271.5999999999999</v>
      </c>
      <c r="F551" s="4" vm="4080">
        <v>303.75</v>
      </c>
      <c r="G551" s="4" vm="4081">
        <v>103.81</v>
      </c>
      <c r="H551" s="4">
        <f t="shared" si="9"/>
        <v>0</v>
      </c>
    </row>
    <row r="552" spans="1:8" x14ac:dyDescent="0.3">
      <c r="A552" vm="1096">
        <v>45978</v>
      </c>
      <c r="B552" s="4" vm="1097">
        <v>26013.45</v>
      </c>
      <c r="C552" s="4" vm="4082">
        <v>1996</v>
      </c>
      <c r="D552" s="4" vm="4083">
        <v>6799</v>
      </c>
      <c r="E552" s="4" vm="4084">
        <v>1270.3</v>
      </c>
      <c r="F552" s="4" vm="4085">
        <v>309.55</v>
      </c>
      <c r="G552" s="4" vm="4086">
        <v>101.94</v>
      </c>
      <c r="H552" s="4">
        <f t="shared" si="9"/>
        <v>0</v>
      </c>
    </row>
    <row r="553" spans="1:8" x14ac:dyDescent="0.3">
      <c r="A553" vm="1098">
        <v>45979</v>
      </c>
      <c r="B553" s="4" vm="1095">
        <v>25910.05</v>
      </c>
      <c r="C553" s="4" vm="4087">
        <v>1993.3</v>
      </c>
      <c r="D553" s="4" vm="4088">
        <v>6814.5</v>
      </c>
      <c r="E553" s="4" vm="4089">
        <v>1265.0999999999999</v>
      </c>
      <c r="F553" s="4" vm="4090">
        <v>306.14999999999998</v>
      </c>
      <c r="G553" s="4" vm="4091">
        <v>100.91</v>
      </c>
      <c r="H553" s="4">
        <f t="shared" si="9"/>
        <v>0</v>
      </c>
    </row>
    <row r="554" spans="1:8" x14ac:dyDescent="0.3">
      <c r="A554" vm="1099">
        <v>45980</v>
      </c>
      <c r="B554" s="4" vm="1100">
        <v>26052.65</v>
      </c>
      <c r="C554" s="4" vm="4092">
        <v>2004.8</v>
      </c>
      <c r="D554" s="4" vm="3966">
        <v>6896.5</v>
      </c>
      <c r="E554" s="4" vm="4093">
        <v>1279</v>
      </c>
      <c r="F554" s="4" vm="4094">
        <v>306.60000000000002</v>
      </c>
      <c r="G554" s="4" vm="4095">
        <v>102.23</v>
      </c>
      <c r="H554" s="4">
        <f t="shared" si="9"/>
        <v>0</v>
      </c>
    </row>
    <row r="555" spans="1:8" x14ac:dyDescent="0.3">
      <c r="A555" vm="1101">
        <v>45981</v>
      </c>
      <c r="B555" s="4" vm="1102">
        <v>26192.15</v>
      </c>
      <c r="C555" s="4" vm="4096">
        <v>2027.1</v>
      </c>
      <c r="D555" s="4" vm="4097">
        <v>7125.5</v>
      </c>
      <c r="E555" s="4" vm="4098">
        <v>1279.2</v>
      </c>
      <c r="F555" s="4" vm="4099">
        <v>306.89999999999998</v>
      </c>
      <c r="G555" s="4" vm="4100">
        <v>101.55</v>
      </c>
      <c r="H555" s="4">
        <f t="shared" si="9"/>
        <v>0</v>
      </c>
    </row>
    <row r="556" spans="1:8" x14ac:dyDescent="0.3">
      <c r="A556" vm="1103">
        <v>45982</v>
      </c>
      <c r="B556" s="4" vm="1104">
        <v>26068.15</v>
      </c>
      <c r="C556" s="4" vm="4101">
        <v>2022.5</v>
      </c>
      <c r="D556" s="4" vm="4102">
        <v>7134.5</v>
      </c>
      <c r="E556" s="4" vm="4103">
        <v>1280.7</v>
      </c>
      <c r="F556" s="4" vm="4104">
        <v>301.95</v>
      </c>
      <c r="G556" s="4" vm="4105">
        <v>102</v>
      </c>
      <c r="H556" s="4">
        <f t="shared" si="9"/>
        <v>0</v>
      </c>
    </row>
    <row r="557" spans="1:8" x14ac:dyDescent="0.3">
      <c r="A557" vm="1105">
        <v>45985</v>
      </c>
      <c r="B557" s="4" vm="1106">
        <v>25959.5</v>
      </c>
      <c r="C557" s="4" vm="4106">
        <v>2014.8</v>
      </c>
      <c r="D557" s="4" vm="4107">
        <v>7258.5</v>
      </c>
      <c r="E557" s="4" vm="4108">
        <v>1269.2</v>
      </c>
      <c r="F557" s="4" vm="4109">
        <v>301</v>
      </c>
      <c r="G557" s="4" vm="4095">
        <v>102.23</v>
      </c>
      <c r="H557" s="4">
        <f t="shared" si="9"/>
        <v>0</v>
      </c>
    </row>
    <row r="558" spans="1:8" x14ac:dyDescent="0.3">
      <c r="A558" vm="1107">
        <v>45986</v>
      </c>
      <c r="B558" s="4" vm="1108">
        <v>25884.799999999999</v>
      </c>
      <c r="C558" s="4" vm="4110">
        <v>2031</v>
      </c>
      <c r="D558" s="4" vm="4111">
        <v>7218.5</v>
      </c>
      <c r="E558" s="4" vm="4112">
        <v>1263.2</v>
      </c>
      <c r="F558" s="4" vm="4113">
        <v>302.3</v>
      </c>
      <c r="G558" s="4" vm="4114">
        <v>103.46</v>
      </c>
      <c r="H558" s="4">
        <f t="shared" si="9"/>
        <v>0</v>
      </c>
    </row>
    <row r="559" spans="1:8" x14ac:dyDescent="0.3">
      <c r="A559" vm="1109">
        <v>45987</v>
      </c>
      <c r="B559" s="4" vm="1110">
        <v>26205.3</v>
      </c>
      <c r="C559" s="4" vm="4115">
        <v>2029.1</v>
      </c>
      <c r="D559" s="4" vm="4116">
        <v>7198.5</v>
      </c>
      <c r="E559" s="4" vm="4117">
        <v>1276.8</v>
      </c>
      <c r="F559" s="4" vm="4118">
        <v>306.85000000000002</v>
      </c>
      <c r="G559" s="4" vm="4119">
        <v>104.18</v>
      </c>
      <c r="H559" s="4">
        <f t="shared" si="9"/>
        <v>0</v>
      </c>
    </row>
    <row r="560" spans="1:8" x14ac:dyDescent="0.3">
      <c r="A560" vm="1111">
        <v>45988</v>
      </c>
      <c r="B560" s="4" vm="1112">
        <v>26215.55</v>
      </c>
      <c r="C560" s="4" vm="4120">
        <v>2004.5</v>
      </c>
      <c r="D560" s="4" vm="4121">
        <v>6999</v>
      </c>
      <c r="E560" s="4" vm="4122">
        <v>1266.4000000000001</v>
      </c>
      <c r="F560" s="4" vm="4123">
        <v>302.75</v>
      </c>
      <c r="G560" s="4" vm="4124">
        <v>104.11</v>
      </c>
      <c r="H560" s="4">
        <f t="shared" si="9"/>
        <v>0</v>
      </c>
    </row>
    <row r="561" spans="1:8" x14ac:dyDescent="0.3">
      <c r="A561" vm="1113">
        <v>45989</v>
      </c>
      <c r="B561" s="4" vm="1114">
        <v>26202.95</v>
      </c>
      <c r="C561" s="4" vm="4125">
        <v>1966</v>
      </c>
      <c r="D561" s="4" vm="4126">
        <v>7053.5</v>
      </c>
      <c r="E561" s="4" vm="4127">
        <v>1261.0999999999999</v>
      </c>
      <c r="F561" s="4" vm="4128">
        <v>300.10000000000002</v>
      </c>
      <c r="G561" s="4" vm="4129">
        <v>104.62</v>
      </c>
      <c r="H561" s="4">
        <f t="shared" si="9"/>
        <v>0</v>
      </c>
    </row>
    <row r="562" spans="1:8" x14ac:dyDescent="0.3">
      <c r="A562" vm="1115">
        <v>45992</v>
      </c>
      <c r="B562" s="4" vm="1116">
        <v>26175.75</v>
      </c>
      <c r="C562" s="4" vm="4130">
        <v>1971.6</v>
      </c>
      <c r="D562" s="4" vm="4097">
        <v>7125.5</v>
      </c>
      <c r="E562" s="4" vm="4131">
        <v>1260.5999999999999</v>
      </c>
      <c r="F562" s="4" vm="4132">
        <v>301.5</v>
      </c>
      <c r="G562" s="4" vm="4133">
        <v>106.72</v>
      </c>
      <c r="H562" s="4">
        <f t="shared" si="9"/>
        <v>0</v>
      </c>
    </row>
    <row r="563" spans="1:8" x14ac:dyDescent="0.3">
      <c r="A563" vm="1117">
        <v>45993</v>
      </c>
      <c r="B563" s="4" vm="1118">
        <v>26032.2</v>
      </c>
      <c r="C563" s="4" vm="4134">
        <v>1981.5</v>
      </c>
      <c r="D563" s="4" vm="4135">
        <v>7112.5</v>
      </c>
      <c r="E563" s="4" vm="4136">
        <v>1258.9000000000001</v>
      </c>
      <c r="F563" s="4" vm="4137">
        <v>300.55</v>
      </c>
      <c r="G563" s="4" vm="4138">
        <v>105.63</v>
      </c>
      <c r="H563" s="4">
        <f t="shared" si="9"/>
        <v>0</v>
      </c>
    </row>
    <row r="564" spans="1:8" x14ac:dyDescent="0.3">
      <c r="A564" vm="1119">
        <v>45994</v>
      </c>
      <c r="B564" s="4" vm="1120">
        <v>25986</v>
      </c>
      <c r="C564" s="4" vm="4139">
        <v>1972.8</v>
      </c>
      <c r="D564" s="4" vm="4140">
        <v>7081.5</v>
      </c>
      <c r="E564" s="4" vm="4141">
        <v>1241.9000000000001</v>
      </c>
      <c r="F564" s="4" vm="4077">
        <v>297.75</v>
      </c>
      <c r="G564" s="4" vm="4142">
        <v>106.51</v>
      </c>
      <c r="H564" s="4">
        <f t="shared" si="9"/>
        <v>0</v>
      </c>
    </row>
    <row r="565" spans="1:8" x14ac:dyDescent="0.3">
      <c r="A565" vm="1121">
        <v>45995</v>
      </c>
      <c r="B565" s="4" vm="1122">
        <v>26033.75</v>
      </c>
      <c r="C565" s="4" vm="4143">
        <v>2002.9</v>
      </c>
      <c r="D565" s="4" vm="4144">
        <v>7100</v>
      </c>
      <c r="E565" s="4" vm="4145">
        <v>1242.4000000000001</v>
      </c>
      <c r="F565" s="4" vm="4146">
        <v>295.75</v>
      </c>
      <c r="G565" s="4" vm="4147">
        <v>105.92</v>
      </c>
      <c r="H565" s="4">
        <f t="shared" si="9"/>
        <v>0</v>
      </c>
    </row>
    <row r="566" spans="1:8" x14ac:dyDescent="0.3">
      <c r="A566" vm="1123">
        <v>45996</v>
      </c>
      <c r="B566" s="4" vm="1124">
        <v>26186.45</v>
      </c>
      <c r="C566" s="4" vm="4148">
        <v>2023.7</v>
      </c>
      <c r="D566" s="4" vm="4149">
        <v>7208</v>
      </c>
      <c r="E566" s="4" vm="4150">
        <v>1246.9000000000001</v>
      </c>
      <c r="F566" s="4" vm="4151">
        <v>292.39999999999998</v>
      </c>
      <c r="G566" s="4" vm="4152">
        <v>106.89</v>
      </c>
      <c r="H566" s="4">
        <f t="shared" si="9"/>
        <v>0</v>
      </c>
    </row>
    <row r="567" spans="1:8" x14ac:dyDescent="0.3">
      <c r="A567" vm="1125">
        <v>45999</v>
      </c>
      <c r="B567" s="4" vm="1126">
        <v>25960.55</v>
      </c>
      <c r="C567" s="4" vm="4153">
        <v>2020.7</v>
      </c>
      <c r="D567" s="4" vm="4154">
        <v>7142</v>
      </c>
      <c r="E567" s="4" vm="4155">
        <v>1214.8</v>
      </c>
      <c r="F567" s="4" vm="4156">
        <v>285.25</v>
      </c>
      <c r="G567" s="4" vm="4157">
        <v>106.85</v>
      </c>
      <c r="H567" s="4">
        <f t="shared" si="9"/>
        <v>0</v>
      </c>
    </row>
    <row r="568" spans="1:8" x14ac:dyDescent="0.3">
      <c r="A568" vm="1127">
        <v>46000</v>
      </c>
      <c r="B568" s="4" vm="1128">
        <v>25839.65</v>
      </c>
      <c r="C568" s="4" vm="4158">
        <v>2006.2</v>
      </c>
      <c r="D568" s="4" vm="4159">
        <v>7123</v>
      </c>
      <c r="E568" s="4" vm="4160">
        <v>1215.8</v>
      </c>
      <c r="F568" s="4" vm="2716">
        <v>291.7</v>
      </c>
      <c r="G568" s="4" vm="4161">
        <v>106.28</v>
      </c>
      <c r="H568" s="4">
        <f t="shared" si="9"/>
        <v>0</v>
      </c>
    </row>
    <row r="569" spans="1:8" x14ac:dyDescent="0.3">
      <c r="A569" vm="1129">
        <v>46001</v>
      </c>
      <c r="B569" s="4" vm="1130">
        <v>25758</v>
      </c>
      <c r="C569" s="4" vm="4162">
        <v>2014.5</v>
      </c>
      <c r="D569" s="4" vm="4163">
        <v>7228.5</v>
      </c>
      <c r="E569" s="4" vm="4164">
        <v>1209.3</v>
      </c>
      <c r="F569" s="4" vm="4165">
        <v>283.25</v>
      </c>
      <c r="G569" s="4" vm="4166">
        <v>106.23</v>
      </c>
      <c r="H569" s="4">
        <f t="shared" si="9"/>
        <v>0</v>
      </c>
    </row>
    <row r="570" spans="1:8" x14ac:dyDescent="0.3">
      <c r="A570" vm="1131">
        <v>46002</v>
      </c>
      <c r="B570" s="4" vm="1132">
        <v>25898.55</v>
      </c>
      <c r="C570" s="4" vm="4167">
        <v>2006.9</v>
      </c>
      <c r="D570" s="4" vm="4168">
        <v>7256</v>
      </c>
      <c r="E570" s="4" vm="4169">
        <v>1215</v>
      </c>
      <c r="F570" s="4" vm="4170">
        <v>290.95</v>
      </c>
      <c r="G570" s="4" vm="4171">
        <v>107.15</v>
      </c>
      <c r="H570" s="4">
        <f t="shared" si="9"/>
        <v>0</v>
      </c>
    </row>
    <row r="571" spans="1:8" x14ac:dyDescent="0.3">
      <c r="A571" vm="1133">
        <v>46003</v>
      </c>
      <c r="B571" s="4" vm="1134">
        <v>26046.95</v>
      </c>
      <c r="C571" s="4" vm="4172">
        <v>2025.9</v>
      </c>
      <c r="D571" s="4" vm="4173">
        <v>7229</v>
      </c>
      <c r="E571" s="4" vm="4174">
        <v>1238.3</v>
      </c>
      <c r="F571" s="4" vm="4175">
        <v>298.05</v>
      </c>
      <c r="G571" s="4" vm="4176">
        <v>109.61</v>
      </c>
      <c r="H571" s="4">
        <f t="shared" si="9"/>
        <v>0</v>
      </c>
    </row>
    <row r="572" spans="1:8" x14ac:dyDescent="0.3">
      <c r="A572" vm="1135">
        <v>46006</v>
      </c>
      <c r="B572" s="4" vm="1136">
        <v>26027.3</v>
      </c>
      <c r="C572" s="4" vm="4177">
        <v>2034.9</v>
      </c>
      <c r="D572" s="4" vm="4178">
        <v>7121.5</v>
      </c>
      <c r="E572" s="4" vm="2001">
        <v>1243.5</v>
      </c>
      <c r="F572" s="4" vm="4179">
        <v>298.45</v>
      </c>
      <c r="G572" s="4" vm="4180">
        <v>110.95</v>
      </c>
      <c r="H572" s="4">
        <f t="shared" si="9"/>
        <v>0</v>
      </c>
    </row>
    <row r="573" spans="1:8" x14ac:dyDescent="0.3">
      <c r="A573" vm="1137">
        <v>46007</v>
      </c>
      <c r="B573" s="4" vm="1138">
        <v>25860.1</v>
      </c>
      <c r="C573" s="4" vm="4181">
        <v>2036</v>
      </c>
      <c r="D573" s="4" vm="4182">
        <v>7061.5</v>
      </c>
      <c r="E573" s="4" vm="4183">
        <v>1240.5999999999999</v>
      </c>
      <c r="F573" s="4" vm="4184">
        <v>284.45</v>
      </c>
      <c r="G573" s="4" vm="4185">
        <v>109.56</v>
      </c>
      <c r="H573" s="4">
        <f t="shared" si="9"/>
        <v>0</v>
      </c>
    </row>
    <row r="574" spans="1:8" x14ac:dyDescent="0.3">
      <c r="A574" vm="1139">
        <v>46008</v>
      </c>
      <c r="B574" s="4" vm="1140">
        <v>25818.55</v>
      </c>
      <c r="C574" s="4" vm="4186">
        <v>2010.2</v>
      </c>
      <c r="D574" s="4" vm="4102">
        <v>7134.5</v>
      </c>
      <c r="E574" s="4" vm="4187">
        <v>1234.5999999999999</v>
      </c>
      <c r="F574" s="4" vm="4184">
        <v>284.45</v>
      </c>
      <c r="G574" s="4" vm="4188">
        <v>109.99</v>
      </c>
      <c r="H574" s="4">
        <f t="shared" si="9"/>
        <v>0</v>
      </c>
    </row>
    <row r="575" spans="1:8" x14ac:dyDescent="0.3">
      <c r="A575" vm="1141">
        <v>46009</v>
      </c>
      <c r="B575" s="4" vm="1142">
        <v>25815.55</v>
      </c>
      <c r="C575" s="4" vm="4189">
        <v>2014.4</v>
      </c>
      <c r="D575" s="4" vm="4190">
        <v>7106.5</v>
      </c>
      <c r="E575" s="4" vm="4191">
        <v>1233.5</v>
      </c>
      <c r="F575" s="4" vm="4192">
        <v>284.75</v>
      </c>
      <c r="G575" s="4" vm="4193">
        <v>109.88</v>
      </c>
      <c r="H575" s="4">
        <f t="shared" si="9"/>
        <v>0</v>
      </c>
    </row>
    <row r="576" spans="1:8" x14ac:dyDescent="0.3">
      <c r="A576" vm="1143">
        <v>46010</v>
      </c>
      <c r="B576" s="4" vm="1144">
        <v>25966.400000000001</v>
      </c>
      <c r="C576" s="4" vm="4194">
        <v>2028.4</v>
      </c>
      <c r="D576" s="4" vm="4195">
        <v>7217</v>
      </c>
      <c r="E576" s="4" vm="4196">
        <v>1244.4000000000001</v>
      </c>
      <c r="F576" s="4" vm="4197">
        <v>286.05</v>
      </c>
      <c r="G576" s="4" vm="4198">
        <v>109.82</v>
      </c>
      <c r="H576" s="4">
        <f t="shared" si="9"/>
        <v>0</v>
      </c>
    </row>
    <row r="577" spans="1:8" x14ac:dyDescent="0.3">
      <c r="A577" vm="1145">
        <v>46013</v>
      </c>
      <c r="B577" s="4" vm="1146">
        <v>26172.400000000001</v>
      </c>
      <c r="C577" s="4" vm="4199">
        <v>2022.3</v>
      </c>
      <c r="D577" s="4" vm="4200">
        <v>7291.5</v>
      </c>
      <c r="E577" s="4" vm="4201">
        <v>1257.2</v>
      </c>
      <c r="F577" s="4" vm="4202">
        <v>286.7</v>
      </c>
      <c r="G577" s="4" vm="4203">
        <v>111.39</v>
      </c>
      <c r="H577" s="4">
        <f t="shared" si="9"/>
        <v>0</v>
      </c>
    </row>
    <row r="578" spans="1:8" x14ac:dyDescent="0.3">
      <c r="A578" vm="1147">
        <v>46014</v>
      </c>
      <c r="B578" s="4" vm="1148">
        <v>26177.15</v>
      </c>
      <c r="C578" s="4" vm="4204">
        <v>2024.8</v>
      </c>
      <c r="D578" s="4" vm="4205">
        <v>7303</v>
      </c>
      <c r="E578" s="4" vm="4206">
        <v>1256.5</v>
      </c>
      <c r="F578" s="4" vm="4207">
        <v>284.35000000000002</v>
      </c>
      <c r="G578" s="4" vm="4208">
        <v>113.1</v>
      </c>
      <c r="H578" s="4">
        <f t="shared" si="9"/>
        <v>0</v>
      </c>
    </row>
    <row r="579" spans="1:8" x14ac:dyDescent="0.3">
      <c r="A579" vm="1149">
        <v>46015</v>
      </c>
      <c r="B579" s="4" vm="1150">
        <v>26142.1</v>
      </c>
      <c r="C579" s="4" vm="4209">
        <v>2025.4</v>
      </c>
      <c r="D579" s="4" vm="4210">
        <v>7312.5</v>
      </c>
      <c r="E579" s="4" vm="4211">
        <v>1259.7</v>
      </c>
      <c r="F579" s="4" vm="4212">
        <v>284.85000000000002</v>
      </c>
      <c r="G579" s="4" vm="4213">
        <v>113.21</v>
      </c>
      <c r="H579" s="4">
        <f t="shared" si="9"/>
        <v>0</v>
      </c>
    </row>
    <row r="580" spans="1:8" x14ac:dyDescent="0.3">
      <c r="A580" vm="1151">
        <v>46017</v>
      </c>
      <c r="B580" s="4" vm="1152">
        <v>26042.3</v>
      </c>
      <c r="C580" s="4" vm="4214">
        <v>2019.1</v>
      </c>
      <c r="D580" s="4" vm="4215">
        <v>7324</v>
      </c>
      <c r="E580" s="4" vm="4216">
        <v>1272.5999999999999</v>
      </c>
      <c r="F580" s="4" vm="4217">
        <v>281.75</v>
      </c>
      <c r="G580" s="4" vm="4218">
        <v>114.31</v>
      </c>
      <c r="H580" s="4">
        <f t="shared" si="9"/>
        <v>0</v>
      </c>
    </row>
    <row r="581" spans="1:8" x14ac:dyDescent="0.3">
      <c r="A581" vm="1153">
        <v>46020</v>
      </c>
      <c r="B581" s="4" vm="1154">
        <v>25942.1</v>
      </c>
      <c r="C581" s="4" vm="4219">
        <v>2009.8</v>
      </c>
      <c r="D581" s="4" vm="4220">
        <v>7272</v>
      </c>
      <c r="E581" s="4" vm="4221">
        <v>1280</v>
      </c>
      <c r="F581" s="4" vm="4222">
        <v>282.85000000000002</v>
      </c>
      <c r="G581" s="4" vm="4223">
        <v>113.03</v>
      </c>
      <c r="H581" s="4">
        <f t="shared" ref="H581:H644" si="10">SUMPRODUCT($C$3:$G$3,C581:G581)</f>
        <v>0</v>
      </c>
    </row>
    <row r="582" spans="1:8" x14ac:dyDescent="0.3">
      <c r="A582" vm="1155">
        <v>46021</v>
      </c>
      <c r="B582" s="4" vm="1156">
        <v>25938.85</v>
      </c>
      <c r="C582" s="4" vm="4224">
        <v>1995.5</v>
      </c>
      <c r="D582" s="4" vm="4225">
        <v>7192.5</v>
      </c>
      <c r="E582" s="4" vm="2376">
        <v>1274.0999999999999</v>
      </c>
      <c r="F582" s="4" vm="4226">
        <v>277.10000000000002</v>
      </c>
      <c r="G582" s="4" vm="4227">
        <v>111.17</v>
      </c>
      <c r="H582" s="4">
        <f t="shared" si="10"/>
        <v>0</v>
      </c>
    </row>
    <row r="583" spans="1:8" x14ac:dyDescent="0.3">
      <c r="A583" vm="1157">
        <v>46022</v>
      </c>
      <c r="B583" s="4" vm="1158">
        <v>26129.599999999999</v>
      </c>
      <c r="C583" s="4" vm="4177">
        <v>2034.9</v>
      </c>
      <c r="D583" s="4" vm="4210">
        <v>7312.5</v>
      </c>
      <c r="E583" s="4" vm="4228">
        <v>1288</v>
      </c>
      <c r="F583" s="4" vm="3033">
        <v>278.05</v>
      </c>
      <c r="G583" s="4" vm="4229">
        <v>110.11</v>
      </c>
      <c r="H583" s="4">
        <f t="shared" si="10"/>
        <v>0</v>
      </c>
    </row>
    <row r="584" spans="1:8" x14ac:dyDescent="0.3">
      <c r="A584" vm="1159">
        <v>46023</v>
      </c>
      <c r="B584" s="4" vm="1160">
        <v>26146.55</v>
      </c>
      <c r="C584" s="4" vm="4230">
        <v>2040.4</v>
      </c>
      <c r="D584" s="4" vm="4231">
        <v>7348</v>
      </c>
      <c r="E584" s="4" vm="4232">
        <v>1295</v>
      </c>
      <c r="F584" s="4" vm="4233">
        <v>283.8</v>
      </c>
      <c r="G584" s="4" vm="4234">
        <v>110.52</v>
      </c>
      <c r="H584" s="4">
        <f t="shared" si="10"/>
        <v>0</v>
      </c>
    </row>
    <row r="585" spans="1:8" x14ac:dyDescent="0.3">
      <c r="A585" vm="1161">
        <v>46024</v>
      </c>
      <c r="B585" s="4" vm="1162">
        <v>26328.55</v>
      </c>
      <c r="C585" s="4" vm="4235">
        <v>2067.4</v>
      </c>
      <c r="D585" s="4" vm="4236">
        <v>7334.5</v>
      </c>
      <c r="E585" s="4" vm="4237">
        <v>1279.7</v>
      </c>
      <c r="F585" s="4" vm="4238">
        <v>284.14999999999998</v>
      </c>
      <c r="G585" s="4" vm="4239">
        <v>111.82</v>
      </c>
      <c r="H585" s="4">
        <f t="shared" si="10"/>
        <v>0</v>
      </c>
    </row>
    <row r="586" spans="1:8" x14ac:dyDescent="0.3">
      <c r="A586" vm="1163">
        <v>46027</v>
      </c>
      <c r="B586" s="4" vm="1164">
        <v>26250.3</v>
      </c>
      <c r="C586" s="4" vm="4240">
        <v>2075.6</v>
      </c>
      <c r="D586" s="4" vm="4241">
        <v>7482.5</v>
      </c>
      <c r="E586" s="4" vm="4242">
        <v>1314.6</v>
      </c>
      <c r="F586" s="4" vm="4243">
        <v>281.8</v>
      </c>
      <c r="G586" s="4" vm="4244">
        <v>112.92</v>
      </c>
      <c r="H586" s="4">
        <f t="shared" si="10"/>
        <v>0</v>
      </c>
    </row>
    <row r="587" spans="1:8" x14ac:dyDescent="0.3">
      <c r="A587" vm="1165">
        <v>46028</v>
      </c>
      <c r="B587" s="4" vm="1166">
        <v>26178.7</v>
      </c>
      <c r="C587" s="4" vm="4245">
        <v>2095.8000000000002</v>
      </c>
      <c r="D587" s="4" vm="4246">
        <v>7522.5</v>
      </c>
      <c r="E587" s="4" vm="4247">
        <v>1319.9</v>
      </c>
      <c r="F587" s="4" vm="4248">
        <v>279.05</v>
      </c>
      <c r="G587" s="4" vm="4249">
        <v>113.14</v>
      </c>
      <c r="H587" s="4">
        <f t="shared" si="10"/>
        <v>0</v>
      </c>
    </row>
    <row r="588" spans="1:8" x14ac:dyDescent="0.3">
      <c r="A588" vm="1167">
        <v>46029</v>
      </c>
      <c r="B588" s="4" vm="1168">
        <v>26140.75</v>
      </c>
      <c r="C588" s="4" vm="4250">
        <v>2070.8000000000002</v>
      </c>
      <c r="D588" s="4" vm="4251">
        <v>7582.5</v>
      </c>
      <c r="E588" s="4" vm="4252">
        <v>1314.8</v>
      </c>
      <c r="F588" s="4" vm="4253">
        <v>280.95</v>
      </c>
      <c r="G588" s="4" vm="4254">
        <v>112.91</v>
      </c>
      <c r="H588" s="4">
        <f t="shared" si="10"/>
        <v>0</v>
      </c>
    </row>
    <row r="589" spans="1:8" x14ac:dyDescent="0.3">
      <c r="A589" vm="1169">
        <v>46030</v>
      </c>
      <c r="B589" s="4" vm="1170">
        <v>25876.85</v>
      </c>
      <c r="C589" s="4" vm="4255">
        <v>2082.9</v>
      </c>
      <c r="D589" s="4" vm="4256">
        <v>7551</v>
      </c>
      <c r="E589" s="4" vm="4257">
        <v>1306.9000000000001</v>
      </c>
      <c r="F589" s="4" vm="4258">
        <v>283.55</v>
      </c>
      <c r="G589" s="4" vm="4259">
        <v>112.29</v>
      </c>
      <c r="H589" s="4">
        <f t="shared" si="10"/>
        <v>0</v>
      </c>
    </row>
    <row r="590" spans="1:8" x14ac:dyDescent="0.3">
      <c r="A590" vm="1171">
        <v>46031</v>
      </c>
      <c r="B590" s="4" vm="1172">
        <v>25683.3</v>
      </c>
      <c r="C590" s="4" vm="4260">
        <v>2070</v>
      </c>
      <c r="D590" s="4" vm="4261">
        <v>7507</v>
      </c>
      <c r="E590" s="4" vm="4262">
        <v>1299.0999999999999</v>
      </c>
      <c r="F590" s="4" vm="4207">
        <v>284.35000000000002</v>
      </c>
      <c r="G590" s="4" vm="4263">
        <v>113.61</v>
      </c>
      <c r="H590" s="4">
        <f t="shared" si="10"/>
        <v>0</v>
      </c>
    </row>
    <row r="591" spans="1:8" x14ac:dyDescent="0.3">
      <c r="A591" vm="1173">
        <v>46034</v>
      </c>
      <c r="B591" s="4" vm="1174">
        <v>25790.25</v>
      </c>
      <c r="C591" s="4" vm="4264">
        <v>2098</v>
      </c>
      <c r="D591" s="4" vm="4265">
        <v>7436</v>
      </c>
      <c r="E591" s="4" vm="4266">
        <v>1312.4</v>
      </c>
      <c r="F591" s="4" vm="4156">
        <v>285.25</v>
      </c>
      <c r="G591" s="4" vm="4267">
        <v>116.76</v>
      </c>
      <c r="H591" s="4">
        <f t="shared" si="10"/>
        <v>0</v>
      </c>
    </row>
    <row r="592" spans="1:8" x14ac:dyDescent="0.3">
      <c r="A592" vm="1175">
        <v>46035</v>
      </c>
      <c r="B592" s="4" vm="1176">
        <v>25732.3</v>
      </c>
      <c r="C592" s="4" vm="4268">
        <v>2082.4</v>
      </c>
      <c r="D592" s="4" vm="4269">
        <v>7404</v>
      </c>
      <c r="E592" s="4" vm="4270">
        <v>1318.7</v>
      </c>
      <c r="F592" s="4" vm="4271">
        <v>294.55</v>
      </c>
      <c r="G592" s="4" vm="4272">
        <v>116.37</v>
      </c>
      <c r="H592" s="4">
        <f t="shared" si="10"/>
        <v>0</v>
      </c>
    </row>
    <row r="593" spans="1:8" x14ac:dyDescent="0.3">
      <c r="A593" vm="1177">
        <v>46036</v>
      </c>
      <c r="B593" s="4" vm="1178">
        <v>25665.599999999999</v>
      </c>
      <c r="C593" s="4" vm="4273">
        <v>2068.8000000000002</v>
      </c>
      <c r="D593" s="4" vm="4274">
        <v>7358</v>
      </c>
      <c r="E593" s="4" vm="4275">
        <v>1307.0999999999999</v>
      </c>
      <c r="F593" s="4" vm="4276">
        <v>299.25</v>
      </c>
      <c r="G593" s="4" vm="4277">
        <v>118.01</v>
      </c>
      <c r="H593" s="4">
        <f t="shared" si="10"/>
        <v>0</v>
      </c>
    </row>
    <row r="594" spans="1:8" x14ac:dyDescent="0.3">
      <c r="A594" vm="1179">
        <v>46038</v>
      </c>
      <c r="B594" s="4" vm="1180">
        <v>25694.35</v>
      </c>
      <c r="C594" s="4" vm="4278">
        <v>2081</v>
      </c>
      <c r="D594" s="4" vm="4279">
        <v>7315</v>
      </c>
      <c r="E594" s="4" vm="4280">
        <v>1315.9</v>
      </c>
      <c r="F594" s="4" vm="4281">
        <v>287.7</v>
      </c>
      <c r="G594" s="4" vm="4282">
        <v>117.78</v>
      </c>
      <c r="H594" s="4">
        <f t="shared" si="10"/>
        <v>0</v>
      </c>
    </row>
    <row r="595" spans="1:8" x14ac:dyDescent="0.3">
      <c r="A595" vm="1181">
        <v>46041</v>
      </c>
      <c r="B595" s="4" vm="1182">
        <v>25585.5</v>
      </c>
      <c r="C595" s="4" vm="4283">
        <v>2073.6999999999998</v>
      </c>
      <c r="D595" s="4" vm="4284">
        <v>7323.5</v>
      </c>
      <c r="E595" s="4" vm="4285">
        <v>1315.6</v>
      </c>
      <c r="F595" s="4" vm="4286">
        <v>281.35000000000002</v>
      </c>
      <c r="G595" s="4" vm="4287">
        <v>121.1</v>
      </c>
      <c r="H595" s="4">
        <f t="shared" si="10"/>
        <v>0</v>
      </c>
    </row>
    <row r="596" spans="1:8" x14ac:dyDescent="0.3">
      <c r="A596" vm="1183">
        <v>46042</v>
      </c>
      <c r="B596" s="4" vm="1184">
        <v>25232.5</v>
      </c>
      <c r="C596" s="4" vm="4288">
        <v>2049.1</v>
      </c>
      <c r="D596" s="4" vm="4289">
        <v>7173.5</v>
      </c>
      <c r="E596" s="4" vm="4290">
        <v>1295.7</v>
      </c>
      <c r="F596" s="4" vm="4291">
        <v>269.60000000000002</v>
      </c>
      <c r="G596" s="4" vm="4292">
        <v>125.86</v>
      </c>
      <c r="H596" s="4">
        <f t="shared" si="10"/>
        <v>0</v>
      </c>
    </row>
    <row r="597" spans="1:8" x14ac:dyDescent="0.3">
      <c r="A597" vm="1185">
        <v>46043</v>
      </c>
      <c r="B597" s="4" vm="1186">
        <v>25157.5</v>
      </c>
      <c r="C597" s="4" vm="4293">
        <v>2055.4</v>
      </c>
      <c r="D597" s="4" vm="4294">
        <v>7140</v>
      </c>
      <c r="E597" s="4" vm="4295">
        <v>1283.2</v>
      </c>
      <c r="F597" s="4" vm="4296">
        <v>283.5</v>
      </c>
      <c r="G597" s="4" vm="4297">
        <v>134.97</v>
      </c>
      <c r="H597" s="4">
        <f t="shared" si="10"/>
        <v>0</v>
      </c>
    </row>
    <row r="598" spans="1:8" x14ac:dyDescent="0.3">
      <c r="A598" vm="1187">
        <v>46044</v>
      </c>
      <c r="B598" s="4" vm="1188">
        <v>25289.9</v>
      </c>
      <c r="C598" s="4" vm="4298">
        <v>2022</v>
      </c>
      <c r="D598" s="4" vm="4299">
        <v>7049</v>
      </c>
      <c r="E598" s="4" vm="4300">
        <v>1306</v>
      </c>
      <c r="F598" s="4" vm="4301">
        <v>275.89999999999998</v>
      </c>
      <c r="G598" s="4" vm="4302">
        <v>124.34</v>
      </c>
      <c r="H598" s="4">
        <f t="shared" si="10"/>
        <v>0</v>
      </c>
    </row>
    <row r="599" spans="1:8" x14ac:dyDescent="0.3">
      <c r="A599" vm="1189">
        <v>46045</v>
      </c>
      <c r="B599" s="4" vm="1190">
        <v>25048.65</v>
      </c>
      <c r="C599" s="4" vm="4303">
        <v>2002.6</v>
      </c>
      <c r="D599" s="4" vm="4304">
        <v>6973</v>
      </c>
      <c r="E599" s="4" vm="4305">
        <v>1293.8</v>
      </c>
      <c r="F599" s="4" vm="4306">
        <v>258.7</v>
      </c>
      <c r="G599" s="4" vm="4307">
        <v>127.42</v>
      </c>
      <c r="H599" s="4">
        <f t="shared" si="10"/>
        <v>0</v>
      </c>
    </row>
    <row r="600" spans="1:8" x14ac:dyDescent="0.3">
      <c r="A600" vm="1191">
        <v>46049</v>
      </c>
      <c r="B600" s="4" vm="1192">
        <v>25175.4</v>
      </c>
      <c r="C600" s="4" vm="4308">
        <v>2038.2</v>
      </c>
      <c r="D600" s="4" vm="4309">
        <v>7164.5</v>
      </c>
      <c r="E600" s="4" vm="4310">
        <v>1303.3</v>
      </c>
      <c r="F600" s="4" vm="4311">
        <v>253.85</v>
      </c>
      <c r="G600" s="4" vm="4312">
        <v>131.44999999999999</v>
      </c>
      <c r="H600" s="4">
        <f t="shared" si="10"/>
        <v>0</v>
      </c>
    </row>
    <row r="601" spans="1:8" x14ac:dyDescent="0.3">
      <c r="A601" vm="1193">
        <v>46050</v>
      </c>
      <c r="B601" s="4" vm="1194">
        <v>25342.75</v>
      </c>
      <c r="C601" s="4" vm="4313">
        <v>2053.1999999999998</v>
      </c>
      <c r="D601" s="4" vm="4314">
        <v>7071</v>
      </c>
      <c r="E601" s="4" vm="4315">
        <v>1292.4000000000001</v>
      </c>
      <c r="F601" s="4" vm="4316">
        <v>266.3</v>
      </c>
      <c r="G601" s="4" vm="4317">
        <v>135.82</v>
      </c>
      <c r="H601" s="4">
        <f t="shared" si="10"/>
        <v>0</v>
      </c>
    </row>
    <row r="602" spans="1:8" x14ac:dyDescent="0.3">
      <c r="A602" vm="1195">
        <v>46051</v>
      </c>
      <c r="B602" s="4" vm="1196">
        <v>25418.9</v>
      </c>
      <c r="C602" s="4" vm="4318">
        <v>1996.3</v>
      </c>
      <c r="D602" s="4" vm="4319">
        <v>7056.5</v>
      </c>
      <c r="E602" s="4" vm="4320">
        <v>1287.9000000000001</v>
      </c>
      <c r="F602" s="4" vm="2770">
        <v>275.35000000000002</v>
      </c>
      <c r="G602" s="4" vm="4321">
        <v>146.53</v>
      </c>
      <c r="H602" s="4">
        <f t="shared" si="10"/>
        <v>0</v>
      </c>
    </row>
    <row r="603" spans="1:8" x14ac:dyDescent="0.3">
      <c r="A603" vm="1197">
        <v>46052</v>
      </c>
      <c r="B603" s="4" vm="1198">
        <v>25320.65</v>
      </c>
      <c r="C603" s="4" vm="4322">
        <v>1998.5</v>
      </c>
      <c r="D603" s="4" vm="4323">
        <v>7122.5</v>
      </c>
      <c r="E603" s="4" vm="4324">
        <v>1332.4</v>
      </c>
      <c r="F603" s="4" vm="4325">
        <v>273.60000000000002</v>
      </c>
      <c r="G603" s="4" vm="4326">
        <v>131.12</v>
      </c>
      <c r="H603" s="4">
        <f t="shared" si="10"/>
        <v>0</v>
      </c>
    </row>
    <row r="604" spans="1:8" x14ac:dyDescent="0.3">
      <c r="A604" vm="1199">
        <v>46054</v>
      </c>
      <c r="B604" s="4" vm="1200">
        <v>24825.45</v>
      </c>
      <c r="C604" s="4" vm="4327">
        <v>1974.3</v>
      </c>
      <c r="D604" s="4" vm="4328">
        <v>6889.5</v>
      </c>
      <c r="E604" s="4" vm="4329">
        <v>1282.5</v>
      </c>
      <c r="F604" s="4" vm="4330">
        <v>269.55</v>
      </c>
      <c r="G604" s="4" vm="4331">
        <v>118.67</v>
      </c>
      <c r="H604" s="4">
        <f t="shared" si="10"/>
        <v>0</v>
      </c>
    </row>
    <row r="605" spans="1:8" x14ac:dyDescent="0.3">
      <c r="A605" vm="1201">
        <v>46055</v>
      </c>
      <c r="B605" s="4" vm="1202">
        <v>25088.400000000001</v>
      </c>
      <c r="C605" s="4" vm="4332">
        <v>2001</v>
      </c>
      <c r="D605" s="4" vm="4333">
        <v>6985.5</v>
      </c>
      <c r="E605" s="4" vm="4334">
        <v>1308.3</v>
      </c>
      <c r="F605" s="4" vm="4335">
        <v>272.64999999999998</v>
      </c>
      <c r="G605" s="4" vm="4336">
        <v>125.2</v>
      </c>
      <c r="H605" s="4">
        <f t="shared" si="10"/>
        <v>0</v>
      </c>
    </row>
    <row r="606" spans="1:8" x14ac:dyDescent="0.3">
      <c r="A606" vm="1203">
        <v>46056</v>
      </c>
      <c r="B606" s="4" vm="1204">
        <v>25727.55</v>
      </c>
      <c r="C606" s="4" vm="4337">
        <v>2002.1</v>
      </c>
      <c r="D606" s="4" vm="4338">
        <v>7215</v>
      </c>
      <c r="E606" s="4" vm="4339">
        <v>1308</v>
      </c>
      <c r="F606" s="4" vm="4340">
        <v>279.8</v>
      </c>
      <c r="G606" s="4" vm="4341">
        <v>129.6</v>
      </c>
      <c r="H606" s="4">
        <f t="shared" si="10"/>
        <v>0</v>
      </c>
    </row>
    <row r="607" spans="1:8" x14ac:dyDescent="0.3">
      <c r="A607" vm="1205">
        <v>46057</v>
      </c>
      <c r="B607" s="4" vm="1206">
        <v>25776</v>
      </c>
      <c r="C607" s="4" vm="4342">
        <v>2041.7</v>
      </c>
      <c r="D607" s="4" vm="4343">
        <v>7277.5</v>
      </c>
      <c r="E607" s="4" vm="4344">
        <v>1303.2</v>
      </c>
      <c r="F607" s="4" vm="2989">
        <v>294.14999999999998</v>
      </c>
      <c r="G607" s="4" vm="4345">
        <v>125.22</v>
      </c>
      <c r="H607" s="4">
        <f t="shared" si="10"/>
        <v>0</v>
      </c>
    </row>
    <row r="608" spans="1:8" x14ac:dyDescent="0.3">
      <c r="A608" vm="1207">
        <v>46058</v>
      </c>
      <c r="B608" s="4" vm="1208">
        <v>25642.799999999999</v>
      </c>
      <c r="C608" s="4" vm="4346">
        <v>2017.8</v>
      </c>
      <c r="D608" s="4" vm="4347">
        <v>7209.5</v>
      </c>
      <c r="E608" s="4" vm="4348">
        <v>1303.5</v>
      </c>
      <c r="F608" s="4" vm="4349">
        <v>286.85000000000002</v>
      </c>
      <c r="G608" s="4" vm="4350">
        <v>125.04</v>
      </c>
      <c r="H608" s="4">
        <f t="shared" si="10"/>
        <v>0</v>
      </c>
    </row>
    <row r="609" spans="1:8" x14ac:dyDescent="0.3">
      <c r="A609" vm="1209">
        <v>46059</v>
      </c>
      <c r="B609" s="4" vm="1210">
        <v>25693.7</v>
      </c>
      <c r="C609" s="4" vm="4069">
        <v>1996.7</v>
      </c>
      <c r="D609" s="4" vm="4351">
        <v>7177.5</v>
      </c>
      <c r="E609" s="4" vm="4310">
        <v>1303.3</v>
      </c>
      <c r="F609" s="4" vm="4258">
        <v>283.55</v>
      </c>
      <c r="G609" s="4" vm="4352">
        <v>127.98</v>
      </c>
      <c r="H609" s="4">
        <f t="shared" si="10"/>
        <v>0</v>
      </c>
    </row>
    <row r="610" spans="1:8" x14ac:dyDescent="0.3">
      <c r="A610" vm="1211">
        <v>46062</v>
      </c>
      <c r="B610" s="4" vm="1212">
        <v>25867.3</v>
      </c>
      <c r="C610" s="4" vm="4353">
        <v>2024</v>
      </c>
      <c r="D610" s="4" vm="4354">
        <v>7195.5</v>
      </c>
      <c r="E610" s="4" vm="4355">
        <v>1295.5999999999999</v>
      </c>
      <c r="F610" s="4" vm="4356">
        <v>288.85000000000002</v>
      </c>
      <c r="G610" s="4" vm="4357">
        <v>128.34</v>
      </c>
      <c r="H610" s="4">
        <f t="shared" si="10"/>
        <v>0</v>
      </c>
    </row>
    <row r="611" spans="1:8" x14ac:dyDescent="0.3">
      <c r="A611" vm="1213">
        <v>46063</v>
      </c>
      <c r="B611" s="4" vm="1214">
        <v>25935.15</v>
      </c>
      <c r="C611" s="4" vm="4358">
        <v>2018.3</v>
      </c>
      <c r="D611" s="4" vm="4359">
        <v>7296</v>
      </c>
      <c r="E611" s="4" vm="4360">
        <v>1308.5999999999999</v>
      </c>
      <c r="F611" s="4" vm="4361">
        <v>303.8</v>
      </c>
      <c r="G611" s="4" vm="1864">
        <v>128.69999999999999</v>
      </c>
      <c r="H611" s="4">
        <f t="shared" si="10"/>
        <v>0</v>
      </c>
    </row>
    <row r="612" spans="1:8" x14ac:dyDescent="0.3">
      <c r="A612" vm="1215">
        <v>46064</v>
      </c>
      <c r="B612" s="4" vm="1216">
        <v>25953.85</v>
      </c>
      <c r="C612" s="4" vm="4362">
        <v>2026.3</v>
      </c>
      <c r="D612" s="4" vm="4363">
        <v>7771</v>
      </c>
      <c r="E612" s="4" vm="4364">
        <v>1305.3</v>
      </c>
      <c r="F612" s="4" vm="4365">
        <v>300.7</v>
      </c>
      <c r="G612" s="4" vm="4366">
        <v>128.52000000000001</v>
      </c>
      <c r="H612" s="4">
        <f t="shared" si="10"/>
        <v>0</v>
      </c>
    </row>
    <row r="613" spans="1:8" x14ac:dyDescent="0.3">
      <c r="A613" vm="1217">
        <v>46065</v>
      </c>
      <c r="B613" s="4" vm="1218">
        <v>25807.200000000001</v>
      </c>
      <c r="C613" s="4" vm="4367">
        <v>2022.1</v>
      </c>
      <c r="D613" s="4" vm="4368">
        <v>7943</v>
      </c>
      <c r="E613" s="4" vm="4369">
        <v>1305.5</v>
      </c>
      <c r="F613" s="4" vm="4370">
        <v>298</v>
      </c>
      <c r="G613" s="4" vm="4371">
        <v>126.1</v>
      </c>
      <c r="H613" s="4">
        <f t="shared" si="10"/>
        <v>0</v>
      </c>
    </row>
    <row r="614" spans="1:8" x14ac:dyDescent="0.3">
      <c r="A614" vm="1219">
        <v>46066</v>
      </c>
      <c r="B614" s="4" vm="1220">
        <v>25471.1</v>
      </c>
      <c r="C614" s="4" vm="4372">
        <v>2034.2</v>
      </c>
      <c r="D614" s="4" vm="4373">
        <v>8065</v>
      </c>
      <c r="E614" s="4" vm="4374">
        <v>1282.5999999999999</v>
      </c>
      <c r="F614" s="4" vm="4375">
        <v>285.2</v>
      </c>
      <c r="G614" s="4" vm="4376">
        <v>126.92</v>
      </c>
      <c r="H614" s="4">
        <f t="shared" si="10"/>
        <v>0</v>
      </c>
    </row>
    <row r="615" spans="1:8" x14ac:dyDescent="0.3">
      <c r="A615" vm="1221">
        <v>46069</v>
      </c>
      <c r="B615" s="4" vm="1222">
        <v>25682.75</v>
      </c>
      <c r="C615" s="4" vm="4377">
        <v>2042.4</v>
      </c>
      <c r="D615" s="4" vm="4378">
        <v>8010.5</v>
      </c>
      <c r="E615" s="4" vm="4379">
        <v>1289.8</v>
      </c>
      <c r="F615" s="4" vm="4380">
        <v>286.60000000000002</v>
      </c>
      <c r="G615" s="4" vm="4381">
        <v>124.58</v>
      </c>
      <c r="H615" s="4">
        <f t="shared" si="10"/>
        <v>0</v>
      </c>
    </row>
    <row r="616" spans="1:8" x14ac:dyDescent="0.3">
      <c r="A616" vm="1223">
        <v>46070</v>
      </c>
      <c r="B616" s="4" vm="1224">
        <v>25725.4</v>
      </c>
      <c r="C616" s="4" vm="4382">
        <v>2039.5</v>
      </c>
      <c r="D616" s="4" vm="4383">
        <v>8035</v>
      </c>
      <c r="E616" s="4" vm="4384">
        <v>1285.3</v>
      </c>
      <c r="F616" s="4" vm="4385">
        <v>281.5</v>
      </c>
      <c r="G616" s="4" vm="4386">
        <v>124.64</v>
      </c>
      <c r="H616" s="4">
        <f t="shared" si="10"/>
        <v>0</v>
      </c>
    </row>
    <row r="617" spans="1:8" x14ac:dyDescent="0.3">
      <c r="A617" vm="1225">
        <v>46071</v>
      </c>
      <c r="B617" s="4" vm="1226">
        <v>25819.35</v>
      </c>
      <c r="C617" s="4" vm="4387">
        <v>2059.6</v>
      </c>
      <c r="D617" s="4" vm="4388">
        <v>8009.5</v>
      </c>
      <c r="E617" s="4" vm="4389">
        <v>1300.9000000000001</v>
      </c>
      <c r="F617" s="4" vm="4390">
        <v>277.35000000000002</v>
      </c>
      <c r="G617" s="4" vm="4391">
        <v>127.09</v>
      </c>
      <c r="H617" s="4">
        <f t="shared" si="10"/>
        <v>0</v>
      </c>
    </row>
    <row r="618" spans="1:8" x14ac:dyDescent="0.3">
      <c r="A618" vm="1227">
        <v>46072</v>
      </c>
      <c r="B618" s="4" vm="1228">
        <v>25454.35</v>
      </c>
      <c r="C618" s="4" vm="4392">
        <v>2043</v>
      </c>
      <c r="D618" s="4" vm="4393">
        <v>7897</v>
      </c>
      <c r="E618" s="4" vm="4394">
        <v>1278.5</v>
      </c>
      <c r="F618" s="4" vm="2675">
        <v>271.75</v>
      </c>
      <c r="G618" s="4" vm="4395">
        <v>127.54</v>
      </c>
      <c r="H618" s="4">
        <f t="shared" si="10"/>
        <v>0</v>
      </c>
    </row>
    <row r="619" spans="1:8" x14ac:dyDescent="0.3">
      <c r="A619" vm="1229">
        <v>46073</v>
      </c>
      <c r="B619" s="4" vm="1230">
        <v>25571.25</v>
      </c>
      <c r="C619" s="4" vm="4396">
        <v>2080</v>
      </c>
      <c r="D619" s="4" vm="4397">
        <v>7936.5</v>
      </c>
      <c r="E619" s="4" vm="4305">
        <v>1293.8</v>
      </c>
      <c r="F619" s="4" vm="4398">
        <v>269.45</v>
      </c>
      <c r="G619" s="4" vm="4399">
        <v>130</v>
      </c>
      <c r="H619" s="4">
        <f t="shared" si="10"/>
        <v>0</v>
      </c>
    </row>
    <row r="620" spans="1:8" x14ac:dyDescent="0.3">
      <c r="A620" vm="1231">
        <v>46076</v>
      </c>
      <c r="B620" s="4" vm="1232">
        <v>25713</v>
      </c>
      <c r="C620" s="4" vm="4400">
        <v>2109.6</v>
      </c>
      <c r="D620" s="4" vm="4401">
        <v>8038.5</v>
      </c>
      <c r="E620" s="4" vm="4402">
        <v>1315.1</v>
      </c>
      <c r="F620" s="4" vm="4403">
        <v>268</v>
      </c>
      <c r="G620" s="4" vm="4404">
        <v>131.22</v>
      </c>
      <c r="H620" s="4">
        <f t="shared" si="10"/>
        <v>0</v>
      </c>
    </row>
    <row r="621" spans="1:8" x14ac:dyDescent="0.3">
      <c r="A621" vm="1233">
        <v>46077</v>
      </c>
      <c r="B621" s="4" vm="1234">
        <v>25424.65</v>
      </c>
      <c r="C621" s="4" vm="4255">
        <v>2082.9</v>
      </c>
      <c r="D621" s="4" vm="4405">
        <v>7929</v>
      </c>
      <c r="E621" s="4" vm="4406">
        <v>1320</v>
      </c>
      <c r="F621" s="4" vm="4407">
        <v>254</v>
      </c>
      <c r="G621" s="4" vm="4408">
        <v>131.69</v>
      </c>
      <c r="H621" s="4">
        <f t="shared" si="10"/>
        <v>0</v>
      </c>
    </row>
    <row r="622" spans="1:8" x14ac:dyDescent="0.3">
      <c r="A622" vm="1235">
        <v>46078</v>
      </c>
      <c r="B622" s="4" vm="1236">
        <v>25482.5</v>
      </c>
      <c r="C622" s="4" vm="4409">
        <v>2073.6</v>
      </c>
      <c r="D622" s="4" vm="4410">
        <v>8008</v>
      </c>
      <c r="E622" s="4" vm="4411">
        <v>1323.4</v>
      </c>
      <c r="F622" s="4" vm="4412">
        <v>250.2</v>
      </c>
      <c r="G622" s="4" vm="4413">
        <v>130.47999999999999</v>
      </c>
      <c r="H622" s="4">
        <f t="shared" si="10"/>
        <v>0</v>
      </c>
    </row>
    <row r="623" spans="1:8" x14ac:dyDescent="0.3">
      <c r="A623" vm="1237">
        <v>46079</v>
      </c>
      <c r="B623" s="4" vm="1238">
        <v>25496.55</v>
      </c>
      <c r="C623" s="4" vm="4414">
        <v>2082.8000000000002</v>
      </c>
      <c r="D623" s="4" vm="4415">
        <v>8190</v>
      </c>
      <c r="E623" s="4" vm="4416">
        <v>1318</v>
      </c>
      <c r="F623" s="4" vm="4417">
        <v>246.5</v>
      </c>
      <c r="G623" s="4" vm="4418">
        <v>131.6</v>
      </c>
      <c r="H623" s="4">
        <f t="shared" si="10"/>
        <v>0</v>
      </c>
    </row>
    <row r="624" spans="1:8" x14ac:dyDescent="0.3">
      <c r="A624" vm="1239">
        <v>46080</v>
      </c>
      <c r="B624" s="4" vm="1240">
        <v>25178.65</v>
      </c>
      <c r="C624" s="4" vm="4419">
        <v>2037.2</v>
      </c>
      <c r="D624" s="4" vm="4378">
        <v>8010.5</v>
      </c>
      <c r="E624" s="4" vm="4420">
        <v>1291.7</v>
      </c>
      <c r="F624" s="4" vm="4421">
        <v>246.3</v>
      </c>
      <c r="G624" s="4" vm="4422">
        <v>138.32</v>
      </c>
      <c r="H624" s="4">
        <f t="shared" si="10"/>
        <v>0</v>
      </c>
    </row>
    <row r="625" spans="1:8" x14ac:dyDescent="0.3">
      <c r="A625" vm="1241">
        <v>46083</v>
      </c>
      <c r="B625" s="4" vm="1242">
        <v>24865.7</v>
      </c>
      <c r="C625" s="4" vm="4423">
        <v>2032.2</v>
      </c>
      <c r="D625" s="4" vm="4424">
        <v>7826</v>
      </c>
      <c r="E625" s="4" vm="4237">
        <v>1279.7</v>
      </c>
      <c r="F625" s="4" vm="4425">
        <v>242.87</v>
      </c>
      <c r="G625" s="4" vm="4426">
        <v>133.96</v>
      </c>
      <c r="H625" s="4">
        <f t="shared" si="10"/>
        <v>0</v>
      </c>
    </row>
    <row r="626" spans="1:8" x14ac:dyDescent="0.3">
      <c r="A626" vm="1243">
        <v>46085</v>
      </c>
      <c r="B626" s="4" vm="1244">
        <v>24480.5</v>
      </c>
      <c r="C626" s="4" vm="4427">
        <v>1930.6</v>
      </c>
      <c r="D626" s="4" vm="4428">
        <v>7626.5</v>
      </c>
      <c r="E626" s="4" vm="4429">
        <v>1245.3</v>
      </c>
      <c r="F626" s="4" vm="4430">
        <v>240.73</v>
      </c>
      <c r="G626" s="4" vm="4431">
        <v>132.24</v>
      </c>
      <c r="H626" s="4">
        <f t="shared" si="10"/>
        <v>0</v>
      </c>
    </row>
    <row r="627" spans="1:8" x14ac:dyDescent="0.3">
      <c r="A627" vm="1245">
        <v>46086</v>
      </c>
      <c r="B627" s="4" vm="1246">
        <v>24765.9</v>
      </c>
      <c r="C627" s="4" vm="4432">
        <v>1945</v>
      </c>
      <c r="D627" s="4" vm="4433">
        <v>7755</v>
      </c>
      <c r="E627" s="4" vm="4434">
        <v>1250.9000000000001</v>
      </c>
      <c r="F627" s="4" vm="4435">
        <v>240.14</v>
      </c>
      <c r="G627" s="4" vm="4436">
        <v>130.82</v>
      </c>
      <c r="H627" s="4">
        <f t="shared" si="10"/>
        <v>0</v>
      </c>
    </row>
    <row r="628" spans="1:8" x14ac:dyDescent="0.3">
      <c r="A628" vm="1247">
        <v>46087</v>
      </c>
      <c r="B628" s="4" vm="1248">
        <v>24450.45</v>
      </c>
      <c r="C628" s="4" vm="4437">
        <v>1941.6</v>
      </c>
      <c r="D628" s="4" vm="4438">
        <v>7620.5</v>
      </c>
      <c r="E628" s="4" vm="4439">
        <v>1252.4000000000001</v>
      </c>
      <c r="F628" s="4" vm="4440">
        <v>232.57</v>
      </c>
      <c r="G628" s="4" vm="4441">
        <v>131.35</v>
      </c>
      <c r="H628" s="4">
        <f t="shared" si="10"/>
        <v>0</v>
      </c>
    </row>
    <row r="629" spans="1:8" x14ac:dyDescent="0.3">
      <c r="A629" vm="1249">
        <v>46090</v>
      </c>
      <c r="B629" s="4" vm="1250">
        <v>24028.05</v>
      </c>
      <c r="C629" s="4" vm="4442">
        <v>1912.5</v>
      </c>
      <c r="D629" s="4" vm="4443">
        <v>7266</v>
      </c>
      <c r="E629" s="4" vm="4444">
        <v>1235.8</v>
      </c>
      <c r="F629" s="4" vm="4445">
        <v>229.56</v>
      </c>
      <c r="G629" s="4" vm="4446">
        <v>132.19999999999999</v>
      </c>
      <c r="H629" s="4">
        <f t="shared" si="10"/>
        <v>0</v>
      </c>
    </row>
    <row r="630" spans="1:8" x14ac:dyDescent="0.3">
      <c r="A630" vm="1251">
        <v>46091</v>
      </c>
      <c r="B630" s="4" vm="1252">
        <v>24261.599999999999</v>
      </c>
      <c r="C630" s="4" vm="4447">
        <v>1963.7</v>
      </c>
      <c r="D630" s="4" vm="4448">
        <v>7536.5</v>
      </c>
      <c r="E630" s="4" vm="4449">
        <v>1241.2</v>
      </c>
      <c r="F630" s="4" vm="4450">
        <v>226.62</v>
      </c>
      <c r="G630" s="4" vm="4451">
        <v>132.71</v>
      </c>
      <c r="H630" s="4">
        <f t="shared" si="10"/>
        <v>0</v>
      </c>
    </row>
    <row r="631" spans="1:8" x14ac:dyDescent="0.3">
      <c r="A631" vm="1253">
        <v>46092</v>
      </c>
      <c r="B631" s="4" vm="1254">
        <v>23866.85</v>
      </c>
      <c r="C631" s="4" vm="4452">
        <v>1938.6</v>
      </c>
      <c r="D631" s="4" vm="4453">
        <v>7253.5</v>
      </c>
      <c r="E631" s="4" vm="4454">
        <v>1233.7</v>
      </c>
      <c r="F631" s="4" vm="4455">
        <v>223.8</v>
      </c>
      <c r="G631" s="4" vm="4456">
        <v>132.43</v>
      </c>
      <c r="H631" s="4">
        <f t="shared" si="10"/>
        <v>0</v>
      </c>
    </row>
    <row r="632" spans="1:8" x14ac:dyDescent="0.3">
      <c r="A632" vm="1255">
        <v>46093</v>
      </c>
      <c r="B632" s="4" vm="1256">
        <v>23639.15</v>
      </c>
      <c r="C632" s="4" vm="4457">
        <v>1939.4</v>
      </c>
      <c r="D632" s="4" vm="4458">
        <v>6975.5</v>
      </c>
      <c r="E632" s="4" vm="3875">
        <v>1220.8</v>
      </c>
      <c r="F632" s="4" vm="4459">
        <v>221.17</v>
      </c>
      <c r="G632" s="4" vm="4460">
        <v>130.32</v>
      </c>
      <c r="H632" s="4">
        <f t="shared" si="10"/>
        <v>0</v>
      </c>
    </row>
    <row r="633" spans="1:8" x14ac:dyDescent="0.3">
      <c r="A633" vm="1257">
        <v>46094</v>
      </c>
      <c r="B633" s="4" vm="1258">
        <v>23151.1</v>
      </c>
      <c r="C633" s="4" vm="4461">
        <v>1904.4</v>
      </c>
      <c r="D633" s="4" vm="4462">
        <v>6741</v>
      </c>
      <c r="E633" s="4" vm="3619">
        <v>1202.2</v>
      </c>
      <c r="F633" s="4" vm="4463">
        <v>215.68</v>
      </c>
      <c r="G633" s="4" vm="4464">
        <v>127.22</v>
      </c>
      <c r="H633" s="4">
        <f t="shared" si="10"/>
        <v>0</v>
      </c>
    </row>
    <row r="634" spans="1:8" x14ac:dyDescent="0.3">
      <c r="A634" vm="1259">
        <v>46097</v>
      </c>
      <c r="B634" s="4" vm="1260">
        <v>23408.799999999999</v>
      </c>
      <c r="C634" s="4" vm="4465">
        <v>1909.2</v>
      </c>
      <c r="D634" s="4" vm="4466">
        <v>6827.5</v>
      </c>
      <c r="E634" s="4" vm="4467">
        <v>1213.4000000000001</v>
      </c>
      <c r="F634" s="4" vm="4468">
        <v>222.04</v>
      </c>
      <c r="G634" s="4" vm="4469">
        <v>128.22</v>
      </c>
      <c r="H634" s="4">
        <f t="shared" si="10"/>
        <v>0</v>
      </c>
    </row>
    <row r="635" spans="1:8" x14ac:dyDescent="0.3">
      <c r="A635" vm="1261">
        <v>46098</v>
      </c>
      <c r="B635" s="4" vm="1262">
        <v>23581.15</v>
      </c>
      <c r="C635" s="4" vm="4470">
        <v>1932.1</v>
      </c>
      <c r="D635" s="4" vm="4471">
        <v>6910</v>
      </c>
      <c r="E635" s="4" vm="4472">
        <v>1206.9000000000001</v>
      </c>
      <c r="F635" s="4" vm="4473">
        <v>234.63</v>
      </c>
      <c r="G635" s="4" vm="4474">
        <v>127.91</v>
      </c>
      <c r="H635" s="4">
        <f t="shared" si="10"/>
        <v>0</v>
      </c>
    </row>
    <row r="636" spans="1:8" x14ac:dyDescent="0.3">
      <c r="A636" vm="1263">
        <v>46099</v>
      </c>
      <c r="B636" s="4" vm="1264">
        <v>23777.8</v>
      </c>
      <c r="C636" s="4" vm="4475">
        <v>1962.5</v>
      </c>
      <c r="D636" s="4" vm="4476">
        <v>7027.5</v>
      </c>
      <c r="E636" s="4" vm="4477">
        <v>1204.8</v>
      </c>
      <c r="F636" s="4" vm="4478">
        <v>242.54</v>
      </c>
      <c r="G636" s="4" vm="4479">
        <v>121.32</v>
      </c>
      <c r="H636" s="4">
        <f t="shared" si="10"/>
        <v>0</v>
      </c>
    </row>
    <row r="637" spans="1:8" x14ac:dyDescent="0.3">
      <c r="A637" vm="1265">
        <v>46100</v>
      </c>
      <c r="B637" s="4" vm="1266">
        <v>23002.15</v>
      </c>
      <c r="C637" s="4" vm="4018">
        <v>1903.1</v>
      </c>
      <c r="D637" s="4" vm="4480">
        <v>6793</v>
      </c>
      <c r="E637" s="4" vm="4481">
        <v>1186.3</v>
      </c>
      <c r="F637" s="4" vm="4482">
        <v>228.74</v>
      </c>
      <c r="G637" s="4" vm="4483">
        <v>121.06</v>
      </c>
      <c r="H637" s="4">
        <f t="shared" si="10"/>
        <v>0</v>
      </c>
    </row>
    <row r="638" spans="1:8" x14ac:dyDescent="0.3">
      <c r="A638" vm="1267">
        <v>46101</v>
      </c>
      <c r="B638" s="4" vm="1268">
        <v>23114.5</v>
      </c>
      <c r="C638" s="4" vm="4484">
        <v>1896.9</v>
      </c>
      <c r="D638" s="4" vm="4485">
        <v>6909</v>
      </c>
      <c r="E638" s="4" vm="4486">
        <v>1193.5999999999999</v>
      </c>
      <c r="F638" s="4" vm="4487">
        <v>232.29</v>
      </c>
      <c r="G638" s="4" vm="4488">
        <v>110.72</v>
      </c>
      <c r="H638" s="4">
        <f t="shared" si="10"/>
        <v>0</v>
      </c>
    </row>
    <row r="639" spans="1:8" x14ac:dyDescent="0.3">
      <c r="A639" vm="1269">
        <v>46104</v>
      </c>
      <c r="B639" s="4" vm="1270">
        <v>22512.65</v>
      </c>
      <c r="C639" s="4" vm="4489">
        <v>1832.3</v>
      </c>
      <c r="D639" s="4" vm="4490">
        <v>6681.5</v>
      </c>
      <c r="E639" s="4" vm="4491">
        <v>1166.8</v>
      </c>
      <c r="F639" s="4" vm="4492">
        <v>226.96</v>
      </c>
      <c r="G639" s="4" vm="4493">
        <v>115.49</v>
      </c>
      <c r="H639" s="4">
        <f t="shared" si="10"/>
        <v>0</v>
      </c>
    </row>
    <row r="640" spans="1:8" x14ac:dyDescent="0.3">
      <c r="A640" vm="1271">
        <v>46105</v>
      </c>
      <c r="B640" s="4" vm="1272">
        <v>22912.400000000001</v>
      </c>
      <c r="C640" s="4" vm="4494">
        <v>1836</v>
      </c>
      <c r="D640" s="4" vm="4495">
        <v>6871</v>
      </c>
      <c r="E640" s="4" vm="4496">
        <v>1183.2</v>
      </c>
      <c r="F640" s="4" vm="4497">
        <v>237.94</v>
      </c>
      <c r="G640" s="4" vm="4498">
        <v>119.29</v>
      </c>
      <c r="H640" s="4">
        <f t="shared" si="10"/>
        <v>0</v>
      </c>
    </row>
    <row r="641" spans="1:8" x14ac:dyDescent="0.3">
      <c r="A641" vm="1273">
        <v>46106</v>
      </c>
      <c r="B641" s="4" vm="1274">
        <v>23306.45</v>
      </c>
      <c r="C641" s="4" vm="4499">
        <v>1851.8</v>
      </c>
      <c r="D641" s="4" vm="4500">
        <v>6992.5</v>
      </c>
      <c r="E641" s="4" vm="4501">
        <v>1204.0999999999999</v>
      </c>
      <c r="F641" s="4" vm="4502">
        <v>242.18</v>
      </c>
      <c r="G641" s="4" vm="4503">
        <v>117.53</v>
      </c>
      <c r="H641" s="4">
        <f t="shared" si="10"/>
        <v>0</v>
      </c>
    </row>
    <row r="642" spans="1:8" x14ac:dyDescent="0.3">
      <c r="A642" vm="1275">
        <v>46108</v>
      </c>
      <c r="B642" s="4" vm="1276">
        <v>22819.599999999999</v>
      </c>
      <c r="C642" s="4" vm="4504">
        <v>1837.6</v>
      </c>
      <c r="D642" s="4" vm="4505">
        <v>6811.5</v>
      </c>
      <c r="E642" s="4" vm="4506">
        <v>1193.2</v>
      </c>
      <c r="F642" s="4" vm="4507">
        <v>233.17</v>
      </c>
      <c r="G642" s="4" vm="4508">
        <v>121.19</v>
      </c>
      <c r="H642" s="4">
        <f t="shared" si="10"/>
        <v>0</v>
      </c>
    </row>
    <row r="643" spans="1:8" x14ac:dyDescent="0.3">
      <c r="A643" vm="1277">
        <v>46111</v>
      </c>
      <c r="B643" s="4" vm="1278">
        <v>22331.4</v>
      </c>
      <c r="C643" s="4" vm="4509">
        <v>1777.3</v>
      </c>
      <c r="D643" s="4" vm="4510">
        <v>6586</v>
      </c>
      <c r="E643" s="4" vm="4511">
        <v>1174.8</v>
      </c>
      <c r="F643" s="4" vm="4512">
        <v>228.98</v>
      </c>
      <c r="G643" s="4" vm="4513">
        <v>123.37</v>
      </c>
      <c r="H643" s="4">
        <f t="shared" si="10"/>
        <v>0</v>
      </c>
    </row>
    <row r="644" spans="1:8" x14ac:dyDescent="0.3">
      <c r="A644" vm="1279">
        <v>46113</v>
      </c>
      <c r="B644" s="4" vm="1280">
        <v>22679.4</v>
      </c>
      <c r="C644" s="4" vm="4514">
        <v>1790.5</v>
      </c>
      <c r="D644" s="4" vm="4515">
        <v>6825.5</v>
      </c>
      <c r="E644" s="4" vm="4516">
        <v>1180.8</v>
      </c>
      <c r="F644" s="4" vm="4517">
        <v>236.52</v>
      </c>
      <c r="G644" s="4" vm="4518">
        <v>120.58</v>
      </c>
      <c r="H644" s="4">
        <f t="shared" si="10"/>
        <v>0</v>
      </c>
    </row>
    <row r="645" spans="1:8" x14ac:dyDescent="0.3">
      <c r="A645" vm="1281">
        <v>46114</v>
      </c>
      <c r="B645" s="4" vm="1282">
        <v>22713.1</v>
      </c>
      <c r="C645" s="4" vm="4519">
        <v>1774</v>
      </c>
      <c r="D645" s="4" vm="4520">
        <v>6649.5</v>
      </c>
      <c r="E645" s="4" vm="4521">
        <v>1191.3</v>
      </c>
      <c r="F645" s="4" vm="4522">
        <v>231.72</v>
      </c>
      <c r="G645" s="4" vm="4523">
        <v>122.81</v>
      </c>
      <c r="H645" s="4">
        <f t="shared" ref="H645:H708" si="11">SUMPRODUCT($C$3:$G$3,C645:G645)</f>
        <v>0</v>
      </c>
    </row>
    <row r="646" spans="1:8" x14ac:dyDescent="0.3">
      <c r="A646" vm="1283">
        <v>46118</v>
      </c>
      <c r="B646" s="4" vm="1284">
        <v>22968.25</v>
      </c>
      <c r="C646" s="4" vm="4524">
        <v>1836.8</v>
      </c>
      <c r="D646" s="4" vm="4525">
        <v>6596</v>
      </c>
      <c r="E646" s="4" vm="4526">
        <v>1216</v>
      </c>
      <c r="F646" s="4" vm="4527">
        <v>232.2</v>
      </c>
      <c r="G646" s="4" vm="4528">
        <v>121.78</v>
      </c>
      <c r="H646" s="4">
        <f t="shared" si="11"/>
        <v>0</v>
      </c>
    </row>
    <row r="647" spans="1:8" x14ac:dyDescent="0.3">
      <c r="A647" vm="1285">
        <v>46119</v>
      </c>
      <c r="B647" s="4" vm="1286">
        <v>23123.65</v>
      </c>
      <c r="C647" s="4" vm="4529">
        <v>1841.4</v>
      </c>
      <c r="D647" s="4" vm="4530">
        <v>6605.5</v>
      </c>
      <c r="E647" s="4" vm="4531">
        <v>1222.8</v>
      </c>
      <c r="F647" s="4" vm="4532">
        <v>231.97</v>
      </c>
      <c r="G647" s="4" vm="4533">
        <v>124.39</v>
      </c>
      <c r="H647" s="4">
        <f t="shared" si="11"/>
        <v>0</v>
      </c>
    </row>
    <row r="648" spans="1:8" x14ac:dyDescent="0.3">
      <c r="A648" vm="1287">
        <v>46120</v>
      </c>
      <c r="B648" s="4" vm="1288">
        <v>23997.35</v>
      </c>
      <c r="C648" s="4" vm="4534">
        <v>1907.6</v>
      </c>
      <c r="D648" s="4" vm="4535">
        <v>7131</v>
      </c>
      <c r="E648" s="4" vm="4536">
        <v>1213.7</v>
      </c>
      <c r="F648" s="4" vm="4537">
        <v>243.62</v>
      </c>
      <c r="G648" s="4" vm="4538">
        <v>123.21</v>
      </c>
      <c r="H648" s="4">
        <f t="shared" si="11"/>
        <v>0</v>
      </c>
    </row>
    <row r="649" spans="1:8" x14ac:dyDescent="0.3">
      <c r="A649" vm="1289">
        <v>46121</v>
      </c>
      <c r="B649" s="4" vm="1290">
        <v>23775.1</v>
      </c>
      <c r="C649" s="4" vm="4539">
        <v>1904</v>
      </c>
      <c r="D649" s="4" vm="4540">
        <v>7147.5</v>
      </c>
      <c r="E649" s="4" vm="2256">
        <v>1228.7</v>
      </c>
      <c r="F649" s="4" vm="4541">
        <v>237.89</v>
      </c>
      <c r="G649" s="4" vm="4542">
        <v>123.49</v>
      </c>
      <c r="H649" s="4">
        <f t="shared" si="11"/>
        <v>0</v>
      </c>
    </row>
    <row r="650" spans="1:8" x14ac:dyDescent="0.3">
      <c r="A650" vm="1291">
        <v>46122</v>
      </c>
      <c r="B650" s="4" vm="1292">
        <v>24050.6</v>
      </c>
      <c r="C650" s="4" vm="4543">
        <v>1923.2</v>
      </c>
      <c r="D650" s="4" vm="4544">
        <v>7424</v>
      </c>
      <c r="E650" s="4" vm="4545">
        <v>1249.3</v>
      </c>
      <c r="F650" s="4" vm="4546">
        <v>240.23</v>
      </c>
      <c r="G650" s="4" vm="4547">
        <v>123.76</v>
      </c>
      <c r="H650" s="4">
        <f t="shared" si="11"/>
        <v>0</v>
      </c>
    </row>
    <row r="651" spans="1:8" x14ac:dyDescent="0.3">
      <c r="A651" vm="1293">
        <v>46125</v>
      </c>
      <c r="B651" s="4" vm="1294">
        <v>23842.65</v>
      </c>
      <c r="C651" s="4" vm="4548">
        <v>1914.4</v>
      </c>
      <c r="D651" s="4" vm="4549">
        <v>7050</v>
      </c>
      <c r="E651" s="4" vm="4550">
        <v>1226.0999999999999</v>
      </c>
      <c r="F651" s="4" vm="4551">
        <v>236.22</v>
      </c>
      <c r="G651" s="4" vm="4552">
        <v>125.06</v>
      </c>
      <c r="H651" s="4">
        <f t="shared" si="11"/>
        <v>0</v>
      </c>
    </row>
    <row r="652" spans="1:8" x14ac:dyDescent="0.3">
      <c r="A652" vm="1295">
        <v>46127</v>
      </c>
      <c r="B652" s="4" vm="1296">
        <v>24231.3</v>
      </c>
      <c r="C652" s="4" vm="4553">
        <v>1971</v>
      </c>
      <c r="D652" s="4" vm="4554">
        <v>7128</v>
      </c>
      <c r="E652" s="4" vm="4555">
        <v>1256.5999999999999</v>
      </c>
      <c r="F652" s="4" vm="4556">
        <v>246.67</v>
      </c>
      <c r="G652" s="4" vm="4557">
        <v>125.61</v>
      </c>
      <c r="H652" s="4">
        <f t="shared" si="11"/>
        <v>0</v>
      </c>
    </row>
    <row r="653" spans="1:8" x14ac:dyDescent="0.3">
      <c r="A653" vm="1297">
        <v>46128</v>
      </c>
      <c r="B653" s="4" vm="1298">
        <v>24196.75</v>
      </c>
      <c r="C653" s="4" vm="4558">
        <v>1974.7</v>
      </c>
      <c r="D653" s="4" vm="4535">
        <v>7131</v>
      </c>
      <c r="E653" s="4" vm="4559">
        <v>1257.4000000000001</v>
      </c>
      <c r="F653" s="4" vm="4560">
        <v>252.7</v>
      </c>
      <c r="G653" s="4" vm="4561">
        <v>124.8</v>
      </c>
      <c r="H653" s="4">
        <f t="shared" si="11"/>
        <v>0</v>
      </c>
    </row>
    <row r="654" spans="1:8" x14ac:dyDescent="0.3">
      <c r="A654" vm="1299">
        <v>46129</v>
      </c>
      <c r="B654" s="4" vm="1300">
        <v>24353.55</v>
      </c>
      <c r="C654" s="4" vm="4562">
        <v>1970.9</v>
      </c>
      <c r="D654" s="4" vm="4563">
        <v>7189.5</v>
      </c>
      <c r="E654" s="4" vm="4564">
        <v>1285.5999999999999</v>
      </c>
      <c r="F654" s="4" vm="4565">
        <v>252.61</v>
      </c>
      <c r="G654" s="4" vm="1839">
        <v>125</v>
      </c>
      <c r="H654" s="4">
        <f t="shared" si="11"/>
        <v>0</v>
      </c>
    </row>
    <row r="655" spans="1:8" x14ac:dyDescent="0.3">
      <c r="A655" vm="1301">
        <v>46132</v>
      </c>
      <c r="B655" s="4" vm="1302">
        <v>24364.85</v>
      </c>
      <c r="C655" s="4" vm="4566">
        <v>1982.5</v>
      </c>
      <c r="D655" s="4" vm="4567">
        <v>7243</v>
      </c>
      <c r="E655" s="4" vm="4568">
        <v>1286.4000000000001</v>
      </c>
      <c r="F655" s="4" vm="4569">
        <v>254.88</v>
      </c>
      <c r="G655" s="4" vm="4345">
        <v>125.22</v>
      </c>
      <c r="H655" s="4">
        <f t="shared" si="11"/>
        <v>0</v>
      </c>
    </row>
    <row r="656" spans="1:8" x14ac:dyDescent="0.3">
      <c r="A656" vm="1303">
        <v>46133</v>
      </c>
      <c r="B656" s="4" vm="1304">
        <v>24576.6</v>
      </c>
      <c r="C656" s="4" vm="4570">
        <v>1911.6</v>
      </c>
      <c r="D656" s="4" vm="4571">
        <v>7240.5</v>
      </c>
      <c r="E656" s="4" vm="4572">
        <v>1379.9</v>
      </c>
      <c r="F656" s="4" vm="4573">
        <v>259.48</v>
      </c>
      <c r="G656" s="4" vm="4574">
        <v>124.99</v>
      </c>
      <c r="H656" s="4">
        <f t="shared" si="11"/>
        <v>0</v>
      </c>
    </row>
    <row r="657" spans="1:8" x14ac:dyDescent="0.3">
      <c r="A657" vm="1305">
        <v>46134</v>
      </c>
      <c r="B657" s="4" vm="1306">
        <v>24378.1</v>
      </c>
      <c r="C657" s="4" vm="4575">
        <v>1884.8</v>
      </c>
      <c r="D657" s="4" vm="4576">
        <v>7230</v>
      </c>
      <c r="E657" s="4" vm="4577">
        <v>1395.8</v>
      </c>
      <c r="F657" s="4" vm="4578">
        <v>262.99</v>
      </c>
      <c r="G657" s="4" vm="4579">
        <v>124.08</v>
      </c>
      <c r="H657" s="4">
        <f t="shared" si="11"/>
        <v>0</v>
      </c>
    </row>
    <row r="658" spans="1:8" x14ac:dyDescent="0.3">
      <c r="A658" vm="1307">
        <v>46135</v>
      </c>
      <c r="B658" s="4" vm="1308">
        <v>24173.05</v>
      </c>
      <c r="C658" s="4" vm="4580">
        <v>1828.1</v>
      </c>
      <c r="D658" s="4" vm="4581">
        <v>7092.5</v>
      </c>
      <c r="E658" s="4" vm="4582">
        <v>1410.5</v>
      </c>
      <c r="F658" s="4" vm="4583">
        <v>259.92</v>
      </c>
      <c r="G658" s="4" vm="4584">
        <v>123.94</v>
      </c>
      <c r="H658" s="4">
        <f t="shared" si="11"/>
        <v>0</v>
      </c>
    </row>
    <row r="659" spans="1:8" x14ac:dyDescent="0.3">
      <c r="A659" vm="1309">
        <v>46136</v>
      </c>
      <c r="B659" s="4" vm="1310">
        <v>23897.95</v>
      </c>
      <c r="C659" s="4" vm="4585">
        <v>1768.9</v>
      </c>
      <c r="D659" s="4" vm="4586">
        <v>7111.5</v>
      </c>
      <c r="E659" s="4" vm="3260">
        <v>1421.3</v>
      </c>
      <c r="F659" s="4" vm="4587">
        <v>256.79000000000002</v>
      </c>
      <c r="G659" s="4" vm="4588">
        <v>124.25</v>
      </c>
      <c r="H659" s="4">
        <f t="shared" si="11"/>
        <v>0</v>
      </c>
    </row>
    <row r="660" spans="1:8" x14ac:dyDescent="0.3">
      <c r="A660" vm="1311">
        <v>46139</v>
      </c>
      <c r="B660" s="4" vm="1312">
        <v>24092.7</v>
      </c>
      <c r="C660" s="4" vm="4589">
        <v>1815.4</v>
      </c>
      <c r="D660" s="4" vm="4590">
        <v>7174</v>
      </c>
      <c r="E660" s="4" vm="4591">
        <v>1417.3</v>
      </c>
      <c r="F660" s="4" vm="4592">
        <v>255.49</v>
      </c>
      <c r="G660" s="4" vm="4593">
        <v>122.68</v>
      </c>
      <c r="H660" s="4">
        <f t="shared" si="11"/>
        <v>0</v>
      </c>
    </row>
    <row r="661" spans="1:8" x14ac:dyDescent="0.3">
      <c r="A661" vm="1313">
        <v>46140</v>
      </c>
      <c r="B661" s="4" vm="1314">
        <v>23995.7</v>
      </c>
      <c r="C661" s="4" vm="3651">
        <v>1808.3</v>
      </c>
      <c r="D661" s="4" vm="4594">
        <v>7071.5</v>
      </c>
      <c r="E661" s="4" vm="4595">
        <v>1440</v>
      </c>
      <c r="F661" s="4" vm="4596">
        <v>253.07</v>
      </c>
      <c r="G661" s="4" vm="4597">
        <v>121.58</v>
      </c>
      <c r="H661" s="4">
        <f t="shared" si="11"/>
        <v>0</v>
      </c>
    </row>
    <row r="662" spans="1:8" x14ac:dyDescent="0.3">
      <c r="A662" vm="1315">
        <v>46141</v>
      </c>
      <c r="B662" s="4" vm="1316">
        <v>24177.65</v>
      </c>
      <c r="C662" s="4" vm="3980">
        <v>1816.2</v>
      </c>
      <c r="D662" s="4" vm="4563">
        <v>7189.5</v>
      </c>
      <c r="E662" s="4" vm="4598">
        <v>1465.6</v>
      </c>
      <c r="F662" s="4" vm="4599">
        <v>254.03</v>
      </c>
      <c r="G662" s="4" vm="4600">
        <v>123.43</v>
      </c>
      <c r="H662" s="4">
        <f t="shared" si="11"/>
        <v>0</v>
      </c>
    </row>
    <row r="663" spans="1:8" x14ac:dyDescent="0.3">
      <c r="A663" vm="1317">
        <v>46142</v>
      </c>
      <c r="B663" s="4" vm="1318">
        <v>23997.55</v>
      </c>
      <c r="C663" s="4" vm="4601">
        <v>1819</v>
      </c>
      <c r="D663" s="4" vm="4602">
        <v>7109</v>
      </c>
      <c r="E663" s="4" vm="4603">
        <v>1458.6</v>
      </c>
      <c r="F663" s="4" vm="4604">
        <v>247.03</v>
      </c>
      <c r="G663" s="4" vm="4605">
        <v>122.38</v>
      </c>
      <c r="H663" s="4">
        <f t="shared" si="11"/>
        <v>0</v>
      </c>
    </row>
    <row r="664" spans="1:8" x14ac:dyDescent="0.3">
      <c r="A664" vm="1319">
        <v>46146</v>
      </c>
      <c r="B664" s="4" vm="1320">
        <v>24119.3</v>
      </c>
      <c r="C664" s="4" vm="4606">
        <v>1820.1</v>
      </c>
      <c r="D664" s="4" vm="4607">
        <v>7329</v>
      </c>
      <c r="E664" s="4" vm="4608">
        <v>1457.1</v>
      </c>
      <c r="F664" s="4" vm="4609">
        <v>251.9</v>
      </c>
      <c r="G664" s="4" vm="4610">
        <v>122.16</v>
      </c>
      <c r="H664" s="4">
        <f t="shared" si="11"/>
        <v>0</v>
      </c>
    </row>
    <row r="665" spans="1:8" x14ac:dyDescent="0.3">
      <c r="A665" vm="1321">
        <v>46147</v>
      </c>
      <c r="B665" s="4" vm="1322">
        <v>24032.799999999999</v>
      </c>
      <c r="C665" s="4" vm="4611">
        <v>1821.2</v>
      </c>
      <c r="D665" s="4" vm="4612">
        <v>7301.5</v>
      </c>
      <c r="E665" s="4" vm="4613">
        <v>1477.8</v>
      </c>
      <c r="F665" s="4" vm="4614">
        <v>248.47</v>
      </c>
      <c r="G665" s="4" vm="4615">
        <v>124.02</v>
      </c>
      <c r="H665" s="4">
        <f t="shared" si="11"/>
        <v>0</v>
      </c>
    </row>
    <row r="666" spans="1:8" x14ac:dyDescent="0.3">
      <c r="A666" vm="1323">
        <v>46148</v>
      </c>
      <c r="B666" s="4" vm="1324">
        <v>24330.95</v>
      </c>
      <c r="C666" s="4" vm="3811">
        <v>1859</v>
      </c>
      <c r="D666" s="4" vm="4616">
        <v>7310.5</v>
      </c>
      <c r="E666" s="4" vm="4617">
        <v>1486.1</v>
      </c>
      <c r="F666" s="4" vm="2628">
        <v>256.05</v>
      </c>
      <c r="G666" s="4" vm="4618">
        <v>124.47</v>
      </c>
      <c r="H666" s="4">
        <f t="shared" si="11"/>
        <v>0</v>
      </c>
    </row>
    <row r="667" spans="1:8" x14ac:dyDescent="0.3">
      <c r="A667" vm="1325">
        <v>46149</v>
      </c>
      <c r="B667" s="4" vm="1326">
        <v>24326.65</v>
      </c>
      <c r="C667" s="4" vm="4619">
        <v>1872.2</v>
      </c>
      <c r="D667" s="4" vm="4620">
        <v>7327.5</v>
      </c>
      <c r="E667" s="4" vm="4621">
        <v>1476</v>
      </c>
      <c r="F667" s="4" vm="4622">
        <v>257.42</v>
      </c>
      <c r="G667" s="4" vm="4623">
        <v>124.31</v>
      </c>
      <c r="H667" s="4">
        <f t="shared" si="11"/>
        <v>0</v>
      </c>
    </row>
    <row r="668" spans="1:8" x14ac:dyDescent="0.3">
      <c r="A668" vm="1327">
        <v>46150</v>
      </c>
      <c r="B668" s="4" vm="1328">
        <v>24176.15</v>
      </c>
      <c r="C668" s="4" vm="4624">
        <v>1872.1</v>
      </c>
      <c r="D668" s="4" vm="4625">
        <v>7302.5</v>
      </c>
      <c r="E668" s="4" vm="4626">
        <v>1482.4</v>
      </c>
      <c r="F668" s="4" vm="4627">
        <v>256.39</v>
      </c>
      <c r="G668" s="4" vm="4628">
        <v>123.23</v>
      </c>
      <c r="H668" s="4">
        <f t="shared" si="11"/>
        <v>0</v>
      </c>
    </row>
    <row r="669" spans="1:8" x14ac:dyDescent="0.3">
      <c r="A669" vm="1329">
        <v>46153</v>
      </c>
      <c r="B669" s="4" vm="1330">
        <v>23815.85</v>
      </c>
      <c r="C669" s="4" vm="4629">
        <v>1884.4</v>
      </c>
      <c r="D669" s="4" vm="4630">
        <v>7202.5</v>
      </c>
      <c r="E669" s="4" vm="4631">
        <v>1481.9</v>
      </c>
      <c r="F669" s="4" vm="4632">
        <v>245.87</v>
      </c>
      <c r="G669" s="4" vm="4633">
        <v>124.61</v>
      </c>
      <c r="H669" s="4">
        <f t="shared" si="11"/>
        <v>0</v>
      </c>
    </row>
    <row r="670" spans="1:8" x14ac:dyDescent="0.3">
      <c r="A670" vm="1331">
        <v>46154</v>
      </c>
      <c r="B670" s="4" vm="1332">
        <v>23379.55</v>
      </c>
      <c r="C670" s="4" vm="4634">
        <v>1833.9</v>
      </c>
      <c r="D670" s="4" vm="4635">
        <v>7126</v>
      </c>
      <c r="E670" s="4" vm="4636">
        <v>1468.6</v>
      </c>
      <c r="F670" s="4" vm="4637">
        <v>239.98</v>
      </c>
      <c r="G670" s="4" vm="4638">
        <v>131.74</v>
      </c>
      <c r="H670" s="4">
        <f t="shared" si="11"/>
        <v>0</v>
      </c>
    </row>
    <row r="671" spans="1:8" x14ac:dyDescent="0.3">
      <c r="A671" vm="1333">
        <v>46155</v>
      </c>
      <c r="B671" s="4" vm="1334">
        <v>23412.6</v>
      </c>
      <c r="C671" s="4" vm="4639">
        <v>1837.5</v>
      </c>
      <c r="D671" s="4" vm="4640">
        <v>6971.5</v>
      </c>
      <c r="E671" s="4" vm="4641">
        <v>1468.9</v>
      </c>
      <c r="F671" s="4" vm="4642">
        <v>237.82</v>
      </c>
      <c r="G671" s="4" vm="4643">
        <v>131.78</v>
      </c>
      <c r="H671" s="4">
        <f t="shared" si="11"/>
        <v>0</v>
      </c>
    </row>
    <row r="672" spans="1:8" x14ac:dyDescent="0.3">
      <c r="A672" vm="1335">
        <v>46156</v>
      </c>
      <c r="B672" s="4" vm="1336">
        <v>23689.599999999999</v>
      </c>
      <c r="C672" s="4" vm="4644">
        <v>1866.7</v>
      </c>
      <c r="D672" s="4" vm="4645">
        <v>7034</v>
      </c>
      <c r="E672" s="4" vm="4646">
        <v>1459.6</v>
      </c>
      <c r="F672" s="4" vm="4647">
        <v>245.82</v>
      </c>
      <c r="G672" s="4" vm="4648">
        <v>129.41</v>
      </c>
      <c r="H672" s="4">
        <f t="shared" si="11"/>
        <v>0</v>
      </c>
    </row>
    <row r="673" spans="1:8" x14ac:dyDescent="0.3">
      <c r="A673" vm="1337">
        <v>46157</v>
      </c>
      <c r="B673" s="4" vm="1338">
        <v>23643.5</v>
      </c>
      <c r="C673" s="4" vm="4649">
        <v>1864.5</v>
      </c>
      <c r="D673" s="4" vm="4650">
        <v>7014.5</v>
      </c>
      <c r="E673" s="4" vm="3240">
        <v>1430.5</v>
      </c>
      <c r="F673" s="4" vm="4651">
        <v>241.18</v>
      </c>
      <c r="G673" s="4" vm="4652">
        <v>129.69999999999999</v>
      </c>
      <c r="H673" s="4">
        <f t="shared" si="11"/>
        <v>0</v>
      </c>
    </row>
    <row r="674" spans="1:8" x14ac:dyDescent="0.3">
      <c r="A674" vm="1339">
        <v>46160</v>
      </c>
      <c r="B674" s="4" vm="1340">
        <v>23649.95</v>
      </c>
      <c r="C674" s="4" vm="4653">
        <v>1860.4</v>
      </c>
      <c r="D674" s="4" vm="4654">
        <v>6913</v>
      </c>
      <c r="E674" s="4" vm="4655">
        <v>1431.7</v>
      </c>
      <c r="F674" s="4" vm="4656">
        <v>241.4</v>
      </c>
      <c r="G674" s="4" vm="4657">
        <v>130.63999999999999</v>
      </c>
      <c r="H674" s="4">
        <f t="shared" si="11"/>
        <v>0</v>
      </c>
    </row>
    <row r="675" spans="1:8" x14ac:dyDescent="0.3">
      <c r="A675" vm="1341">
        <v>46161</v>
      </c>
      <c r="B675" s="4" vm="1342">
        <v>23618</v>
      </c>
      <c r="C675" s="4" vm="4658">
        <v>1881.4</v>
      </c>
      <c r="D675" s="4" vm="4659">
        <v>6882.5</v>
      </c>
      <c r="E675" s="4" vm="4660">
        <v>1431.4</v>
      </c>
      <c r="F675" s="4" vm="4661">
        <v>247.21</v>
      </c>
      <c r="G675" s="4" vm="4662">
        <v>130.19999999999999</v>
      </c>
      <c r="H675" s="4">
        <f t="shared" si="11"/>
        <v>0</v>
      </c>
    </row>
    <row r="676" spans="1:8" x14ac:dyDescent="0.3">
      <c r="A676" vm="1343">
        <v>46162</v>
      </c>
      <c r="B676" s="4" vm="1344">
        <v>23659</v>
      </c>
      <c r="C676" s="4" vm="4663">
        <v>1864.2</v>
      </c>
      <c r="D676" s="4" vm="4664">
        <v>6849.5</v>
      </c>
      <c r="E676" s="4" vm="4665">
        <v>1420.1</v>
      </c>
      <c r="F676" s="4" vm="4666">
        <v>243.34</v>
      </c>
      <c r="G676" s="4" vm="4667">
        <v>130.74</v>
      </c>
      <c r="H676" s="4">
        <f t="shared" si="11"/>
        <v>0</v>
      </c>
    </row>
    <row r="677" spans="1:8" x14ac:dyDescent="0.3">
      <c r="A677" vm="1345">
        <v>46163</v>
      </c>
      <c r="B677" s="4" vm="1346">
        <v>23654.7</v>
      </c>
      <c r="C677" s="4" vm="4668">
        <v>1859.9</v>
      </c>
      <c r="D677" s="4" vm="4669">
        <v>6892</v>
      </c>
      <c r="E677" s="4" vm="4670">
        <v>1406.5</v>
      </c>
      <c r="F677" s="4" vm="4671">
        <v>242.05</v>
      </c>
      <c r="G677" s="4" vm="4672">
        <v>130.5</v>
      </c>
      <c r="H677" s="4">
        <f t="shared" si="11"/>
        <v>0</v>
      </c>
    </row>
    <row r="678" spans="1:8" x14ac:dyDescent="0.3">
      <c r="A678" vm="1347">
        <v>46164</v>
      </c>
      <c r="B678" s="4" vm="1348">
        <v>23719.3</v>
      </c>
      <c r="C678" s="4" vm="4673">
        <v>1870.7</v>
      </c>
      <c r="D678" s="4" vm="4674">
        <v>6981.5</v>
      </c>
      <c r="E678" s="4" vm="4675">
        <v>1423.1</v>
      </c>
      <c r="F678" s="4" vm="4676">
        <v>241.95</v>
      </c>
      <c r="G678" s="4" vm="4677">
        <v>130.51</v>
      </c>
      <c r="H678" s="4">
        <f t="shared" si="11"/>
        <v>0</v>
      </c>
    </row>
    <row r="679" spans="1:8" x14ac:dyDescent="0.3">
      <c r="A679" vm="1349">
        <v>46167</v>
      </c>
      <c r="B679" s="4" vm="1350">
        <v>24031.7</v>
      </c>
      <c r="C679" s="4" vm="4678">
        <v>1901.9</v>
      </c>
      <c r="D679" s="4" vm="4679">
        <v>7414</v>
      </c>
      <c r="E679" s="4" vm="4680">
        <v>1413.6</v>
      </c>
      <c r="F679" s="4" vm="4681">
        <v>247.67</v>
      </c>
      <c r="G679" s="4" vm="4682">
        <v>129.58000000000001</v>
      </c>
      <c r="H679" s="4">
        <f t="shared" si="11"/>
        <v>0</v>
      </c>
    </row>
    <row r="680" spans="1:8" x14ac:dyDescent="0.3">
      <c r="A680" vm="1351">
        <v>46168</v>
      </c>
      <c r="B680" s="4" vm="1352">
        <v>23913.7</v>
      </c>
      <c r="C680" s="4" vm="4683">
        <v>1883.2</v>
      </c>
      <c r="D680" s="4" vm="4684">
        <v>7376</v>
      </c>
      <c r="E680" s="4" vm="2930">
        <v>1428.6</v>
      </c>
      <c r="F680" s="4" vm="4685">
        <v>250.17</v>
      </c>
      <c r="G680" s="4" vm="4686">
        <v>129.04</v>
      </c>
      <c r="H680" s="4">
        <f t="shared" si="11"/>
        <v>0</v>
      </c>
    </row>
    <row r="681" spans="1:8" x14ac:dyDescent="0.3">
      <c r="A681" vm="1353">
        <v>46169</v>
      </c>
      <c r="B681" s="4" vm="1354">
        <v>23907.15</v>
      </c>
      <c r="C681" s="4" vm="4649">
        <v>1864.5</v>
      </c>
      <c r="D681" s="4" vm="4687">
        <v>7419</v>
      </c>
      <c r="E681" s="4" vm="4688">
        <v>1427.5</v>
      </c>
      <c r="F681" s="4" vm="4689">
        <v>256.51</v>
      </c>
      <c r="G681" s="4" vm="4690">
        <v>128.65</v>
      </c>
      <c r="H681" s="4">
        <f t="shared" si="11"/>
        <v>0</v>
      </c>
    </row>
    <row r="682" spans="1:8" x14ac:dyDescent="0.3">
      <c r="A682" vm="1355">
        <v>46171</v>
      </c>
      <c r="B682" s="4" vm="1356">
        <v>23547.75</v>
      </c>
      <c r="C682" s="4" vm="4691">
        <v>1830.1</v>
      </c>
      <c r="D682" s="4" vm="4692">
        <v>7177</v>
      </c>
      <c r="E682" s="4" vm="4693">
        <v>1421.5</v>
      </c>
      <c r="F682" s="4" vm="4694">
        <v>250.58</v>
      </c>
      <c r="G682" s="4" vm="4695">
        <v>127.49</v>
      </c>
      <c r="H682" s="4">
        <f t="shared" si="11"/>
        <v>0</v>
      </c>
    </row>
    <row r="683" spans="1:8" x14ac:dyDescent="0.3">
      <c r="A683" vm="1357">
        <v>46174</v>
      </c>
      <c r="B683" s="4" vm="1358">
        <v>23382.6</v>
      </c>
      <c r="C683" s="4" vm="4696">
        <v>1812.5</v>
      </c>
      <c r="D683" s="4" vm="4697">
        <v>7100.5</v>
      </c>
      <c r="E683" s="4" vm="4698">
        <v>1391.8</v>
      </c>
      <c r="F683" s="4" vm="4699">
        <v>248.1</v>
      </c>
      <c r="G683" s="4" vm="4700">
        <v>128.66999999999999</v>
      </c>
      <c r="H683" s="4">
        <f t="shared" si="11"/>
        <v>0</v>
      </c>
    </row>
    <row r="684" spans="1:8" x14ac:dyDescent="0.3">
      <c r="A684" vm="1359">
        <v>46175</v>
      </c>
      <c r="B684" s="4" vm="1360">
        <v>23483.55</v>
      </c>
      <c r="C684" s="4" vm="4701">
        <v>1801.7</v>
      </c>
      <c r="D684" s="4" vm="4702">
        <v>7141.5</v>
      </c>
      <c r="E684" s="4" vm="4703">
        <v>1398.7</v>
      </c>
      <c r="F684" s="4" vm="4704">
        <v>250.75</v>
      </c>
      <c r="G684" s="4" vm="4705">
        <v>127.64</v>
      </c>
      <c r="H684" s="4">
        <f t="shared" si="11"/>
        <v>0</v>
      </c>
    </row>
    <row r="685" spans="1:8" x14ac:dyDescent="0.3">
      <c r="A685" vm="1361">
        <v>46176</v>
      </c>
      <c r="B685" s="4" vm="1362">
        <v>23405.599999999999</v>
      </c>
      <c r="C685" s="4" vm="4706">
        <v>1784.2</v>
      </c>
      <c r="D685" s="4" vm="4707">
        <v>7130</v>
      </c>
      <c r="E685" s="4" vm="2351">
        <v>1391.5</v>
      </c>
      <c r="F685" s="4" vm="4708">
        <v>247</v>
      </c>
      <c r="G685" s="4" vm="1834">
        <v>128.5</v>
      </c>
      <c r="H685" s="4">
        <f t="shared" si="11"/>
        <v>0</v>
      </c>
    </row>
    <row r="686" spans="1:8" x14ac:dyDescent="0.3">
      <c r="A686" vm="1363">
        <v>46177</v>
      </c>
      <c r="B686" s="4" vm="1364">
        <v>23416.55</v>
      </c>
      <c r="C686" s="4" vm="4709">
        <v>1764.9</v>
      </c>
      <c r="D686" s="4" vm="4710">
        <v>7110</v>
      </c>
      <c r="E686" s="4" vm="4711">
        <v>1382.9</v>
      </c>
      <c r="F686" s="4" vm="4712">
        <v>254.35</v>
      </c>
      <c r="G686" s="4" vm="4713">
        <v>127.78</v>
      </c>
      <c r="H686" s="4">
        <f t="shared" si="11"/>
        <v>0</v>
      </c>
    </row>
    <row r="687" spans="1:8" x14ac:dyDescent="0.3">
      <c r="A687" vm="1365">
        <v>46178</v>
      </c>
      <c r="B687" s="4" vm="1366">
        <v>23366.7</v>
      </c>
      <c r="C687" s="4" vm="4714">
        <v>1782.8</v>
      </c>
      <c r="D687" s="4" vm="4715">
        <v>7070</v>
      </c>
      <c r="E687" s="4" vm="4716">
        <v>1386.2</v>
      </c>
      <c r="F687" s="4" vm="4717">
        <v>256.5</v>
      </c>
      <c r="G687" s="4" vm="4718">
        <v>124.16</v>
      </c>
      <c r="H687" s="4">
        <f t="shared" si="11"/>
        <v>0</v>
      </c>
    </row>
    <row r="688" spans="1:8" x14ac:dyDescent="0.3">
      <c r="A688" vm="1367">
        <v>46181</v>
      </c>
      <c r="B688" s="4" vm="1368">
        <v>23123</v>
      </c>
      <c r="C688" s="4" vm="4719">
        <v>1764.4</v>
      </c>
      <c r="D688" s="4" vm="4549">
        <v>7050</v>
      </c>
      <c r="E688" s="4" vm="4720">
        <v>1398.9</v>
      </c>
      <c r="F688" s="4" vm="4721">
        <v>248.3</v>
      </c>
      <c r="G688" s="4" vm="4722">
        <v>125.39</v>
      </c>
      <c r="H688" s="4">
        <f t="shared" si="11"/>
        <v>0</v>
      </c>
    </row>
    <row r="689" spans="1:8" x14ac:dyDescent="0.3">
      <c r="A689" vm="1369">
        <v>46182</v>
      </c>
      <c r="B689" s="4" vm="1370">
        <v>23242.1</v>
      </c>
      <c r="C689" s="4" vm="4723">
        <v>1769.1</v>
      </c>
      <c r="D689" s="4" vm="4724">
        <v>7203</v>
      </c>
      <c r="E689" s="4" vm="4725">
        <v>1410.4</v>
      </c>
      <c r="F689" s="4" vm="4726">
        <v>245.65</v>
      </c>
      <c r="G689" s="4" vm="4727">
        <v>121.15</v>
      </c>
      <c r="H689" s="4">
        <f t="shared" si="11"/>
        <v>0</v>
      </c>
    </row>
    <row r="690" spans="1:8" x14ac:dyDescent="0.3">
      <c r="A690" vm="1371">
        <v>46183</v>
      </c>
      <c r="B690" s="4" vm="1372">
        <v>23214.95</v>
      </c>
      <c r="C690" s="4" vm="4728">
        <v>1728.7</v>
      </c>
      <c r="D690" s="4" vm="4729">
        <v>7219.5</v>
      </c>
      <c r="E690" s="4" vm="4730">
        <v>1438.3</v>
      </c>
      <c r="F690" s="4" vm="4731">
        <v>239.8</v>
      </c>
      <c r="G690" s="4" vm="4732">
        <v>119.28</v>
      </c>
      <c r="H690" s="4">
        <f t="shared" si="11"/>
        <v>0</v>
      </c>
    </row>
    <row r="691" spans="1:8" x14ac:dyDescent="0.3">
      <c r="A691" vm="1373">
        <v>46184</v>
      </c>
      <c r="B691" s="4" vm="1374">
        <v>23161.599999999999</v>
      </c>
      <c r="C691" s="4" vm="4733">
        <v>1719.1</v>
      </c>
      <c r="D691" s="4" vm="4734">
        <v>7179.5</v>
      </c>
      <c r="E691" s="4" vm="4735">
        <v>1422.5</v>
      </c>
      <c r="F691" s="4" vm="4736">
        <v>235.2</v>
      </c>
      <c r="G691" s="4" vm="4737">
        <v>121.92</v>
      </c>
      <c r="H691" s="4">
        <f t="shared" si="11"/>
        <v>0</v>
      </c>
    </row>
    <row r="692" spans="1:8" x14ac:dyDescent="0.3">
      <c r="A692" vm="1375">
        <v>46185</v>
      </c>
      <c r="B692" s="4" vm="1376">
        <v>23622.9</v>
      </c>
      <c r="C692" s="4" vm="4738">
        <v>1706</v>
      </c>
      <c r="D692" s="4" vm="4739">
        <v>7312</v>
      </c>
      <c r="E692" s="4" vm="4740">
        <v>1375.7</v>
      </c>
      <c r="F692" s="4" vm="4741">
        <v>243.8</v>
      </c>
      <c r="G692" s="4" vm="4742">
        <v>124.11</v>
      </c>
      <c r="H692" s="4">
        <f t="shared" si="11"/>
        <v>0</v>
      </c>
    </row>
    <row r="693" spans="1:8" x14ac:dyDescent="0.3">
      <c r="A693" vm="1377">
        <v>46188</v>
      </c>
      <c r="B693" s="4" vm="1378">
        <v>23853.9</v>
      </c>
      <c r="C693" s="4" vm="4743">
        <v>1759.5</v>
      </c>
      <c r="D693" s="4" vm="4744">
        <v>7624.5</v>
      </c>
      <c r="E693" s="4" vm="4745">
        <v>1374.7</v>
      </c>
      <c r="F693" s="4" vm="4746">
        <v>252</v>
      </c>
      <c r="G693" s="4" vm="4747">
        <v>124.14</v>
      </c>
      <c r="H693" s="4">
        <f t="shared" si="11"/>
        <v>0</v>
      </c>
    </row>
    <row r="694" spans="1:8" x14ac:dyDescent="0.3">
      <c r="A694" vm="1379">
        <v>46189</v>
      </c>
      <c r="B694" s="4" vm="1380">
        <v>23989.15</v>
      </c>
      <c r="C694" s="4" vm="4748">
        <v>1767.6</v>
      </c>
      <c r="D694" s="4" vm="4749">
        <v>7560.5</v>
      </c>
      <c r="E694" s="4" vm="4750">
        <v>1391.7</v>
      </c>
      <c r="F694" s="4" vm="4751">
        <v>253.6</v>
      </c>
      <c r="G694" s="4" vm="4752">
        <v>123.75</v>
      </c>
      <c r="H694" s="4">
        <f t="shared" si="11"/>
        <v>0</v>
      </c>
    </row>
    <row r="695" spans="1:8" x14ac:dyDescent="0.3">
      <c r="A695" vm="1381">
        <v>46190</v>
      </c>
      <c r="B695" s="4" vm="1382">
        <v>24085.7</v>
      </c>
      <c r="C695" s="4" vm="3712">
        <v>1793.6</v>
      </c>
      <c r="D695" s="4" vm="4753">
        <v>7509</v>
      </c>
      <c r="E695" s="4" vm="4754">
        <v>1407.3</v>
      </c>
      <c r="F695" s="4" vm="2888">
        <v>258.39999999999998</v>
      </c>
      <c r="G695" s="4" vm="4755">
        <v>122.12</v>
      </c>
      <c r="H695" s="4">
        <f t="shared" si="11"/>
        <v>0</v>
      </c>
    </row>
    <row r="696" spans="1:8" x14ac:dyDescent="0.3">
      <c r="A696" vm="1383">
        <v>46191</v>
      </c>
      <c r="B696" s="4" vm="1384">
        <v>24168</v>
      </c>
      <c r="C696" s="4" vm="4756">
        <v>1807.6</v>
      </c>
      <c r="D696" s="4" vm="4757">
        <v>7601</v>
      </c>
      <c r="E696" s="4" vm="3035">
        <v>1400.4</v>
      </c>
      <c r="F696" s="4" vm="3654">
        <v>258.55</v>
      </c>
      <c r="G696" s="4" vm="4758">
        <v>119.79</v>
      </c>
      <c r="H696" s="4">
        <f t="shared" si="11"/>
        <v>0</v>
      </c>
    </row>
    <row r="697" spans="1:8" x14ac:dyDescent="0.3">
      <c r="A697" vm="1385">
        <v>46192</v>
      </c>
      <c r="B697" s="4" vm="1386">
        <v>24013.1</v>
      </c>
      <c r="C697" s="4" vm="3588">
        <v>1800.2</v>
      </c>
      <c r="D697" s="4" vm="4759">
        <v>7611</v>
      </c>
      <c r="E697" s="4" vm="4760">
        <v>1414.8</v>
      </c>
      <c r="F697" s="4" vm="4761">
        <v>264.3</v>
      </c>
      <c r="G697" s="4" vm="4762">
        <v>121.12</v>
      </c>
      <c r="H697" s="4">
        <f t="shared" si="11"/>
        <v>0</v>
      </c>
    </row>
    <row r="698" spans="1:8" x14ac:dyDescent="0.3">
      <c r="A698" vm="1387">
        <v>46195</v>
      </c>
      <c r="B698" s="4" vm="1388">
        <v>24102.9</v>
      </c>
      <c r="C698" s="4" vm="3831">
        <v>1805.5</v>
      </c>
      <c r="D698" s="4" vm="4763">
        <v>7639.5</v>
      </c>
      <c r="E698" s="4" vm="4764">
        <v>1401.9</v>
      </c>
      <c r="F698" s="4" vm="4765">
        <v>263.64999999999998</v>
      </c>
      <c r="G698" s="4" vm="1780">
        <v>118.9</v>
      </c>
      <c r="H698" s="4">
        <f t="shared" si="11"/>
        <v>0</v>
      </c>
    </row>
    <row r="699" spans="1:8" x14ac:dyDescent="0.3">
      <c r="A699" vm="1389">
        <v>46196</v>
      </c>
      <c r="B699" s="4" vm="1390">
        <v>23824.1</v>
      </c>
      <c r="C699" s="4" vm="4766">
        <v>1786.2</v>
      </c>
      <c r="D699" s="4" vm="4767">
        <v>7578</v>
      </c>
      <c r="E699" s="4" vm="4768">
        <v>1392.2</v>
      </c>
      <c r="F699" s="4" vm="4769">
        <v>258.95</v>
      </c>
      <c r="G699" s="4" vm="4770">
        <v>117.56</v>
      </c>
      <c r="H699" s="4">
        <f t="shared" si="11"/>
        <v>0</v>
      </c>
    </row>
    <row r="700" spans="1:8" x14ac:dyDescent="0.3">
      <c r="A700" vm="1391">
        <v>46197</v>
      </c>
      <c r="B700" s="4" vm="1392">
        <v>24021.65</v>
      </c>
      <c r="C700" s="4" vm="4771">
        <v>1767.7</v>
      </c>
      <c r="D700" s="4" vm="4772">
        <v>7572</v>
      </c>
      <c r="E700" s="4" vm="4773">
        <v>1382.6</v>
      </c>
      <c r="F700" s="4" vm="2808">
        <v>256.35000000000002</v>
      </c>
      <c r="G700" s="4" vm="4774">
        <v>114.96</v>
      </c>
      <c r="H700" s="4">
        <f t="shared" si="11"/>
        <v>0</v>
      </c>
    </row>
    <row r="701" spans="1:8" x14ac:dyDescent="0.3">
      <c r="A701" vm="1393">
        <v>46198</v>
      </c>
      <c r="B701" s="4" vm="1394">
        <v>24056</v>
      </c>
      <c r="C701" s="4" vm="2547">
        <v>1744.9</v>
      </c>
      <c r="D701" s="4" vm="4775">
        <v>7598</v>
      </c>
      <c r="E701" s="4" vm="4776">
        <v>1402.6</v>
      </c>
      <c r="F701" s="4" vm="4777">
        <v>255.15</v>
      </c>
      <c r="G701" s="4" vm="4778">
        <v>116.43</v>
      </c>
      <c r="H701" s="4">
        <f t="shared" si="11"/>
        <v>0</v>
      </c>
    </row>
    <row r="702" spans="1:8" x14ac:dyDescent="0.3">
      <c r="A702" vm="1395">
        <v>46202</v>
      </c>
      <c r="B702" s="4" vm="1396">
        <v>23946.25</v>
      </c>
      <c r="C702" s="4" vm="4779">
        <v>1755.4</v>
      </c>
      <c r="D702" s="4" vm="4780">
        <v>7426</v>
      </c>
      <c r="E702" s="4" vm="4781">
        <v>1387.3</v>
      </c>
      <c r="F702" s="4" vm="4782">
        <v>259.39999999999998</v>
      </c>
      <c r="G702" s="4" vm="4783">
        <v>115.97</v>
      </c>
      <c r="H702" s="4">
        <f t="shared" si="11"/>
        <v>0</v>
      </c>
    </row>
    <row r="703" spans="1:8" x14ac:dyDescent="0.3">
      <c r="A703" vm="1397">
        <v>46203</v>
      </c>
      <c r="B703" s="4" vm="1398">
        <v>23865.75</v>
      </c>
      <c r="C703" s="4" vm="4784">
        <v>1765.7</v>
      </c>
      <c r="D703" s="4" vm="4785">
        <v>7073.5</v>
      </c>
      <c r="E703" s="4" vm="4786">
        <v>1405.2</v>
      </c>
      <c r="F703" s="4" vm="4787">
        <v>264.60000000000002</v>
      </c>
      <c r="G703" s="4" vm="4788">
        <v>115.46</v>
      </c>
      <c r="H703" s="4">
        <f t="shared" si="11"/>
        <v>0</v>
      </c>
    </row>
    <row r="704" spans="1:8" x14ac:dyDescent="0.3">
      <c r="A704" vm="1399">
        <v>46204</v>
      </c>
      <c r="B704" s="4" vm="1400">
        <v>24005.85</v>
      </c>
      <c r="C704" s="4" vm="4789">
        <v>1790.9</v>
      </c>
      <c r="D704" s="4" vm="4790">
        <v>7139</v>
      </c>
      <c r="E704" s="4" vm="4791">
        <v>1453.8</v>
      </c>
      <c r="F704" s="4" vm="4792">
        <v>279.7</v>
      </c>
      <c r="G704" s="4" vm="4793">
        <v>117.69</v>
      </c>
      <c r="H704" s="4">
        <f t="shared" si="11"/>
        <v>0</v>
      </c>
    </row>
    <row r="705" spans="1:8" x14ac:dyDescent="0.3">
      <c r="A705" vm="1401">
        <v>46205</v>
      </c>
      <c r="B705" s="4" vm="1402">
        <v>24175.7</v>
      </c>
      <c r="C705" s="4" vm="4794">
        <v>1784.4</v>
      </c>
      <c r="D705" s="4" vm="4795">
        <v>7250</v>
      </c>
      <c r="E705" s="4" vm="4796">
        <v>1446.2</v>
      </c>
      <c r="F705" s="4" vm="4792">
        <v>279.7</v>
      </c>
      <c r="G705" s="4" vm="4797">
        <v>120.31</v>
      </c>
      <c r="H705" s="4">
        <f t="shared" si="11"/>
        <v>0</v>
      </c>
    </row>
    <row r="706" spans="1:8" x14ac:dyDescent="0.3">
      <c r="A706" vm="1403">
        <v>46206</v>
      </c>
      <c r="B706" s="4" vm="1404">
        <v>24270.85</v>
      </c>
      <c r="C706" s="4" vm="3932">
        <v>1788.7</v>
      </c>
      <c r="D706" s="4" vm="4798">
        <v>7339.5</v>
      </c>
      <c r="E706" s="4" vm="4799">
        <v>1459.8</v>
      </c>
      <c r="F706" s="4" vm="4800">
        <v>281.64999999999998</v>
      </c>
      <c r="G706" s="4" vm="4801">
        <v>119.51</v>
      </c>
      <c r="H706" s="4">
        <f t="shared" si="11"/>
        <v>0</v>
      </c>
    </row>
    <row r="707" spans="1:8" x14ac:dyDescent="0.3">
      <c r="A707" vm="1405">
        <v>46209</v>
      </c>
      <c r="B707" s="4" vm="1406">
        <v>24430.35</v>
      </c>
      <c r="C707" s="4" vm="4802">
        <v>1787.7</v>
      </c>
      <c r="D707" s="4" vm="4803">
        <v>7471.5</v>
      </c>
      <c r="E707" s="4" vm="4804">
        <v>1473.7</v>
      </c>
      <c r="F707" s="4" vm="4805">
        <v>283.39999999999998</v>
      </c>
      <c r="G707" s="4" vm="4806">
        <v>118.58</v>
      </c>
      <c r="H707" s="4">
        <f t="shared" si="11"/>
        <v>0</v>
      </c>
    </row>
    <row r="708" spans="1:8" x14ac:dyDescent="0.3">
      <c r="A708" vm="1407">
        <v>46210</v>
      </c>
      <c r="B708" s="4" vm="1408">
        <v>24398.7</v>
      </c>
      <c r="C708" s="4" vm="4489">
        <v>1832.3</v>
      </c>
      <c r="D708" s="4" vm="4807">
        <v>7536</v>
      </c>
      <c r="E708" s="4" vm="4808">
        <v>1471.8</v>
      </c>
      <c r="F708" s="4" vm="4809">
        <v>289.39999999999998</v>
      </c>
      <c r="G708" s="4" vm="4810">
        <v>116.96</v>
      </c>
      <c r="H708" s="4">
        <f t="shared" si="11"/>
        <v>0</v>
      </c>
    </row>
    <row r="709" spans="1:8" x14ac:dyDescent="0.3">
      <c r="A709" vm="1409">
        <v>46211</v>
      </c>
      <c r="B709" s="4" vm="1410">
        <v>23882.05</v>
      </c>
      <c r="C709" s="4" vm="4811">
        <v>1789</v>
      </c>
      <c r="D709" s="4" vm="4812">
        <v>7418.5</v>
      </c>
      <c r="E709" s="4" vm="4813">
        <v>1450.5</v>
      </c>
      <c r="F709" s="4" vm="4202">
        <v>286.7</v>
      </c>
      <c r="G709" s="4" vm="4814">
        <v>118.42</v>
      </c>
      <c r="H709" s="4">
        <f t="shared" ref="H709:H732" si="12">SUMPRODUCT($C$3:$G$3,C709:G709)</f>
        <v>0</v>
      </c>
    </row>
    <row r="710" spans="1:8" x14ac:dyDescent="0.3">
      <c r="A710" vm="1411">
        <v>46212</v>
      </c>
      <c r="B710" s="4" vm="1412">
        <v>23962.799999999999</v>
      </c>
      <c r="C710" s="4" vm="4815">
        <v>1821.7</v>
      </c>
      <c r="D710" s="4" vm="4816">
        <v>7361</v>
      </c>
      <c r="E710" s="4" vm="4817">
        <v>1463.2</v>
      </c>
      <c r="F710" s="4" vm="4818">
        <v>292.45</v>
      </c>
      <c r="G710" s="4" vm="4819">
        <v>118.14</v>
      </c>
      <c r="H710" s="4">
        <f t="shared" si="12"/>
        <v>0</v>
      </c>
    </row>
    <row r="711" spans="1:8" x14ac:dyDescent="0.3">
      <c r="A711" vm="1413">
        <v>46213</v>
      </c>
      <c r="B711" s="4" vm="1414">
        <v>24206.9</v>
      </c>
      <c r="C711" s="4" vm="4820">
        <v>1862.9</v>
      </c>
      <c r="D711" s="4" vm="4821">
        <v>7365.5</v>
      </c>
      <c r="E711" s="4" vm="4822">
        <v>1455.2</v>
      </c>
      <c r="F711" s="4" vm="4823">
        <v>289.64999999999998</v>
      </c>
      <c r="G711" s="4" vm="4824">
        <v>116.95</v>
      </c>
      <c r="H711" s="4">
        <f t="shared" si="12"/>
        <v>0</v>
      </c>
    </row>
    <row r="712" spans="1:8" x14ac:dyDescent="0.3">
      <c r="A712" vm="1415">
        <v>46216</v>
      </c>
      <c r="B712" s="4" vm="1416">
        <v>24211</v>
      </c>
      <c r="C712" s="4" vm="4825">
        <v>1855.9</v>
      </c>
      <c r="D712" s="4" vm="4826">
        <v>7296.5</v>
      </c>
      <c r="E712" s="4" vm="4827">
        <v>1427</v>
      </c>
      <c r="F712" s="4" vm="4375">
        <v>285.2</v>
      </c>
      <c r="G712" s="4" vm="4828">
        <v>115.98</v>
      </c>
      <c r="H712" s="4">
        <f t="shared" si="12"/>
        <v>0</v>
      </c>
    </row>
    <row r="713" spans="1:8" x14ac:dyDescent="0.3">
      <c r="A713" vm="1417">
        <v>46217</v>
      </c>
      <c r="B713" s="4" vm="1418">
        <v>24052.05</v>
      </c>
      <c r="C713" s="4" vm="3781">
        <v>1840.3</v>
      </c>
      <c r="D713" s="4" vm="4829">
        <v>7279.5</v>
      </c>
      <c r="E713" s="4" vm="4830">
        <v>1427.1</v>
      </c>
      <c r="F713" s="4" vm="4831">
        <v>286.14999999999998</v>
      </c>
      <c r="G713" s="4" vm="4832">
        <v>116.39</v>
      </c>
      <c r="H713" s="4">
        <f t="shared" si="12"/>
        <v>0</v>
      </c>
    </row>
    <row r="714" spans="1:8" x14ac:dyDescent="0.3">
      <c r="A714" vm="1419">
        <v>46218</v>
      </c>
      <c r="B714" s="4" vm="1420">
        <v>24078.5</v>
      </c>
      <c r="C714" s="4" vm="4833">
        <v>1866.4</v>
      </c>
      <c r="D714" s="4" vm="4834">
        <v>7404.5</v>
      </c>
      <c r="E714" s="4" vm="3122">
        <v>1424.4</v>
      </c>
      <c r="F714" s="4" vm="4835">
        <v>294.8</v>
      </c>
      <c r="G714" s="4" vm="4836">
        <v>116.47</v>
      </c>
      <c r="H714" s="4">
        <f t="shared" si="12"/>
        <v>0</v>
      </c>
    </row>
    <row r="715" spans="1:8" x14ac:dyDescent="0.3">
      <c r="A715" vm="1421">
        <v>46219</v>
      </c>
      <c r="B715" s="4" vm="1422">
        <v>24072.75</v>
      </c>
      <c r="C715" s="4" vm="4837">
        <v>1822.1</v>
      </c>
      <c r="D715" s="4" vm="4812">
        <v>7418.5</v>
      </c>
      <c r="E715" s="4" vm="4838">
        <v>1423.5</v>
      </c>
      <c r="F715" s="4" vm="4839">
        <v>286.45</v>
      </c>
      <c r="G715" s="4" vm="4840">
        <v>115.79</v>
      </c>
      <c r="H715" s="4">
        <f t="shared" si="12"/>
        <v>0</v>
      </c>
    </row>
    <row r="716" spans="1:8" x14ac:dyDescent="0.3">
      <c r="A716" vm="1423">
        <v>46220</v>
      </c>
      <c r="B716" s="4" vm="1424">
        <v>24334.3</v>
      </c>
      <c r="C716" s="4" vm="4841">
        <v>1829.4</v>
      </c>
      <c r="D716" s="4" vm="4842">
        <v>7563.5</v>
      </c>
      <c r="E716" s="4" vm="4843">
        <v>1427.2</v>
      </c>
      <c r="F716" s="4" vm="4380">
        <v>286.60000000000002</v>
      </c>
      <c r="G716" s="4" vm="4844">
        <v>116.84</v>
      </c>
      <c r="H716" s="4">
        <f t="shared" si="12"/>
        <v>0</v>
      </c>
    </row>
    <row r="717" spans="1:8" x14ac:dyDescent="0.3">
      <c r="A717" vm="1425">
        <v>46223</v>
      </c>
      <c r="B717" s="4" vm="1426">
        <v>24238.5</v>
      </c>
      <c r="C717" s="4" vm="4845">
        <v>1824.5</v>
      </c>
      <c r="D717" s="4" vm="4842">
        <v>7563.5</v>
      </c>
      <c r="E717" s="4" vm="4846">
        <v>1446.3</v>
      </c>
      <c r="F717" s="4" vm="4847">
        <v>286.95</v>
      </c>
      <c r="G717" s="4" vm="4848">
        <v>117.73</v>
      </c>
      <c r="H717" s="4">
        <f t="shared" si="12"/>
        <v>0</v>
      </c>
    </row>
    <row r="718" spans="1:8" x14ac:dyDescent="0.3">
      <c r="A718" vm="1427">
        <v>46224</v>
      </c>
      <c r="B718" s="4" vm="1428">
        <v>24187.7</v>
      </c>
      <c r="C718" s="4" vm="4849">
        <v>1827.9</v>
      </c>
      <c r="D718" s="4" vm="4850">
        <v>7689.5</v>
      </c>
      <c r="E718" s="4" vm="4851">
        <v>1451.9</v>
      </c>
      <c r="F718" s="4" vm="4380">
        <v>286.60000000000002</v>
      </c>
      <c r="G718" s="4" vm="4852">
        <v>117.37</v>
      </c>
      <c r="H718" s="4">
        <f t="shared" si="12"/>
        <v>0</v>
      </c>
    </row>
    <row r="719" spans="1:8" x14ac:dyDescent="0.3">
      <c r="A719" vm="1429">
        <v>46225</v>
      </c>
      <c r="B719" s="4" vm="1430">
        <v>23996.25</v>
      </c>
      <c r="C719" s="4" vm="4853">
        <v>1806.7</v>
      </c>
      <c r="D719" s="4" vm="4854">
        <v>7632</v>
      </c>
      <c r="E719" s="4" vm="4855">
        <v>1493.6</v>
      </c>
      <c r="F719" s="4" vm="4856">
        <v>284.39999999999998</v>
      </c>
      <c r="G719" s="4" vm="4857">
        <v>119.14</v>
      </c>
      <c r="H719" s="4">
        <f t="shared" si="12"/>
        <v>0</v>
      </c>
    </row>
    <row r="720" spans="1:8" x14ac:dyDescent="0.3">
      <c r="A720" vm="1431">
        <v>46226</v>
      </c>
      <c r="B720" s="4" vm="1432">
        <v>23869.599999999999</v>
      </c>
      <c r="C720" s="4" vm="4858">
        <v>1853.5</v>
      </c>
      <c r="D720" s="4" vm="4859">
        <v>7721.5</v>
      </c>
      <c r="E720" s="4" vm="4860">
        <v>1447.9</v>
      </c>
      <c r="F720" s="4" vm="4861">
        <v>287.10000000000002</v>
      </c>
      <c r="G720" s="4" vm="4862">
        <v>118.69</v>
      </c>
      <c r="H720" s="4">
        <f t="shared" si="12"/>
        <v>0</v>
      </c>
    </row>
    <row r="721" spans="1:8" x14ac:dyDescent="0.3">
      <c r="A721" vm="1433">
        <v>46227</v>
      </c>
      <c r="B721" s="4" vm="1434">
        <v>23767.45</v>
      </c>
      <c r="C721" s="4" vm="4863">
        <v>1858.6</v>
      </c>
      <c r="D721" s="4" vm="4864">
        <v>7628</v>
      </c>
      <c r="E721" s="4" vm="4865">
        <v>1443.5</v>
      </c>
      <c r="F721" s="4" vm="4866">
        <v>280</v>
      </c>
      <c r="G721" s="4" vm="4867">
        <v>117.91</v>
      </c>
      <c r="H721" s="4">
        <f t="shared" si="12"/>
        <v>0</v>
      </c>
    </row>
    <row r="722" spans="1:8" x14ac:dyDescent="0.3">
      <c r="A722" vm="1435">
        <v>46230</v>
      </c>
      <c r="B722" s="4" vm="1436">
        <v>23995.95</v>
      </c>
      <c r="C722" s="4" vm="4868">
        <v>1866.8</v>
      </c>
      <c r="D722" s="4" vm="4869">
        <v>7769.5</v>
      </c>
      <c r="E722" s="4" vm="4870">
        <v>1446.1</v>
      </c>
      <c r="F722" s="4" vm="2969">
        <v>295.85000000000002</v>
      </c>
      <c r="G722" s="4" vm="4871">
        <v>118.62</v>
      </c>
      <c r="H722" s="4">
        <f t="shared" si="12"/>
        <v>0</v>
      </c>
    </row>
    <row r="723" spans="1:8" x14ac:dyDescent="0.3">
      <c r="A723" vm="1437">
        <v>46231</v>
      </c>
      <c r="B723" s="4" vm="1438">
        <v>23985.35</v>
      </c>
      <c r="C723" s="4" vm="4872">
        <v>1889.1</v>
      </c>
      <c r="D723" s="4" vm="4873">
        <v>7836</v>
      </c>
      <c r="E723" s="4" vm="4874">
        <v>1491.8</v>
      </c>
      <c r="F723" s="4" vm="4875">
        <v>308.35000000000002</v>
      </c>
      <c r="G723" s="4" vm="4876">
        <v>116.83</v>
      </c>
      <c r="H723" s="4">
        <f t="shared" si="12"/>
        <v>0</v>
      </c>
    </row>
    <row r="724" spans="1:8" x14ac:dyDescent="0.3">
      <c r="A724" vm="1439">
        <v>46232</v>
      </c>
      <c r="B724" s="4" vm="1440">
        <v>24250.2</v>
      </c>
      <c r="C724" s="4" vm="4877">
        <v>1894.9</v>
      </c>
      <c r="D724" s="4" vm="4878">
        <v>7779</v>
      </c>
      <c r="E724" s="4" vm="4879">
        <v>1503.3</v>
      </c>
      <c r="F724" s="4" vm="4880">
        <v>311.8</v>
      </c>
      <c r="G724" s="4" vm="4881">
        <v>116.85</v>
      </c>
      <c r="H724" s="4">
        <f t="shared" si="12"/>
        <v>0</v>
      </c>
    </row>
    <row r="725" spans="1:8" x14ac:dyDescent="0.3">
      <c r="A725" vm="1441">
        <v>46233</v>
      </c>
      <c r="B725" s="4" vm="1442">
        <v>24317.15</v>
      </c>
      <c r="C725" s="4" vm="4882">
        <v>1877.5</v>
      </c>
      <c r="D725" s="4" vm="4883">
        <v>7912.5</v>
      </c>
      <c r="E725" s="4" vm="4884">
        <v>1520.7</v>
      </c>
      <c r="F725" s="4" vm="4885">
        <v>310.64999999999998</v>
      </c>
      <c r="G725" s="4" vm="4852">
        <v>117.37</v>
      </c>
      <c r="H725" s="4">
        <f t="shared" si="12"/>
        <v>0</v>
      </c>
    </row>
    <row r="726" spans="1:8" x14ac:dyDescent="0.3">
      <c r="A726" vm="1443">
        <v>46234</v>
      </c>
      <c r="B726" s="4" vm="1444">
        <v>24383.599999999999</v>
      </c>
      <c r="C726" s="4" vm="4886">
        <v>1882</v>
      </c>
      <c r="D726" s="4" vm="4887">
        <v>7833.5</v>
      </c>
      <c r="E726" s="4" vm="4888">
        <v>1509.6</v>
      </c>
      <c r="F726" s="4" vm="4889">
        <v>302.45</v>
      </c>
      <c r="G726" s="4" vm="4890">
        <v>117.11</v>
      </c>
      <c r="H726" s="4">
        <f t="shared" si="12"/>
        <v>0</v>
      </c>
    </row>
    <row r="727" spans="1:8" x14ac:dyDescent="0.3">
      <c r="A727" vm="1445">
        <v>46237</v>
      </c>
      <c r="B727" s="4" vm="1446">
        <v>24774.3</v>
      </c>
      <c r="C727" s="4" vm="4891">
        <v>1915</v>
      </c>
      <c r="D727" s="4" vm="4892">
        <v>8050</v>
      </c>
      <c r="E727" s="4" vm="4893">
        <v>1530</v>
      </c>
      <c r="F727" s="4" vm="4894">
        <v>310.5</v>
      </c>
      <c r="G727" s="4" vm="4895">
        <v>117.26</v>
      </c>
      <c r="H727" s="4">
        <f t="shared" si="12"/>
        <v>0</v>
      </c>
    </row>
    <row r="728" spans="1:8" x14ac:dyDescent="0.3">
      <c r="A728" vm="1447">
        <v>46238</v>
      </c>
      <c r="B728" s="4" vm="1448">
        <v>24614.9</v>
      </c>
      <c r="C728" s="4" vm="4896">
        <v>1899</v>
      </c>
      <c r="D728" s="4" vm="4897">
        <v>7935</v>
      </c>
      <c r="E728" s="4" vm="4898">
        <v>1520</v>
      </c>
      <c r="F728" s="4" vm="4899">
        <v>312.39999999999998</v>
      </c>
      <c r="G728" s="4" vm="4900">
        <v>117.15</v>
      </c>
      <c r="H728" s="4">
        <f t="shared" si="12"/>
        <v>0</v>
      </c>
    </row>
    <row r="729" spans="1:8" x14ac:dyDescent="0.3">
      <c r="A729" vm="1449">
        <v>46239</v>
      </c>
      <c r="B729" s="4" vm="1450">
        <v>24624.65</v>
      </c>
      <c r="C729" s="4" vm="4901">
        <v>1879.9</v>
      </c>
      <c r="D729" s="4" vm="4902">
        <v>7986.5</v>
      </c>
      <c r="E729" s="4" vm="4898">
        <v>1520</v>
      </c>
      <c r="F729" s="4" vm="4903">
        <v>310.35000000000002</v>
      </c>
      <c r="G729" s="4" vm="4904">
        <v>119.39</v>
      </c>
      <c r="H729" s="4">
        <f t="shared" si="12"/>
        <v>0</v>
      </c>
    </row>
    <row r="730" spans="1:8" x14ac:dyDescent="0.3">
      <c r="A730" vm="1451">
        <v>46240</v>
      </c>
      <c r="B730" s="4" vm="1452">
        <v>24636</v>
      </c>
      <c r="C730" s="4" vm="4905">
        <v>1861.5</v>
      </c>
      <c r="D730" s="4" vm="4906">
        <v>7967.5</v>
      </c>
      <c r="E730" s="4" vm="4907">
        <v>1535</v>
      </c>
      <c r="F730" s="4" vm="4908">
        <v>316.25</v>
      </c>
      <c r="G730" s="4" vm="4909">
        <v>122.48</v>
      </c>
      <c r="H730" s="4">
        <f t="shared" si="12"/>
        <v>0</v>
      </c>
    </row>
    <row r="731" spans="1:8" x14ac:dyDescent="0.3">
      <c r="A731" vm="1453">
        <v>46241</v>
      </c>
      <c r="B731" s="4" vm="1454">
        <v>24570.65</v>
      </c>
      <c r="C731" s="4" vm="4910">
        <v>1855.5</v>
      </c>
      <c r="D731" s="4" vm="4911">
        <v>8020</v>
      </c>
      <c r="E731" s="4" vm="4912">
        <v>1540</v>
      </c>
      <c r="F731" s="4" vm="4913">
        <v>315</v>
      </c>
      <c r="G731" s="4" vm="4914">
        <v>123.4</v>
      </c>
      <c r="H731" s="4">
        <f t="shared" si="12"/>
        <v>0</v>
      </c>
    </row>
    <row r="732" spans="1:8" x14ac:dyDescent="0.3">
      <c r="A732" vm="1455">
        <v>46244</v>
      </c>
      <c r="B732" s="4" vm="1456">
        <v>24583.8</v>
      </c>
      <c r="C732" s="4" vm="4915">
        <v>1855</v>
      </c>
      <c r="D732" s="4" vm="4916">
        <v>7975</v>
      </c>
      <c r="E732" s="4" vm="4917">
        <v>1528.6</v>
      </c>
      <c r="F732" s="4" vm="4918">
        <v>310.25</v>
      </c>
      <c r="G732" s="4" vm="4381">
        <v>124.58</v>
      </c>
      <c r="H732" s="4">
        <f t="shared" si="12"/>
        <v>0</v>
      </c>
    </row>
  </sheetData>
  <pageMargins left="0.7" right="0.7" top="0.75" bottom="0.75" header="0.3" footer="0.3"/>
  <ignoredErrors>
    <ignoredError sqref="H4:H7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Weekly</vt:lpstr>
      <vt:lpstr>Monthly</vt:lpstr>
      <vt:lpstr>Data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2026-08-11T08:24:57Z</dcterms:created>
  <dcterms:modified xsi:type="dcterms:W3CDTF">2026-08-11T10:24:40Z</dcterms:modified>
</cp:coreProperties>
</file>