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rvTEnN-QvKN7t5B_9JVF50mFe6I2d9tb\TEACHING\26-27_AUTUMN\FINANCIAL_ECONOMICS\TUTORIALS\Week 1 - Build your financial life\APPLICATION\"/>
    </mc:Choice>
  </mc:AlternateContent>
  <xr:revisionPtr revIDLastSave="0" documentId="13_ncr:1_{F0800969-AA39-4423-9AE3-BA4763486AF8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Inputs" sheetId="1" r:id="rId1"/>
    <sheet name="Summary" sheetId="2" r:id="rId2"/>
    <sheet name="Charts" sheetId="3" r:id="rId3"/>
    <sheet name="Projection" sheetId="4" r:id="rId4"/>
    <sheet name="Checks" sheetId="5" r:id="rId5"/>
  </sheets>
  <definedNames>
    <definedName name="C0">Inputs!$C$22</definedName>
    <definedName name="Clast">Inputs!$C$23</definedName>
    <definedName name="cpReal">Inputs!$C$27</definedName>
    <definedName name="cRate">Inputs!$C$9</definedName>
    <definedName name="ctc">Inputs!$C$6</definedName>
    <definedName name="disc">Inputs!$C$17</definedName>
    <definedName name="geo">Inputs!$C$25</definedName>
    <definedName name="gExp">Inputs!$C$10</definedName>
    <definedName name="gInc">Inputs!$C$8</definedName>
    <definedName name="HC0">Inputs!$C$26</definedName>
    <definedName name="infl">Inputs!$C$16</definedName>
    <definedName name="lifeExp">Inputs!$C$15</definedName>
    <definedName name="Nwork">Inputs!$C$20</definedName>
    <definedName name="pAge">Projection!$B$2:$B$85</definedName>
    <definedName name="pCons">Projection!$G$2:$G$85</definedName>
    <definedName name="pCross">Projection!$R$2:$R$85</definedName>
    <definedName name="pDefl">Projection!$L$2:$L$85</definedName>
    <definedName name="pDeplete">Projection!$S$2:$S$85</definedName>
    <definedName name="pDF">Projection!$K$2:$K$85</definedName>
    <definedName name="pFC">Projection!$J$2:$J$85</definedName>
    <definedName name="pGross">Projection!$D$2:$D$85</definedName>
    <definedName name="pHC">Projection!$N$2:$N$85</definedName>
    <definedName name="pPerm">Projection!$O$2:$O$85</definedName>
    <definedName name="pPost">Projection!$F$2:$F$85</definedName>
    <definedName name="pPVpx">Projection!$M$2:$M$85</definedName>
    <definedName name="pRet">Projection!$Q$2:$Q$85</definedName>
    <definedName name="pSav">Projection!$H$2:$H$85</definedName>
    <definedName name="pT">Projection!$A$2:$A$85</definedName>
    <definedName name="pTax">Projection!$E$2:$E$85</definedName>
    <definedName name="pWealth">Projection!$I$2:$I$85</definedName>
    <definedName name="pWork">Projection!$P$2:$P$85</definedName>
    <definedName name="qv">Inputs!$C$24</definedName>
    <definedName name="realDisc">Inputs!$C$28</definedName>
    <definedName name="realWedge">Inputs!$C$29</definedName>
    <definedName name="ret">Inputs!$C$11</definedName>
    <definedName name="retireAge">Inputs!$C$14</definedName>
    <definedName name="startAge">Inputs!$C$5</definedName>
    <definedName name="tax">Inputs!$C$7</definedName>
    <definedName name="Tlife">Inputs!$C$21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3" i="4" l="1"/>
  <c r="B63" i="4"/>
  <c r="H63" i="4" s="1"/>
  <c r="C63" i="4"/>
  <c r="D63" i="4"/>
  <c r="E63" i="4" s="1"/>
  <c r="G63" i="4"/>
  <c r="I63" i="4"/>
  <c r="J64" i="4" s="1"/>
  <c r="J63" i="4"/>
  <c r="K63" i="4"/>
  <c r="L63" i="4"/>
  <c r="O63" i="4"/>
  <c r="P63" i="4"/>
  <c r="Q63" i="4"/>
  <c r="S63" i="4"/>
  <c r="A64" i="4"/>
  <c r="B64" i="4"/>
  <c r="C64" i="4"/>
  <c r="D64" i="4"/>
  <c r="F64" i="4" s="1"/>
  <c r="M64" i="4" s="1"/>
  <c r="E64" i="4"/>
  <c r="I64" i="4"/>
  <c r="K64" i="4"/>
  <c r="L64" i="4"/>
  <c r="O64" i="4"/>
  <c r="P64" i="4"/>
  <c r="Q64" i="4"/>
  <c r="S64" i="4" s="1"/>
  <c r="A65" i="4"/>
  <c r="K65" i="4" s="1"/>
  <c r="B65" i="4"/>
  <c r="C65" i="4" s="1"/>
  <c r="H65" i="4"/>
  <c r="J65" i="4"/>
  <c r="A66" i="4"/>
  <c r="L66" i="4" s="1"/>
  <c r="A67" i="4"/>
  <c r="B67" i="4"/>
  <c r="G67" i="4"/>
  <c r="H67" i="4"/>
  <c r="K67" i="4"/>
  <c r="L67" i="4"/>
  <c r="Q67" i="4"/>
  <c r="A68" i="4"/>
  <c r="B68" i="4" s="1"/>
  <c r="K68" i="4"/>
  <c r="A69" i="4"/>
  <c r="K69" i="4" s="1"/>
  <c r="L69" i="4"/>
  <c r="A70" i="4"/>
  <c r="L70" i="4" s="1"/>
  <c r="B70" i="4"/>
  <c r="D70" i="4" s="1"/>
  <c r="C70" i="4"/>
  <c r="H70" i="4"/>
  <c r="K70" i="4"/>
  <c r="O70" i="4"/>
  <c r="Q70" i="4"/>
  <c r="A71" i="4"/>
  <c r="K71" i="4" s="1"/>
  <c r="B71" i="4"/>
  <c r="Q71" i="4" s="1"/>
  <c r="H71" i="4"/>
  <c r="A72" i="4"/>
  <c r="K72" i="4" s="1"/>
  <c r="A73" i="4"/>
  <c r="B73" i="4"/>
  <c r="C73" i="4" s="1"/>
  <c r="K73" i="4"/>
  <c r="L73" i="4"/>
  <c r="A74" i="4"/>
  <c r="L74" i="4" s="1"/>
  <c r="K74" i="4"/>
  <c r="A75" i="4"/>
  <c r="B75" i="4"/>
  <c r="H75" i="4" s="1"/>
  <c r="C75" i="4"/>
  <c r="D75" i="4"/>
  <c r="E75" i="4" s="1"/>
  <c r="G75" i="4"/>
  <c r="K75" i="4"/>
  <c r="L75" i="4"/>
  <c r="O75" i="4"/>
  <c r="P75" i="4"/>
  <c r="Q75" i="4"/>
  <c r="A76" i="4"/>
  <c r="B76" i="4"/>
  <c r="C76" i="4"/>
  <c r="H76" i="4"/>
  <c r="K76" i="4"/>
  <c r="L76" i="4"/>
  <c r="O76" i="4"/>
  <c r="Q76" i="4"/>
  <c r="A77" i="4"/>
  <c r="K77" i="4" s="1"/>
  <c r="B77" i="4"/>
  <c r="C77" i="4" s="1"/>
  <c r="A78" i="4"/>
  <c r="L78" i="4" s="1"/>
  <c r="A79" i="4"/>
  <c r="B79" i="4"/>
  <c r="H79" i="4"/>
  <c r="K79" i="4"/>
  <c r="L79" i="4"/>
  <c r="Q79" i="4"/>
  <c r="A80" i="4"/>
  <c r="B80" i="4" s="1"/>
  <c r="A81" i="4"/>
  <c r="K81" i="4" s="1"/>
  <c r="L81" i="4"/>
  <c r="A82" i="4"/>
  <c r="L82" i="4" s="1"/>
  <c r="B82" i="4"/>
  <c r="D82" i="4" s="1"/>
  <c r="C82" i="4"/>
  <c r="K82" i="4"/>
  <c r="O82" i="4"/>
  <c r="Q82" i="4"/>
  <c r="A83" i="4"/>
  <c r="K83" i="4" s="1"/>
  <c r="B83" i="4"/>
  <c r="Q83" i="4" s="1"/>
  <c r="D83" i="4"/>
  <c r="E83" i="4" s="1"/>
  <c r="H83" i="4"/>
  <c r="P83" i="4"/>
  <c r="A84" i="4"/>
  <c r="L84" i="4" s="1"/>
  <c r="A85" i="4"/>
  <c r="B85" i="4"/>
  <c r="C85" i="4" s="1"/>
  <c r="K85" i="4"/>
  <c r="L85" i="4"/>
  <c r="E70" i="4" l="1"/>
  <c r="F70" i="4"/>
  <c r="M70" i="4" s="1"/>
  <c r="E82" i="4"/>
  <c r="F82" i="4" s="1"/>
  <c r="M82" i="4" s="1"/>
  <c r="C80" i="4"/>
  <c r="D80" i="4"/>
  <c r="P80" i="4"/>
  <c r="O80" i="4"/>
  <c r="Q80" i="4"/>
  <c r="G80" i="4"/>
  <c r="H80" i="4"/>
  <c r="C68" i="4"/>
  <c r="O68" i="4"/>
  <c r="Q68" i="4"/>
  <c r="D68" i="4"/>
  <c r="P68" i="4"/>
  <c r="G68" i="4"/>
  <c r="H68" i="4"/>
  <c r="P71" i="4"/>
  <c r="D71" i="4"/>
  <c r="O83" i="4"/>
  <c r="C83" i="4"/>
  <c r="L80" i="4"/>
  <c r="G79" i="4"/>
  <c r="B78" i="4"/>
  <c r="P76" i="4"/>
  <c r="D76" i="4"/>
  <c r="O71" i="4"/>
  <c r="C71" i="4"/>
  <c r="L68" i="4"/>
  <c r="B66" i="4"/>
  <c r="I65" i="4"/>
  <c r="J66" i="4" s="1"/>
  <c r="G65" i="4"/>
  <c r="L83" i="4"/>
  <c r="G82" i="4"/>
  <c r="B81" i="4"/>
  <c r="P79" i="4"/>
  <c r="D79" i="4"/>
  <c r="K78" i="4"/>
  <c r="L71" i="4"/>
  <c r="G70" i="4"/>
  <c r="B69" i="4"/>
  <c r="P67" i="4"/>
  <c r="D67" i="4"/>
  <c r="K66" i="4"/>
  <c r="K80" i="4"/>
  <c r="H77" i="4"/>
  <c r="H82" i="4"/>
  <c r="G77" i="4"/>
  <c r="O79" i="4"/>
  <c r="C79" i="4"/>
  <c r="Q77" i="4"/>
  <c r="B74" i="4"/>
  <c r="O67" i="4"/>
  <c r="C67" i="4"/>
  <c r="Q65" i="4"/>
  <c r="S65" i="4" s="1"/>
  <c r="H85" i="4"/>
  <c r="P65" i="4"/>
  <c r="D65" i="4"/>
  <c r="F63" i="4"/>
  <c r="M63" i="4" s="1"/>
  <c r="P77" i="4"/>
  <c r="D77" i="4"/>
  <c r="F75" i="4"/>
  <c r="M75" i="4" s="1"/>
  <c r="H73" i="4"/>
  <c r="G85" i="4"/>
  <c r="B84" i="4"/>
  <c r="P82" i="4"/>
  <c r="O77" i="4"/>
  <c r="G73" i="4"/>
  <c r="B72" i="4"/>
  <c r="P70" i="4"/>
  <c r="O65" i="4"/>
  <c r="H64" i="4"/>
  <c r="K84" i="4"/>
  <c r="Q85" i="4"/>
  <c r="G83" i="4"/>
  <c r="Q73" i="4"/>
  <c r="L72" i="4"/>
  <c r="G71" i="4"/>
  <c r="P85" i="4"/>
  <c r="D85" i="4"/>
  <c r="F83" i="4"/>
  <c r="M83" i="4" s="1"/>
  <c r="L77" i="4"/>
  <c r="G76" i="4"/>
  <c r="P73" i="4"/>
  <c r="D73" i="4"/>
  <c r="L65" i="4"/>
  <c r="G64" i="4"/>
  <c r="O85" i="4"/>
  <c r="O73" i="4"/>
  <c r="G2" i="4"/>
  <c r="B62" i="4"/>
  <c r="A62" i="4"/>
  <c r="K62" i="4" s="1"/>
  <c r="L61" i="4"/>
  <c r="A61" i="4"/>
  <c r="L60" i="4"/>
  <c r="K60" i="4"/>
  <c r="B60" i="4"/>
  <c r="P60" i="4" s="1"/>
  <c r="A60" i="4"/>
  <c r="L59" i="4"/>
  <c r="K59" i="4"/>
  <c r="B59" i="4"/>
  <c r="A59" i="4"/>
  <c r="B58" i="4"/>
  <c r="Q58" i="4" s="1"/>
  <c r="A58" i="4"/>
  <c r="L57" i="4"/>
  <c r="A57" i="4"/>
  <c r="L56" i="4"/>
  <c r="K56" i="4"/>
  <c r="B56" i="4"/>
  <c r="Q56" i="4" s="1"/>
  <c r="A56" i="4"/>
  <c r="K55" i="4"/>
  <c r="B55" i="4"/>
  <c r="A55" i="4"/>
  <c r="L55" i="4" s="1"/>
  <c r="B54" i="4"/>
  <c r="Q54" i="4" s="1"/>
  <c r="A54" i="4"/>
  <c r="L53" i="4"/>
  <c r="K53" i="4"/>
  <c r="A53" i="4"/>
  <c r="L52" i="4"/>
  <c r="K52" i="4"/>
  <c r="A52" i="4"/>
  <c r="A51" i="4"/>
  <c r="L50" i="4"/>
  <c r="B50" i="4"/>
  <c r="Q50" i="4" s="1"/>
  <c r="A50" i="4"/>
  <c r="K50" i="4" s="1"/>
  <c r="L49" i="4"/>
  <c r="K49" i="4"/>
  <c r="A49" i="4"/>
  <c r="L48" i="4"/>
  <c r="K48" i="4"/>
  <c r="B48" i="4"/>
  <c r="Q48" i="4" s="1"/>
  <c r="A48" i="4"/>
  <c r="L47" i="4"/>
  <c r="K47" i="4"/>
  <c r="B47" i="4"/>
  <c r="C47" i="4" s="1"/>
  <c r="A47" i="4"/>
  <c r="A46" i="4"/>
  <c r="A45" i="4"/>
  <c r="L44" i="4"/>
  <c r="K44" i="4"/>
  <c r="D44" i="4"/>
  <c r="E44" i="4" s="1"/>
  <c r="C44" i="4"/>
  <c r="B44" i="4"/>
  <c r="Q44" i="4" s="1"/>
  <c r="A44" i="4"/>
  <c r="K43" i="4"/>
  <c r="B43" i="4"/>
  <c r="P43" i="4" s="1"/>
  <c r="A43" i="4"/>
  <c r="L43" i="4" s="1"/>
  <c r="A42" i="4"/>
  <c r="L41" i="4"/>
  <c r="K41" i="4"/>
  <c r="A41" i="4"/>
  <c r="A40" i="4"/>
  <c r="B39" i="4"/>
  <c r="Q39" i="4" s="1"/>
  <c r="A39" i="4"/>
  <c r="L38" i="4"/>
  <c r="B38" i="4"/>
  <c r="D38" i="4" s="1"/>
  <c r="A38" i="4"/>
  <c r="K38" i="4" s="1"/>
  <c r="L37" i="4"/>
  <c r="K37" i="4"/>
  <c r="A37" i="4"/>
  <c r="L36" i="4"/>
  <c r="K36" i="4"/>
  <c r="B36" i="4"/>
  <c r="Q36" i="4" s="1"/>
  <c r="A36" i="4"/>
  <c r="L35" i="4"/>
  <c r="K35" i="4"/>
  <c r="B35" i="4"/>
  <c r="C35" i="4" s="1"/>
  <c r="A35" i="4"/>
  <c r="L34" i="4"/>
  <c r="A34" i="4"/>
  <c r="B33" i="4"/>
  <c r="A33" i="4"/>
  <c r="L32" i="4"/>
  <c r="K32" i="4"/>
  <c r="B32" i="4"/>
  <c r="Q32" i="4" s="1"/>
  <c r="A32" i="4"/>
  <c r="K31" i="4"/>
  <c r="A31" i="4"/>
  <c r="L31" i="4" s="1"/>
  <c r="L30" i="4"/>
  <c r="K30" i="4"/>
  <c r="B30" i="4"/>
  <c r="C30" i="4" s="1"/>
  <c r="A30" i="4"/>
  <c r="B29" i="4"/>
  <c r="A29" i="4"/>
  <c r="L29" i="4" s="1"/>
  <c r="L28" i="4"/>
  <c r="A28" i="4"/>
  <c r="L27" i="4"/>
  <c r="K27" i="4"/>
  <c r="A27" i="4"/>
  <c r="B27" i="4" s="1"/>
  <c r="K26" i="4"/>
  <c r="B26" i="4"/>
  <c r="A26" i="4"/>
  <c r="L26" i="4" s="1"/>
  <c r="A25" i="4"/>
  <c r="A24" i="4"/>
  <c r="L23" i="4"/>
  <c r="K23" i="4"/>
  <c r="D23" i="4"/>
  <c r="C23" i="4"/>
  <c r="B23" i="4"/>
  <c r="P23" i="4" s="1"/>
  <c r="A23" i="4"/>
  <c r="L22" i="4"/>
  <c r="K22" i="4"/>
  <c r="B22" i="4"/>
  <c r="A22" i="4"/>
  <c r="A21" i="4"/>
  <c r="A20" i="4"/>
  <c r="L19" i="4"/>
  <c r="K19" i="4"/>
  <c r="B19" i="4"/>
  <c r="Q19" i="4" s="1"/>
  <c r="A19" i="4"/>
  <c r="K18" i="4"/>
  <c r="B18" i="4"/>
  <c r="P18" i="4" s="1"/>
  <c r="A18" i="4"/>
  <c r="L18" i="4" s="1"/>
  <c r="L17" i="4"/>
  <c r="K17" i="4"/>
  <c r="B17" i="4"/>
  <c r="D17" i="4" s="1"/>
  <c r="E17" i="4" s="1"/>
  <c r="A17" i="4"/>
  <c r="L16" i="4"/>
  <c r="K16" i="4"/>
  <c r="A16" i="4"/>
  <c r="A15" i="4"/>
  <c r="L14" i="4"/>
  <c r="K14" i="4"/>
  <c r="A14" i="4"/>
  <c r="B14" i="4" s="1"/>
  <c r="B13" i="4"/>
  <c r="D13" i="4" s="1"/>
  <c r="A13" i="4"/>
  <c r="K13" i="4" s="1"/>
  <c r="K12" i="4"/>
  <c r="A12" i="4"/>
  <c r="A11" i="4"/>
  <c r="L10" i="4"/>
  <c r="A10" i="4"/>
  <c r="L9" i="4"/>
  <c r="K9" i="4"/>
  <c r="A9" i="4"/>
  <c r="L8" i="4"/>
  <c r="B8" i="4"/>
  <c r="A8" i="4"/>
  <c r="K8" i="4" s="1"/>
  <c r="L7" i="4"/>
  <c r="K7" i="4"/>
  <c r="B7" i="4"/>
  <c r="P7" i="4" s="1"/>
  <c r="A7" i="4"/>
  <c r="L6" i="4"/>
  <c r="B6" i="4"/>
  <c r="Q6" i="4" s="1"/>
  <c r="A6" i="4"/>
  <c r="K6" i="4" s="1"/>
  <c r="P5" i="4"/>
  <c r="L5" i="4"/>
  <c r="K5" i="4"/>
  <c r="B5" i="4"/>
  <c r="G5" i="4" s="1"/>
  <c r="A5" i="4"/>
  <c r="L4" i="4"/>
  <c r="K4" i="4"/>
  <c r="B4" i="4"/>
  <c r="A4" i="4"/>
  <c r="B3" i="4"/>
  <c r="A3" i="4"/>
  <c r="L3" i="4" s="1"/>
  <c r="J2" i="4"/>
  <c r="A2" i="4"/>
  <c r="C29" i="1"/>
  <c r="C23" i="2" s="1"/>
  <c r="C28" i="1"/>
  <c r="C24" i="2" s="1"/>
  <c r="C24" i="1"/>
  <c r="C22" i="1"/>
  <c r="C21" i="1"/>
  <c r="C20" i="1"/>
  <c r="E71" i="4" l="1"/>
  <c r="F71" i="4"/>
  <c r="M71" i="4" s="1"/>
  <c r="E73" i="4"/>
  <c r="F73" i="4" s="1"/>
  <c r="M73" i="4" s="1"/>
  <c r="C84" i="4"/>
  <c r="O84" i="4"/>
  <c r="D84" i="4"/>
  <c r="P84" i="4"/>
  <c r="G84" i="4"/>
  <c r="Q84" i="4"/>
  <c r="H84" i="4"/>
  <c r="E79" i="4"/>
  <c r="F79" i="4" s="1"/>
  <c r="M79" i="4" s="1"/>
  <c r="F76" i="4"/>
  <c r="M76" i="4" s="1"/>
  <c r="E76" i="4"/>
  <c r="G81" i="4"/>
  <c r="H81" i="4"/>
  <c r="D81" i="4"/>
  <c r="P81" i="4"/>
  <c r="C81" i="4"/>
  <c r="O81" i="4"/>
  <c r="Q81" i="4"/>
  <c r="H74" i="4"/>
  <c r="G74" i="4"/>
  <c r="D74" i="4"/>
  <c r="P74" i="4"/>
  <c r="Q74" i="4"/>
  <c r="C74" i="4"/>
  <c r="O74" i="4"/>
  <c r="E77" i="4"/>
  <c r="F77" i="4"/>
  <c r="M77" i="4" s="1"/>
  <c r="E67" i="4"/>
  <c r="F67" i="4" s="1"/>
  <c r="M67" i="4" s="1"/>
  <c r="D78" i="4"/>
  <c r="P78" i="4"/>
  <c r="Q78" i="4"/>
  <c r="G78" i="4"/>
  <c r="H78" i="4"/>
  <c r="C78" i="4"/>
  <c r="O78" i="4"/>
  <c r="E85" i="4"/>
  <c r="F85" i="4"/>
  <c r="M85" i="4" s="1"/>
  <c r="C72" i="4"/>
  <c r="O72" i="4"/>
  <c r="D72" i="4"/>
  <c r="P72" i="4"/>
  <c r="G72" i="4"/>
  <c r="Q72" i="4"/>
  <c r="H72" i="4"/>
  <c r="E68" i="4"/>
  <c r="F68" i="4"/>
  <c r="M68" i="4" s="1"/>
  <c r="E80" i="4"/>
  <c r="F80" i="4" s="1"/>
  <c r="M80" i="4" s="1"/>
  <c r="G69" i="4"/>
  <c r="H69" i="4"/>
  <c r="O69" i="4"/>
  <c r="D69" i="4"/>
  <c r="P69" i="4"/>
  <c r="C69" i="4"/>
  <c r="Q69" i="4"/>
  <c r="E65" i="4"/>
  <c r="F65" i="4"/>
  <c r="M65" i="4" s="1"/>
  <c r="D66" i="4"/>
  <c r="P66" i="4"/>
  <c r="Q66" i="4"/>
  <c r="G66" i="4"/>
  <c r="H66" i="4"/>
  <c r="I66" i="4"/>
  <c r="C66" i="4"/>
  <c r="O66" i="4"/>
  <c r="C38" i="4"/>
  <c r="D43" i="4"/>
  <c r="C32" i="4"/>
  <c r="D32" i="4"/>
  <c r="E32" i="4" s="1"/>
  <c r="Q38" i="4"/>
  <c r="C50" i="4"/>
  <c r="G32" i="4"/>
  <c r="D50" i="4"/>
  <c r="E50" i="4" s="1"/>
  <c r="F50" i="4" s="1"/>
  <c r="M50" i="4" s="1"/>
  <c r="P32" i="4"/>
  <c r="G7" i="4"/>
  <c r="P30" i="4"/>
  <c r="C56" i="4"/>
  <c r="Q30" i="4"/>
  <c r="P48" i="4"/>
  <c r="D56" i="4"/>
  <c r="D6" i="4"/>
  <c r="E6" i="4" s="1"/>
  <c r="F6" i="4" s="1"/>
  <c r="P6" i="4"/>
  <c r="P36" i="4"/>
  <c r="E23" i="4"/>
  <c r="F23" i="4" s="1"/>
  <c r="C25" i="1"/>
  <c r="D5" i="4"/>
  <c r="P56" i="4"/>
  <c r="F44" i="4"/>
  <c r="M44" i="4" s="1"/>
  <c r="C48" i="4"/>
  <c r="P54" i="4"/>
  <c r="Q7" i="4"/>
  <c r="E13" i="4"/>
  <c r="F13" i="4" s="1"/>
  <c r="P14" i="4"/>
  <c r="D14" i="4"/>
  <c r="Q14" i="4"/>
  <c r="C14" i="4"/>
  <c r="G14" i="4"/>
  <c r="L11" i="4"/>
  <c r="K11" i="4"/>
  <c r="B11" i="4"/>
  <c r="Q4" i="4"/>
  <c r="C4" i="4"/>
  <c r="G35" i="4"/>
  <c r="G4" i="4"/>
  <c r="C8" i="4"/>
  <c r="Q27" i="4"/>
  <c r="P27" i="4"/>
  <c r="G27" i="4"/>
  <c r="D27" i="4"/>
  <c r="C27" i="4"/>
  <c r="G29" i="4"/>
  <c r="C29" i="4"/>
  <c r="Q29" i="4"/>
  <c r="D29" i="4"/>
  <c r="P29" i="4"/>
  <c r="D4" i="4"/>
  <c r="G18" i="4"/>
  <c r="D18" i="4"/>
  <c r="G13" i="4"/>
  <c r="P13" i="4"/>
  <c r="C13" i="4"/>
  <c r="C18" i="4"/>
  <c r="B24" i="4"/>
  <c r="K24" i="4"/>
  <c r="L24" i="4"/>
  <c r="G3" i="4"/>
  <c r="Q3" i="4"/>
  <c r="P3" i="4"/>
  <c r="D3" i="4"/>
  <c r="C3" i="4"/>
  <c r="B10" i="4"/>
  <c r="K10" i="4"/>
  <c r="Q18" i="4"/>
  <c r="K21" i="4"/>
  <c r="L21" i="4"/>
  <c r="L25" i="4"/>
  <c r="K25" i="4"/>
  <c r="B25" i="4"/>
  <c r="G8" i="4"/>
  <c r="Q8" i="4"/>
  <c r="P8" i="4"/>
  <c r="D8" i="4"/>
  <c r="L15" i="4"/>
  <c r="K15" i="4"/>
  <c r="B15" i="4"/>
  <c r="G23" i="4"/>
  <c r="G36" i="4"/>
  <c r="C23" i="1"/>
  <c r="G54" i="4" s="1"/>
  <c r="G26" i="4"/>
  <c r="P4" i="4"/>
  <c r="Q13" i="4"/>
  <c r="F17" i="4"/>
  <c r="B21" i="4"/>
  <c r="K3" i="4"/>
  <c r="G6" i="4"/>
  <c r="C6" i="4"/>
  <c r="L42" i="4"/>
  <c r="K42" i="4"/>
  <c r="E43" i="4"/>
  <c r="F43" i="4" s="1"/>
  <c r="M43" i="4" s="1"/>
  <c r="G17" i="4"/>
  <c r="P17" i="4"/>
  <c r="D33" i="4"/>
  <c r="C17" i="4"/>
  <c r="Q17" i="4"/>
  <c r="G19" i="4"/>
  <c r="B20" i="4"/>
  <c r="G22" i="4"/>
  <c r="Q23" i="4"/>
  <c r="B28" i="4"/>
  <c r="F32" i="4"/>
  <c r="C33" i="4"/>
  <c r="B42" i="4"/>
  <c r="B52" i="4"/>
  <c r="G33" i="4"/>
  <c r="E56" i="4"/>
  <c r="F56" i="4"/>
  <c r="B40" i="4"/>
  <c r="K46" i="4"/>
  <c r="B46" i="4"/>
  <c r="L51" i="4"/>
  <c r="K51" i="4"/>
  <c r="Q55" i="4"/>
  <c r="G55" i="4"/>
  <c r="C55" i="4"/>
  <c r="P59" i="4"/>
  <c r="D59" i="4"/>
  <c r="G59" i="4"/>
  <c r="C59" i="4"/>
  <c r="Q59" i="4"/>
  <c r="G62" i="4"/>
  <c r="P62" i="4"/>
  <c r="D62" i="4"/>
  <c r="Q62" i="4"/>
  <c r="B51" i="4"/>
  <c r="D55" i="4"/>
  <c r="C62" i="4"/>
  <c r="L12" i="4"/>
  <c r="B16" i="4"/>
  <c r="G30" i="4"/>
  <c r="L39" i="4"/>
  <c r="K39" i="4"/>
  <c r="L54" i="4"/>
  <c r="K54" i="4"/>
  <c r="K58" i="4"/>
  <c r="L58" i="4"/>
  <c r="K2" i="4"/>
  <c r="P39" i="4"/>
  <c r="D39" i="4"/>
  <c r="G39" i="4"/>
  <c r="L45" i="4"/>
  <c r="K45" i="4"/>
  <c r="C54" i="4"/>
  <c r="C58" i="4"/>
  <c r="G58" i="4"/>
  <c r="P58" i="4"/>
  <c r="L2" i="4"/>
  <c r="C5" i="4"/>
  <c r="B12" i="4"/>
  <c r="K20" i="4"/>
  <c r="K28" i="4"/>
  <c r="D30" i="4"/>
  <c r="B31" i="4"/>
  <c r="P33" i="4"/>
  <c r="C39" i="4"/>
  <c r="K40" i="4"/>
  <c r="B45" i="4"/>
  <c r="L46" i="4"/>
  <c r="D54" i="4"/>
  <c r="D58" i="4"/>
  <c r="P19" i="4"/>
  <c r="L20" i="4"/>
  <c r="P22" i="4"/>
  <c r="D22" i="4"/>
  <c r="Q22" i="4"/>
  <c r="Q26" i="4"/>
  <c r="P26" i="4"/>
  <c r="D26" i="4"/>
  <c r="Q33" i="4"/>
  <c r="L40" i="4"/>
  <c r="B2" i="4"/>
  <c r="E5" i="4"/>
  <c r="F5" i="4" s="1"/>
  <c r="Q5" i="4"/>
  <c r="C7" i="4"/>
  <c r="C19" i="4"/>
  <c r="C22" i="4"/>
  <c r="C26" i="4"/>
  <c r="K29" i="4"/>
  <c r="K34" i="4"/>
  <c r="D36" i="4"/>
  <c r="E38" i="4"/>
  <c r="F38" i="4" s="1"/>
  <c r="P55" i="4"/>
  <c r="D7" i="4"/>
  <c r="B9" i="4"/>
  <c r="L13" i="4"/>
  <c r="D19" i="4"/>
  <c r="L33" i="4"/>
  <c r="K33" i="4"/>
  <c r="B34" i="4"/>
  <c r="C36" i="4"/>
  <c r="G43" i="4"/>
  <c r="Q43" i="4"/>
  <c r="C43" i="4"/>
  <c r="D48" i="4"/>
  <c r="K57" i="4"/>
  <c r="B57" i="4"/>
  <c r="B37" i="4"/>
  <c r="B49" i="4"/>
  <c r="Q60" i="4"/>
  <c r="L62" i="4"/>
  <c r="B41" i="4"/>
  <c r="B53" i="4"/>
  <c r="C60" i="4"/>
  <c r="P35" i="4"/>
  <c r="D35" i="4"/>
  <c r="Q35" i="4"/>
  <c r="G38" i="4"/>
  <c r="P38" i="4"/>
  <c r="P44" i="4"/>
  <c r="P47" i="4"/>
  <c r="D47" i="4"/>
  <c r="Q47" i="4"/>
  <c r="G50" i="4"/>
  <c r="H50" i="4" s="1"/>
  <c r="P50" i="4"/>
  <c r="D60" i="4"/>
  <c r="B61" i="4"/>
  <c r="K61" i="4"/>
  <c r="E84" i="4" l="1"/>
  <c r="F84" i="4" s="1"/>
  <c r="M84" i="4" s="1"/>
  <c r="F72" i="4"/>
  <c r="M72" i="4" s="1"/>
  <c r="E72" i="4"/>
  <c r="E74" i="4"/>
  <c r="F74" i="4" s="1"/>
  <c r="M74" i="4" s="1"/>
  <c r="E81" i="4"/>
  <c r="F81" i="4" s="1"/>
  <c r="M81" i="4" s="1"/>
  <c r="E78" i="4"/>
  <c r="F78" i="4" s="1"/>
  <c r="M78" i="4" s="1"/>
  <c r="E66" i="4"/>
  <c r="F66" i="4" s="1"/>
  <c r="M66" i="4" s="1"/>
  <c r="E69" i="4"/>
  <c r="F69" i="4" s="1"/>
  <c r="M69" i="4" s="1"/>
  <c r="J67" i="4"/>
  <c r="I67" i="4"/>
  <c r="S66" i="4"/>
  <c r="M6" i="4"/>
  <c r="H6" i="4"/>
  <c r="M23" i="4"/>
  <c r="H23" i="4"/>
  <c r="H43" i="4"/>
  <c r="M5" i="4"/>
  <c r="H5" i="4"/>
  <c r="M38" i="4"/>
  <c r="H38" i="4"/>
  <c r="M13" i="4"/>
  <c r="H13" i="4"/>
  <c r="C46" i="4"/>
  <c r="G46" i="4"/>
  <c r="Q46" i="4"/>
  <c r="P46" i="4"/>
  <c r="D46" i="4"/>
  <c r="E47" i="4"/>
  <c r="F47" i="4" s="1"/>
  <c r="C57" i="4"/>
  <c r="P57" i="4"/>
  <c r="Q57" i="4"/>
  <c r="G57" i="4"/>
  <c r="D57" i="4"/>
  <c r="M17" i="4"/>
  <c r="H17" i="4"/>
  <c r="E3" i="4"/>
  <c r="F3" i="4" s="1"/>
  <c r="G11" i="4"/>
  <c r="P11" i="4"/>
  <c r="D11" i="4"/>
  <c r="Q11" i="4"/>
  <c r="C11" i="4"/>
  <c r="E22" i="4"/>
  <c r="F22" i="4" s="1"/>
  <c r="G45" i="4"/>
  <c r="D45" i="4"/>
  <c r="C45" i="4"/>
  <c r="Q45" i="4"/>
  <c r="P45" i="4"/>
  <c r="E55" i="4"/>
  <c r="F55" i="4" s="1"/>
  <c r="Q40" i="4"/>
  <c r="G40" i="4"/>
  <c r="D40" i="4"/>
  <c r="P40" i="4"/>
  <c r="C40" i="4"/>
  <c r="Q52" i="4"/>
  <c r="G52" i="4"/>
  <c r="D52" i="4"/>
  <c r="P52" i="4"/>
  <c r="C52" i="4"/>
  <c r="E8" i="4"/>
  <c r="F8" i="4" s="1"/>
  <c r="E14" i="4"/>
  <c r="F14" i="4" s="1"/>
  <c r="E7" i="4"/>
  <c r="F7" i="4" s="1"/>
  <c r="E4" i="4"/>
  <c r="F4" i="4" s="1"/>
  <c r="P51" i="4"/>
  <c r="D51" i="4"/>
  <c r="G51" i="4"/>
  <c r="Q51" i="4"/>
  <c r="C51" i="4"/>
  <c r="E62" i="4"/>
  <c r="F62" i="4" s="1"/>
  <c r="D20" i="4"/>
  <c r="P20" i="4"/>
  <c r="Q20" i="4"/>
  <c r="C20" i="4"/>
  <c r="G20" i="4"/>
  <c r="Q41" i="4"/>
  <c r="C41" i="4"/>
  <c r="P41" i="4"/>
  <c r="G41" i="4"/>
  <c r="D41" i="4"/>
  <c r="M56" i="4"/>
  <c r="C42" i="4"/>
  <c r="G42" i="4"/>
  <c r="Q42" i="4"/>
  <c r="P42" i="4"/>
  <c r="D42" i="4"/>
  <c r="E59" i="4"/>
  <c r="F59" i="4" s="1"/>
  <c r="G49" i="4"/>
  <c r="D49" i="4"/>
  <c r="P49" i="4"/>
  <c r="C49" i="4"/>
  <c r="Q49" i="4"/>
  <c r="E48" i="4"/>
  <c r="F48" i="4" s="1"/>
  <c r="E36" i="4"/>
  <c r="F36" i="4" s="1"/>
  <c r="E27" i="4"/>
  <c r="F27" i="4" s="1"/>
  <c r="G25" i="4"/>
  <c r="D25" i="4"/>
  <c r="C25" i="4"/>
  <c r="Q25" i="4"/>
  <c r="P25" i="4"/>
  <c r="E54" i="4"/>
  <c r="F54" i="4" s="1"/>
  <c r="Q61" i="4"/>
  <c r="P61" i="4"/>
  <c r="D61" i="4"/>
  <c r="G61" i="4"/>
  <c r="C61" i="4"/>
  <c r="G31" i="4"/>
  <c r="P31" i="4"/>
  <c r="C31" i="4"/>
  <c r="D31" i="4"/>
  <c r="Q31" i="4"/>
  <c r="M32" i="4"/>
  <c r="H32" i="4"/>
  <c r="E29" i="4"/>
  <c r="F29" i="4" s="1"/>
  <c r="G16" i="4"/>
  <c r="Q16" i="4"/>
  <c r="D16" i="4"/>
  <c r="P16" i="4"/>
  <c r="C16" i="4"/>
  <c r="C21" i="4"/>
  <c r="G21" i="4"/>
  <c r="D21" i="4"/>
  <c r="Q21" i="4"/>
  <c r="P21" i="4"/>
  <c r="E18" i="4"/>
  <c r="F18" i="4" s="1"/>
  <c r="G15" i="4"/>
  <c r="Q15" i="4"/>
  <c r="D15" i="4"/>
  <c r="P15" i="4"/>
  <c r="C15" i="4"/>
  <c r="Q53" i="4"/>
  <c r="C53" i="4"/>
  <c r="P53" i="4"/>
  <c r="D53" i="4"/>
  <c r="G53" i="4"/>
  <c r="E30" i="4"/>
  <c r="F30" i="4" s="1"/>
  <c r="F60" i="4"/>
  <c r="E60" i="4"/>
  <c r="E35" i="4"/>
  <c r="F35" i="4" s="1"/>
  <c r="E19" i="4"/>
  <c r="F19" i="4" s="1"/>
  <c r="E39" i="4"/>
  <c r="F39" i="4" s="1"/>
  <c r="C28" i="4"/>
  <c r="P28" i="4"/>
  <c r="Q28" i="4"/>
  <c r="G28" i="4"/>
  <c r="D28" i="4"/>
  <c r="G60" i="4"/>
  <c r="G56" i="4"/>
  <c r="H56" i="4" s="1"/>
  <c r="G47" i="4"/>
  <c r="G48" i="4"/>
  <c r="G44" i="4"/>
  <c r="H44" i="4" s="1"/>
  <c r="G10" i="4"/>
  <c r="Q10" i="4"/>
  <c r="P10" i="4"/>
  <c r="D10" i="4"/>
  <c r="C10" i="4"/>
  <c r="C34" i="4"/>
  <c r="G34" i="4"/>
  <c r="Q34" i="4"/>
  <c r="P34" i="4"/>
  <c r="D34" i="4"/>
  <c r="G24" i="4"/>
  <c r="D24" i="4"/>
  <c r="P24" i="4"/>
  <c r="Q24" i="4"/>
  <c r="C24" i="4"/>
  <c r="E58" i="4"/>
  <c r="F58" i="4"/>
  <c r="Q12" i="4"/>
  <c r="P12" i="4"/>
  <c r="D12" i="4"/>
  <c r="C12" i="4"/>
  <c r="G12" i="4"/>
  <c r="G37" i="4"/>
  <c r="D37" i="4"/>
  <c r="P37" i="4"/>
  <c r="C37" i="4"/>
  <c r="Q37" i="4"/>
  <c r="P9" i="4"/>
  <c r="D9" i="4"/>
  <c r="Q9" i="4"/>
  <c r="G9" i="4"/>
  <c r="C9" i="4"/>
  <c r="C2" i="4"/>
  <c r="Q2" i="4"/>
  <c r="P2" i="4"/>
  <c r="D2" i="4"/>
  <c r="E26" i="4"/>
  <c r="F26" i="4" s="1"/>
  <c r="E33" i="4"/>
  <c r="F33" i="4" s="1"/>
  <c r="N63" i="4" l="1"/>
  <c r="R63" i="4" s="1"/>
  <c r="N66" i="4"/>
  <c r="R66" i="4" s="1"/>
  <c r="N83" i="4"/>
  <c r="N85" i="4"/>
  <c r="N76" i="4"/>
  <c r="N82" i="4"/>
  <c r="N69" i="4"/>
  <c r="N72" i="4"/>
  <c r="N75" i="4"/>
  <c r="N65" i="4"/>
  <c r="R65" i="4" s="1"/>
  <c r="N70" i="4"/>
  <c r="N79" i="4"/>
  <c r="N71" i="4"/>
  <c r="N73" i="4"/>
  <c r="N77" i="4"/>
  <c r="N80" i="4"/>
  <c r="N78" i="4"/>
  <c r="N68" i="4"/>
  <c r="N74" i="4"/>
  <c r="N64" i="4"/>
  <c r="R64" i="4" s="1"/>
  <c r="N84" i="4"/>
  <c r="N67" i="4"/>
  <c r="R67" i="4" s="1"/>
  <c r="N81" i="4"/>
  <c r="J68" i="4"/>
  <c r="R68" i="4" s="1"/>
  <c r="S67" i="4"/>
  <c r="I68" i="4"/>
  <c r="M3" i="4"/>
  <c r="H3" i="4"/>
  <c r="M14" i="4"/>
  <c r="H14" i="4"/>
  <c r="M7" i="4"/>
  <c r="H7" i="4"/>
  <c r="M55" i="4"/>
  <c r="H55" i="4"/>
  <c r="M54" i="4"/>
  <c r="H54" i="4"/>
  <c r="M4" i="4"/>
  <c r="H4" i="4"/>
  <c r="M26" i="4"/>
  <c r="H26" i="4"/>
  <c r="M8" i="4"/>
  <c r="H8" i="4"/>
  <c r="M62" i="4"/>
  <c r="H62" i="4"/>
  <c r="M29" i="4"/>
  <c r="H29" i="4"/>
  <c r="M39" i="4"/>
  <c r="H39" i="4"/>
  <c r="B6" i="5"/>
  <c r="B5" i="5"/>
  <c r="C7" i="5"/>
  <c r="B7" i="5"/>
  <c r="E5" i="2"/>
  <c r="D5" i="2"/>
  <c r="C5" i="2"/>
  <c r="E2" i="4"/>
  <c r="F2" i="4" s="1"/>
  <c r="E37" i="4"/>
  <c r="F37" i="4" s="1"/>
  <c r="E31" i="4"/>
  <c r="F31" i="4" s="1"/>
  <c r="E49" i="4"/>
  <c r="F49" i="4" s="1"/>
  <c r="E57" i="4"/>
  <c r="F57" i="4" s="1"/>
  <c r="E46" i="4"/>
  <c r="F46" i="4" s="1"/>
  <c r="E45" i="4"/>
  <c r="F45" i="4" s="1"/>
  <c r="E51" i="4"/>
  <c r="F51" i="4" s="1"/>
  <c r="M58" i="4"/>
  <c r="H58" i="4"/>
  <c r="C6" i="2"/>
  <c r="E6" i="2"/>
  <c r="D6" i="2"/>
  <c r="E25" i="4"/>
  <c r="F25" i="4" s="1"/>
  <c r="E11" i="4"/>
  <c r="F11" i="4" s="1"/>
  <c r="E15" i="4"/>
  <c r="F15" i="4" s="1"/>
  <c r="E52" i="4"/>
  <c r="F52" i="4" s="1"/>
  <c r="E34" i="4"/>
  <c r="F34" i="4" s="1"/>
  <c r="M60" i="4"/>
  <c r="H60" i="4"/>
  <c r="E53" i="4"/>
  <c r="F53" i="4" s="1"/>
  <c r="E21" i="4"/>
  <c r="F21" i="4" s="1"/>
  <c r="E16" i="4"/>
  <c r="F16" i="4" s="1"/>
  <c r="M48" i="4"/>
  <c r="H48" i="4"/>
  <c r="M22" i="4"/>
  <c r="H22" i="4"/>
  <c r="M18" i="4"/>
  <c r="H18" i="4"/>
  <c r="M35" i="4"/>
  <c r="H35" i="4"/>
  <c r="E61" i="4"/>
  <c r="F61" i="4" s="1"/>
  <c r="M36" i="4"/>
  <c r="H36" i="4"/>
  <c r="M33" i="4"/>
  <c r="H33" i="4"/>
  <c r="E28" i="4"/>
  <c r="F28" i="4" s="1"/>
  <c r="E42" i="4"/>
  <c r="F42" i="4" s="1"/>
  <c r="E20" i="4"/>
  <c r="F20" i="4" s="1"/>
  <c r="E40" i="4"/>
  <c r="F40" i="4" s="1"/>
  <c r="M27" i="4"/>
  <c r="H27" i="4"/>
  <c r="E41" i="4"/>
  <c r="F41" i="4" s="1"/>
  <c r="E9" i="4"/>
  <c r="F9" i="4" s="1"/>
  <c r="C14" i="2"/>
  <c r="E24" i="4"/>
  <c r="F24" i="4" s="1"/>
  <c r="E10" i="4"/>
  <c r="F10" i="4" s="1"/>
  <c r="M30" i="4"/>
  <c r="H30" i="4"/>
  <c r="E12" i="4"/>
  <c r="F12" i="4"/>
  <c r="M19" i="4"/>
  <c r="H19" i="4"/>
  <c r="M47" i="4"/>
  <c r="H47" i="4"/>
  <c r="M59" i="4"/>
  <c r="H59" i="4"/>
  <c r="C15" i="2"/>
  <c r="J69" i="4" l="1"/>
  <c r="R69" i="4" s="1"/>
  <c r="I69" i="4"/>
  <c r="S68" i="4"/>
  <c r="M57" i="4"/>
  <c r="H57" i="4"/>
  <c r="M21" i="4"/>
  <c r="H21" i="4"/>
  <c r="M40" i="4"/>
  <c r="H40" i="4"/>
  <c r="M49" i="4"/>
  <c r="H49" i="4"/>
  <c r="M31" i="4"/>
  <c r="H31" i="4"/>
  <c r="M37" i="4"/>
  <c r="H37" i="4"/>
  <c r="M28" i="4"/>
  <c r="H28" i="4"/>
  <c r="M2" i="4"/>
  <c r="H2" i="4"/>
  <c r="M41" i="4"/>
  <c r="H41" i="4"/>
  <c r="M16" i="4"/>
  <c r="H16" i="4"/>
  <c r="M11" i="4"/>
  <c r="H11" i="4"/>
  <c r="M45" i="4"/>
  <c r="H45" i="4"/>
  <c r="M10" i="4"/>
  <c r="H10" i="4"/>
  <c r="M25" i="4"/>
  <c r="H25" i="4"/>
  <c r="M61" i="4"/>
  <c r="H61" i="4"/>
  <c r="M53" i="4"/>
  <c r="H53" i="4"/>
  <c r="M51" i="4"/>
  <c r="H51" i="4"/>
  <c r="E8" i="2"/>
  <c r="D8" i="2"/>
  <c r="C8" i="2"/>
  <c r="M24" i="4"/>
  <c r="H24" i="4"/>
  <c r="M9" i="4"/>
  <c r="H9" i="4"/>
  <c r="C6" i="5" s="1"/>
  <c r="D6" i="5" s="1"/>
  <c r="E6" i="5" s="1"/>
  <c r="M52" i="4"/>
  <c r="H52" i="4"/>
  <c r="M42" i="4"/>
  <c r="H42" i="4"/>
  <c r="M34" i="4"/>
  <c r="H34" i="4"/>
  <c r="M46" i="4"/>
  <c r="H46" i="4"/>
  <c r="M12" i="4"/>
  <c r="H12" i="4"/>
  <c r="D7" i="5"/>
  <c r="E7" i="5" s="1"/>
  <c r="M20" i="4"/>
  <c r="H20" i="4"/>
  <c r="M15" i="4"/>
  <c r="H15" i="4"/>
  <c r="I70" i="4" l="1"/>
  <c r="J70" i="4"/>
  <c r="R70" i="4" s="1"/>
  <c r="S69" i="4"/>
  <c r="I2" i="4"/>
  <c r="D7" i="2"/>
  <c r="C5" i="5"/>
  <c r="D5" i="5" s="1"/>
  <c r="E5" i="5" s="1"/>
  <c r="C21" i="2"/>
  <c r="C20" i="2"/>
  <c r="C7" i="2"/>
  <c r="E7" i="2"/>
  <c r="C8" i="5"/>
  <c r="N56" i="4"/>
  <c r="N60" i="4"/>
  <c r="C26" i="1"/>
  <c r="N44" i="4"/>
  <c r="N51" i="4"/>
  <c r="N40" i="4"/>
  <c r="N54" i="4"/>
  <c r="N29" i="4"/>
  <c r="N35" i="4"/>
  <c r="N7" i="4"/>
  <c r="N61" i="4"/>
  <c r="N58" i="4"/>
  <c r="N59" i="4"/>
  <c r="N20" i="4"/>
  <c r="N48" i="4"/>
  <c r="N14" i="4"/>
  <c r="N62" i="4"/>
  <c r="N45" i="4"/>
  <c r="N23" i="4"/>
  <c r="N52" i="4"/>
  <c r="N50" i="4"/>
  <c r="N2" i="4"/>
  <c r="R2" i="4" s="1"/>
  <c r="N27" i="4"/>
  <c r="N26" i="4"/>
  <c r="N41" i="4"/>
  <c r="N19" i="4"/>
  <c r="N49" i="4"/>
  <c r="N3" i="4"/>
  <c r="N10" i="4"/>
  <c r="N30" i="4"/>
  <c r="N39" i="4"/>
  <c r="N12" i="4"/>
  <c r="N9" i="4"/>
  <c r="N22" i="4"/>
  <c r="N11" i="4"/>
  <c r="N31" i="4"/>
  <c r="N46" i="4"/>
  <c r="N55" i="4"/>
  <c r="N8" i="4"/>
  <c r="N33" i="4"/>
  <c r="N17" i="4"/>
  <c r="N47" i="4"/>
  <c r="N16" i="4"/>
  <c r="N36" i="4"/>
  <c r="N21" i="4"/>
  <c r="N32" i="4"/>
  <c r="N34" i="4"/>
  <c r="N25" i="4"/>
  <c r="N4" i="4"/>
  <c r="N38" i="4"/>
  <c r="N37" i="4"/>
  <c r="N13" i="4"/>
  <c r="N28" i="4"/>
  <c r="N6" i="4"/>
  <c r="N24" i="4"/>
  <c r="N57" i="4"/>
  <c r="N42" i="4"/>
  <c r="N5" i="4"/>
  <c r="N43" i="4"/>
  <c r="N15" i="4"/>
  <c r="N53" i="4"/>
  <c r="N18" i="4"/>
  <c r="J71" i="4" l="1"/>
  <c r="R71" i="4" s="1"/>
  <c r="S70" i="4"/>
  <c r="I71" i="4"/>
  <c r="C9" i="5"/>
  <c r="B8" i="5"/>
  <c r="D8" i="5" s="1"/>
  <c r="E8" i="5" s="1"/>
  <c r="C18" i="2"/>
  <c r="C27" i="1"/>
  <c r="J3" i="4"/>
  <c r="R3" i="4" s="1"/>
  <c r="I3" i="4"/>
  <c r="S2" i="4"/>
  <c r="J72" i="4" l="1"/>
  <c r="R72" i="4" s="1"/>
  <c r="S71" i="4"/>
  <c r="I72" i="4"/>
  <c r="J4" i="4"/>
  <c r="R4" i="4" s="1"/>
  <c r="I4" i="4"/>
  <c r="S3" i="4"/>
  <c r="O56" i="4"/>
  <c r="O36" i="4"/>
  <c r="O48" i="4"/>
  <c r="O30" i="4"/>
  <c r="C19" i="2"/>
  <c r="O39" i="4"/>
  <c r="O14" i="4"/>
  <c r="O60" i="4"/>
  <c r="O38" i="4"/>
  <c r="O19" i="4"/>
  <c r="O23" i="4"/>
  <c r="O58" i="4"/>
  <c r="O35" i="4"/>
  <c r="O43" i="4"/>
  <c r="O27" i="4"/>
  <c r="O3" i="4"/>
  <c r="O4" i="4"/>
  <c r="O5" i="4"/>
  <c r="O18" i="4"/>
  <c r="O13" i="4"/>
  <c r="O7" i="4"/>
  <c r="O32" i="4"/>
  <c r="O44" i="4"/>
  <c r="O55" i="4"/>
  <c r="O62" i="4"/>
  <c r="O22" i="4"/>
  <c r="O8" i="4"/>
  <c r="O6" i="4"/>
  <c r="O59" i="4"/>
  <c r="O47" i="4"/>
  <c r="O17" i="4"/>
  <c r="O50" i="4"/>
  <c r="O54" i="4"/>
  <c r="O29" i="4"/>
  <c r="O26" i="4"/>
  <c r="O33" i="4"/>
  <c r="O51" i="4"/>
  <c r="O25" i="4"/>
  <c r="O45" i="4"/>
  <c r="O46" i="4"/>
  <c r="O12" i="4"/>
  <c r="O53" i="4"/>
  <c r="O10" i="4"/>
  <c r="O37" i="4"/>
  <c r="O57" i="4"/>
  <c r="O52" i="4"/>
  <c r="O49" i="4"/>
  <c r="O61" i="4"/>
  <c r="O24" i="4"/>
  <c r="O9" i="4"/>
  <c r="O15" i="4"/>
  <c r="O2" i="4"/>
  <c r="O21" i="4"/>
  <c r="O42" i="4"/>
  <c r="O16" i="4"/>
  <c r="O28" i="4"/>
  <c r="O11" i="4"/>
  <c r="O41" i="4"/>
  <c r="O34" i="4"/>
  <c r="O40" i="4"/>
  <c r="O20" i="4"/>
  <c r="O31" i="4"/>
  <c r="J73" i="4" l="1"/>
  <c r="R73" i="4" s="1"/>
  <c r="I73" i="4"/>
  <c r="S72" i="4"/>
  <c r="B9" i="5"/>
  <c r="D9" i="5" s="1"/>
  <c r="E9" i="5" s="1"/>
  <c r="J5" i="4"/>
  <c r="R5" i="4" s="1"/>
  <c r="I5" i="4"/>
  <c r="S4" i="4"/>
  <c r="J74" i="4" l="1"/>
  <c r="R74" i="4" s="1"/>
  <c r="S73" i="4"/>
  <c r="I74" i="4"/>
  <c r="J6" i="4"/>
  <c r="R6" i="4" s="1"/>
  <c r="I6" i="4"/>
  <c r="S5" i="4"/>
  <c r="I75" i="4" l="1"/>
  <c r="J75" i="4"/>
  <c r="R75" i="4" s="1"/>
  <c r="S74" i="4"/>
  <c r="J7" i="4"/>
  <c r="R7" i="4" s="1"/>
  <c r="I7" i="4"/>
  <c r="S6" i="4"/>
  <c r="I76" i="4" l="1"/>
  <c r="J76" i="4"/>
  <c r="R76" i="4" s="1"/>
  <c r="S75" i="4"/>
  <c r="J8" i="4"/>
  <c r="R8" i="4" s="1"/>
  <c r="S7" i="4"/>
  <c r="I8" i="4"/>
  <c r="J77" i="4" l="1"/>
  <c r="R77" i="4" s="1"/>
  <c r="I77" i="4"/>
  <c r="S76" i="4"/>
  <c r="J9" i="4"/>
  <c r="R9" i="4" s="1"/>
  <c r="I9" i="4"/>
  <c r="S8" i="4"/>
  <c r="J78" i="4" l="1"/>
  <c r="R78" i="4" s="1"/>
  <c r="I78" i="4"/>
  <c r="S77" i="4"/>
  <c r="J10" i="4"/>
  <c r="R10" i="4" s="1"/>
  <c r="I10" i="4"/>
  <c r="S9" i="4"/>
  <c r="J79" i="4" l="1"/>
  <c r="R79" i="4" s="1"/>
  <c r="I79" i="4"/>
  <c r="S78" i="4"/>
  <c r="J11" i="4"/>
  <c r="R11" i="4" s="1"/>
  <c r="I11" i="4"/>
  <c r="S10" i="4"/>
  <c r="J80" i="4" l="1"/>
  <c r="R80" i="4" s="1"/>
  <c r="S79" i="4"/>
  <c r="I80" i="4"/>
  <c r="J12" i="4"/>
  <c r="R12" i="4" s="1"/>
  <c r="I12" i="4"/>
  <c r="S11" i="4"/>
  <c r="J81" i="4" l="1"/>
  <c r="R81" i="4" s="1"/>
  <c r="S80" i="4"/>
  <c r="I81" i="4"/>
  <c r="J13" i="4"/>
  <c r="R13" i="4" s="1"/>
  <c r="I13" i="4"/>
  <c r="S12" i="4"/>
  <c r="I82" i="4" l="1"/>
  <c r="J82" i="4"/>
  <c r="R82" i="4" s="1"/>
  <c r="S81" i="4"/>
  <c r="J14" i="4"/>
  <c r="R14" i="4" s="1"/>
  <c r="I14" i="4"/>
  <c r="S13" i="4"/>
  <c r="J83" i="4" l="1"/>
  <c r="R83" i="4" s="1"/>
  <c r="S82" i="4"/>
  <c r="I83" i="4"/>
  <c r="J15" i="4"/>
  <c r="R15" i="4" s="1"/>
  <c r="I15" i="4"/>
  <c r="S14" i="4"/>
  <c r="J84" i="4" l="1"/>
  <c r="R84" i="4" s="1"/>
  <c r="S83" i="4"/>
  <c r="I84" i="4"/>
  <c r="J16" i="4"/>
  <c r="R16" i="4" s="1"/>
  <c r="I16" i="4"/>
  <c r="S15" i="4"/>
  <c r="J85" i="4" l="1"/>
  <c r="R85" i="4" s="1"/>
  <c r="I85" i="4"/>
  <c r="S85" i="4" s="1"/>
  <c r="S84" i="4"/>
  <c r="J17" i="4"/>
  <c r="R17" i="4" s="1"/>
  <c r="I17" i="4"/>
  <c r="S16" i="4"/>
  <c r="J18" i="4" l="1"/>
  <c r="R18" i="4" s="1"/>
  <c r="I18" i="4"/>
  <c r="S17" i="4"/>
  <c r="I19" i="4" l="1"/>
  <c r="J19" i="4"/>
  <c r="R19" i="4" s="1"/>
  <c r="S18" i="4"/>
  <c r="J20" i="4" l="1"/>
  <c r="R20" i="4" s="1"/>
  <c r="S19" i="4"/>
  <c r="I20" i="4"/>
  <c r="J21" i="4" l="1"/>
  <c r="R21" i="4" s="1"/>
  <c r="I21" i="4"/>
  <c r="S20" i="4"/>
  <c r="J22" i="4" l="1"/>
  <c r="R22" i="4" s="1"/>
  <c r="I22" i="4"/>
  <c r="S21" i="4"/>
  <c r="J23" i="4" l="1"/>
  <c r="R23" i="4" s="1"/>
  <c r="I23" i="4"/>
  <c r="S22" i="4"/>
  <c r="J24" i="4" l="1"/>
  <c r="R24" i="4" s="1"/>
  <c r="I24" i="4"/>
  <c r="S23" i="4"/>
  <c r="J25" i="4" l="1"/>
  <c r="R25" i="4" s="1"/>
  <c r="I25" i="4"/>
  <c r="S24" i="4"/>
  <c r="J26" i="4" l="1"/>
  <c r="R26" i="4" s="1"/>
  <c r="I26" i="4"/>
  <c r="S25" i="4"/>
  <c r="J27" i="4" l="1"/>
  <c r="R27" i="4" s="1"/>
  <c r="I27" i="4"/>
  <c r="S26" i="4"/>
  <c r="J28" i="4" l="1"/>
  <c r="R28" i="4" s="1"/>
  <c r="I28" i="4"/>
  <c r="S27" i="4"/>
  <c r="J29" i="4" l="1"/>
  <c r="R29" i="4" s="1"/>
  <c r="I29" i="4"/>
  <c r="S28" i="4"/>
  <c r="J30" i="4" l="1"/>
  <c r="R30" i="4" s="1"/>
  <c r="I30" i="4"/>
  <c r="S29" i="4"/>
  <c r="J31" i="4" l="1"/>
  <c r="R31" i="4" s="1"/>
  <c r="S30" i="4"/>
  <c r="I31" i="4"/>
  <c r="J32" i="4" l="1"/>
  <c r="R32" i="4" s="1"/>
  <c r="I32" i="4"/>
  <c r="S31" i="4"/>
  <c r="J33" i="4" l="1"/>
  <c r="R33" i="4" s="1"/>
  <c r="S32" i="4"/>
  <c r="I33" i="4"/>
  <c r="J34" i="4" l="1"/>
  <c r="R34" i="4" s="1"/>
  <c r="S33" i="4"/>
  <c r="I34" i="4"/>
  <c r="J35" i="4" l="1"/>
  <c r="R35" i="4" s="1"/>
  <c r="I35" i="4"/>
  <c r="S34" i="4"/>
  <c r="J36" i="4" l="1"/>
  <c r="R36" i="4" s="1"/>
  <c r="I36" i="4"/>
  <c r="S35" i="4"/>
  <c r="J37" i="4" l="1"/>
  <c r="R37" i="4" s="1"/>
  <c r="S36" i="4"/>
  <c r="I37" i="4"/>
  <c r="J38" i="4" l="1"/>
  <c r="R38" i="4" s="1"/>
  <c r="I38" i="4"/>
  <c r="S37" i="4"/>
  <c r="J39" i="4" l="1"/>
  <c r="R39" i="4" s="1"/>
  <c r="I39" i="4"/>
  <c r="S38" i="4"/>
  <c r="C13" i="2"/>
  <c r="C12" i="2"/>
  <c r="J40" i="4" l="1"/>
  <c r="R40" i="4" s="1"/>
  <c r="S39" i="4"/>
  <c r="I40" i="4"/>
  <c r="J41" i="4" l="1"/>
  <c r="R41" i="4" s="1"/>
  <c r="I41" i="4"/>
  <c r="S40" i="4"/>
  <c r="J42" i="4" l="1"/>
  <c r="R42" i="4" s="1"/>
  <c r="I42" i="4"/>
  <c r="S41" i="4"/>
  <c r="I43" i="4" l="1"/>
  <c r="J43" i="4"/>
  <c r="R43" i="4" s="1"/>
  <c r="S42" i="4"/>
  <c r="J44" i="4" l="1"/>
  <c r="R44" i="4" s="1"/>
  <c r="I44" i="4"/>
  <c r="S43" i="4"/>
  <c r="J45" i="4" l="1"/>
  <c r="R45" i="4" s="1"/>
  <c r="S44" i="4"/>
  <c r="I45" i="4"/>
  <c r="J46" i="4" l="1"/>
  <c r="R46" i="4" s="1"/>
  <c r="I46" i="4"/>
  <c r="S45" i="4"/>
  <c r="J47" i="4" l="1"/>
  <c r="R47" i="4" s="1"/>
  <c r="I47" i="4"/>
  <c r="S46" i="4"/>
  <c r="J48" i="4" l="1"/>
  <c r="R48" i="4" s="1"/>
  <c r="I48" i="4"/>
  <c r="S47" i="4"/>
  <c r="J49" i="4" l="1"/>
  <c r="R49" i="4" s="1"/>
  <c r="S48" i="4"/>
  <c r="I49" i="4"/>
  <c r="J50" i="4" l="1"/>
  <c r="R50" i="4" s="1"/>
  <c r="I50" i="4"/>
  <c r="S49" i="4"/>
  <c r="J51" i="4" l="1"/>
  <c r="R51" i="4" s="1"/>
  <c r="S50" i="4"/>
  <c r="I51" i="4"/>
  <c r="J52" i="4" l="1"/>
  <c r="R52" i="4" s="1"/>
  <c r="I52" i="4"/>
  <c r="S51" i="4"/>
  <c r="J53" i="4" l="1"/>
  <c r="R53" i="4" s="1"/>
  <c r="I53" i="4"/>
  <c r="S52" i="4"/>
  <c r="J54" i="4" l="1"/>
  <c r="R54" i="4" s="1"/>
  <c r="I54" i="4"/>
  <c r="S53" i="4"/>
  <c r="J55" i="4" l="1"/>
  <c r="R55" i="4" s="1"/>
  <c r="I55" i="4"/>
  <c r="S54" i="4"/>
  <c r="J56" i="4" l="1"/>
  <c r="R56" i="4" s="1"/>
  <c r="I56" i="4"/>
  <c r="S55" i="4"/>
  <c r="J57" i="4" l="1"/>
  <c r="R57" i="4" s="1"/>
  <c r="S56" i="4"/>
  <c r="I57" i="4"/>
  <c r="J58" i="4" l="1"/>
  <c r="R58" i="4" s="1"/>
  <c r="I58" i="4"/>
  <c r="S57" i="4"/>
  <c r="J59" i="4" l="1"/>
  <c r="R59" i="4" s="1"/>
  <c r="S58" i="4"/>
  <c r="I59" i="4"/>
  <c r="J60" i="4" l="1"/>
  <c r="R60" i="4" s="1"/>
  <c r="I60" i="4"/>
  <c r="S59" i="4"/>
  <c r="J61" i="4" l="1"/>
  <c r="R61" i="4" s="1"/>
  <c r="S60" i="4"/>
  <c r="I61" i="4"/>
  <c r="J62" i="4" l="1"/>
  <c r="R62" i="4" s="1"/>
  <c r="I62" i="4"/>
  <c r="S61" i="4"/>
  <c r="S62" i="4" l="1"/>
  <c r="C16" i="2" l="1"/>
  <c r="C22" i="2" l="1"/>
  <c r="C17" i="2"/>
</calcChain>
</file>

<file path=xl/sharedStrings.xml><?xml version="1.0" encoding="utf-8"?>
<sst xmlns="http://schemas.openxmlformats.org/spreadsheetml/2006/main" count="122" uniqueCount="113">
  <si>
    <t>Build Your Financial Life — model inputs</t>
  </si>
  <si>
    <t>Edit the yellow cells. Everything else (grey/derived, Projection, Summary, Checks) recalculates automatically.</t>
  </si>
  <si>
    <t>INPUTS</t>
  </si>
  <si>
    <t>Value</t>
  </si>
  <si>
    <t>Unit / note</t>
  </si>
  <si>
    <t>Starting income age</t>
  </si>
  <si>
    <t>years</t>
  </si>
  <si>
    <t>Yearly income (CTC, gross)</t>
  </si>
  <si>
    <t>₹ per year</t>
  </si>
  <si>
    <t>Tax rate (effective, on income)</t>
  </si>
  <si>
    <t>applied to gross income only</t>
  </si>
  <si>
    <t>Income growth rate</t>
  </si>
  <si>
    <t>% per year, nominal</t>
  </si>
  <si>
    <t>Consumption rate (year 1)</t>
  </si>
  <si>
    <t>of post-tax income; 0–100%</t>
  </si>
  <si>
    <t>Expense growth rate</t>
  </si>
  <si>
    <t>Return on savings</t>
  </si>
  <si>
    <t>% per year, nominal (untaxed)</t>
  </si>
  <si>
    <t>ASSUMPTIONS</t>
  </si>
  <si>
    <t>Retirement age</t>
  </si>
  <si>
    <t>no income from this age</t>
  </si>
  <si>
    <t>Life expectancy</t>
  </si>
  <si>
    <t>consumption funded to age−1</t>
  </si>
  <si>
    <t>Inflation (CPI)</t>
  </si>
  <si>
    <t>used for real / deflation</t>
  </si>
  <si>
    <t>Discount rate</t>
  </si>
  <si>
    <t>DERIVED (formulas — do not edit)</t>
  </si>
  <si>
    <t>Working years (N)</t>
  </si>
  <si>
    <t>ages startAge … retireAge−1</t>
  </si>
  <si>
    <t>Life horizon (years)</t>
  </si>
  <si>
    <t>ages startAge … lifeExp−1</t>
  </si>
  <si>
    <t>First-year consumption C0</t>
  </si>
  <si>
    <t>cRate × post-tax income, year 1</t>
  </si>
  <si>
    <t>Final working consumption</t>
  </si>
  <si>
    <t>C0 × (1+gExp)^(N−1)</t>
  </si>
  <si>
    <t>q = (1+infl)/(1+disc)</t>
  </si>
  <si>
    <t>PIH annuity growth ratio</t>
  </si>
  <si>
    <t>Annuity factor (geo)</t>
  </si>
  <si>
    <t>Σ q^t, t=0..T−1</t>
  </si>
  <si>
    <t>Human capital at start (HC0)</t>
  </si>
  <si>
    <t>PV of all post-tax income @ disc</t>
  </si>
  <si>
    <t>Permanent income (real, today)</t>
  </si>
  <si>
    <t>level real annuity, PV = HC0</t>
  </si>
  <si>
    <t>Real discount rate</t>
  </si>
  <si>
    <t>Fisher: (1+d)/(1+π)−1</t>
  </si>
  <si>
    <t>Real return wedge</t>
  </si>
  <si>
    <t>(1+r)/(1+π)−1</t>
  </si>
  <si>
    <t>Notes &amp; assumptions</t>
  </si>
  <si>
    <t>• Consumption-driven model: consumption is an input path; savings = post-tax income − consumption (a residual that may be negative → borrowing).</t>
  </si>
  <si>
    <t>• Retirement (ages retirement…life−1): consumption holds the final working-year lifestyle constant in REAL terms (grows at CPI). No labour income.</t>
  </si>
  <si>
    <t>• Corpus at retirement = future value of the savings stream compounded at the return on savings; investment returns are untaxed (simplifying assumption).</t>
  </si>
  <si>
    <t>• Present value is taken at the starting age and discounts nominal flows at the discount rate. Real ₹ deflate nominal flows by CPI to today's purchasing power.</t>
  </si>
  <si>
    <t>• Human capital = PV of remaining post-tax labour income. Permanent income = level real annuity whose PV equals lifetime resources (Friedman PIH).</t>
  </si>
  <si>
    <t>Summary — the eight outputs &amp; diagnostics</t>
  </si>
  <si>
    <t>All cells are formulas driven by the Inputs sheet. Change an input and every figure here updates.</t>
  </si>
  <si>
    <t>Lifetime aggregate (accumulation, ages start…retire−1)</t>
  </si>
  <si>
    <t>Nominal ₹</t>
  </si>
  <si>
    <t>Real ₹ (today)</t>
  </si>
  <si>
    <t>Present value @ disc</t>
  </si>
  <si>
    <t>① Total lifetime income (gross)</t>
  </si>
  <si>
    <t>② Total lifetime consumption</t>
  </si>
  <si>
    <t>③ Total lifetime savings (residual)</t>
  </si>
  <si>
    <t>⑧ Total taxes paid</t>
  </si>
  <si>
    <t>Outputs ④⑤⑥ = Present-value column of ①②③.  Identity: ① = ⑧ + ② + ③ (see Checks).</t>
  </si>
  <si>
    <t>Retirement, corpus &amp; diagnostics</t>
  </si>
  <si>
    <t>⑦ Retirement corpus at retirement (nominal)</t>
  </si>
  <si>
    <t>⑦ Retirement corpus (real, today's ₹)</t>
  </si>
  <si>
    <t>Retirement consumption need (nominal)</t>
  </si>
  <si>
    <t>Retirement consumption need (real, today)</t>
  </si>
  <si>
    <t>Bequest at life expectancy (nominal)</t>
  </si>
  <si>
    <t>Corpus depletes at age</t>
  </si>
  <si>
    <t>Human capital at start (PV future post-tax income)</t>
  </si>
  <si>
    <t>Permanent income (level, real today's ₹ / yr)</t>
  </si>
  <si>
    <t>Average saving rate (of post-tax income)</t>
  </si>
  <si>
    <t>Borrowing years (savings &lt; 0, working)</t>
  </si>
  <si>
    <t>Crossover age (financial ≥ human capital)</t>
  </si>
  <si>
    <t>Real return wedge (return − inflation)</t>
  </si>
  <si>
    <t>Real discount rate (Fisher)</t>
  </si>
  <si>
    <t>Life-cycle charts (nominal ₹)</t>
  </si>
  <si>
    <t>Drawn over the default age window (start 23 → life 85). The Projection &amp; Summary tabs are exact for any inputs; widen the chart source ranges if you change the ages.</t>
  </si>
  <si>
    <t>t</t>
  </si>
  <si>
    <t>Age</t>
  </si>
  <si>
    <t>Phase</t>
  </si>
  <si>
    <t>Gross income</t>
  </si>
  <si>
    <t>Tax</t>
  </si>
  <si>
    <t>Post-tax income</t>
  </si>
  <si>
    <t>Consumption</t>
  </si>
  <si>
    <t>Savings</t>
  </si>
  <si>
    <t>Wealth (year-end)</t>
  </si>
  <si>
    <t>Financial capital (entering)</t>
  </si>
  <si>
    <t>Discount factor</t>
  </si>
  <si>
    <t>Deflator</t>
  </si>
  <si>
    <t>PV post-tax→t0</t>
  </si>
  <si>
    <t>Human capital</t>
  </si>
  <si>
    <t>Permanent income</t>
  </si>
  <si>
    <t>Working?</t>
  </si>
  <si>
    <t>Retired?</t>
  </si>
  <si>
    <t>Cross helper</t>
  </si>
  <si>
    <t>Deplete helper</t>
  </si>
  <si>
    <t>Verification — identities that must hold</t>
  </si>
  <si>
    <t>Each residual should be ≈0 (tolerance ₹1). These prove the model is internally consistent.</t>
  </si>
  <si>
    <t>Check</t>
  </si>
  <si>
    <t>Value A</t>
  </si>
  <si>
    <t>Value B</t>
  </si>
  <si>
    <t>Residual (A−B)</t>
  </si>
  <si>
    <t>Status</t>
  </si>
  <si>
    <t>Accounting identity: gross = tax+cons+sav</t>
  </si>
  <si>
    <t>PV identity: PVincome = PVtax+PVcons+PVsav</t>
  </si>
  <si>
    <t>Fisher: PV@disc(nominal) = PV@realDisc(real)</t>
  </si>
  <si>
    <t>Human capital: HC0 = PVcons+PVsav</t>
  </si>
  <si>
    <t>Permanent income PV = HC0</t>
  </si>
  <si>
    <t>0.9 = 0.6×11% equity + 0.4×6% debt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</si>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</sst>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##,##0;[Red]&quot;-₹&quot;###,##0"/>
    <numFmt numFmtId="165" formatCode="0.0%"/>
    <numFmt numFmtId="166" formatCode="0.000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0E7C66"/>
      <name val="Arial"/>
      <family val="2"/>
    </font>
    <font>
      <i/>
      <sz val="9"/>
      <color rgb="FF6B7A82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E7C66"/>
      <name val="Arial"/>
      <family val="2"/>
    </font>
    <font>
      <sz val="9"/>
      <color rgb="FF4A576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FFF6C8"/>
        <bgColor rgb="FFF2F6F2"/>
      </patternFill>
    </fill>
    <fill>
      <patternFill patternType="solid">
        <fgColor rgb="FFF2F6F2"/>
        <bgColor rgb="FFFFFFFF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7DCD4"/>
      </left>
      <right style="thin">
        <color rgb="FFD7DCD4"/>
      </right>
      <top style="thin">
        <color rgb="FFD7DCD4"/>
      </top>
      <bottom style="thin">
        <color rgb="FFD7DCD4"/>
      </bottom>
      <diagonal/>
    </border>
    <border>
      <left style="thin">
        <color rgb="FFD7DCD4"/>
      </left>
      <right/>
      <top/>
      <bottom style="thin">
        <color rgb="FFD7DCD4"/>
      </bottom>
      <diagonal/>
    </border>
    <border>
      <left/>
      <right/>
      <top/>
      <bottom style="thin">
        <color rgb="FFD7DCD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9">
    <xf numFmtId="0" fontId="0" fillId="0" borderId="0" xfId="0"/>
    <xf numFmtId="164" fontId="5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" fontId="9" fillId="3" borderId="1" xfId="0" applyNumberFormat="1" applyFont="1" applyFill="1" applyBorder="1" applyAlignment="1">
      <alignment horizontal="right" vertical="center"/>
    </xf>
    <xf numFmtId="164" fontId="9" fillId="3" borderId="1" xfId="0" applyNumberFormat="1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3" fontId="5" fillId="4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9" fontId="1" fillId="0" borderId="0" xfId="1"/>
    <xf numFmtId="10" fontId="0" fillId="0" borderId="0" xfId="0" applyNumberFormat="1"/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1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D7DCD4"/>
      <rgbColor rgb="FF878787"/>
      <rgbColor rgb="FF9999FF"/>
      <rgbColor rgb="FFBE4B48"/>
      <rgbColor rgb="FFFFF6C8"/>
      <rgbColor rgb="FFF2F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B7A82"/>
      <rgbColor rgb="FF969696"/>
      <rgbColor rgb="FF003366"/>
      <rgbColor rgb="FF339966"/>
      <rgbColor rgb="FF003300"/>
      <rgbColor rgb="FF333300"/>
      <rgbColor rgb="FF993300"/>
      <rgbColor rgb="FF993366"/>
      <rgbColor rgb="FF4A5760"/>
      <rgbColor rgb="FF1F2A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Human capital vs financial capital — crossover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Projection!$N$1</c:f>
              <c:strCache>
                <c:ptCount val="1"/>
                <c:pt idx="0">
                  <c:v>Human capital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Projection!$N$2:$N$63</c:f>
              <c:numCache>
                <c:formatCode>#,##0</c:formatCode>
                <c:ptCount val="62"/>
                <c:pt idx="0">
                  <c:v>30655009.209183078</c:v>
                </c:pt>
                <c:pt idx="1">
                  <c:v>32302160.038009554</c:v>
                </c:pt>
                <c:pt idx="2">
                  <c:v>34008610.441430405</c:v>
                </c:pt>
                <c:pt idx="3">
                  <c:v>35772581.861159146</c:v>
                </c:pt>
                <c:pt idx="4">
                  <c:v>37591566.427063473</c:v>
                </c:pt>
                <c:pt idx="5">
                  <c:v>39462215.779771194</c:v>
                </c:pt>
                <c:pt idx="6">
                  <c:v>41380216.244164355</c:v>
                </c:pt>
                <c:pt idx="7">
                  <c:v>43340148.833890013</c:v>
                </c:pt>
                <c:pt idx="8">
                  <c:v>45335332.406911045</c:v>
                </c:pt>
                <c:pt idx="9">
                  <c:v>47357648.11574164</c:v>
                </c:pt>
                <c:pt idx="10">
                  <c:v>49397343.101743698</c:v>
                </c:pt>
                <c:pt idx="11">
                  <c:v>51442811.168932736</c:v>
                </c:pt>
                <c:pt idx="12">
                  <c:v>53480347.937211357</c:v>
                </c:pt>
                <c:pt idx="13">
                  <c:v>55493877.715681054</c:v>
                </c:pt>
                <c:pt idx="14">
                  <c:v>57464649.051342644</c:v>
                </c:pt>
                <c:pt idx="15">
                  <c:v>59370895.594513811</c:v>
                </c:pt>
                <c:pt idx="16">
                  <c:v>61187458.576854423</c:v>
                </c:pt>
                <c:pt idx="17">
                  <c:v>62885366.817912437</c:v>
                </c:pt>
                <c:pt idx="18">
                  <c:v>64431369.758196965</c:v>
                </c:pt>
                <c:pt idx="19">
                  <c:v>65787418.557240881</c:v>
                </c:pt>
                <c:pt idx="20">
                  <c:v>66910089.789863251</c:v>
                </c:pt>
                <c:pt idx="21">
                  <c:v>67749945.718419299</c:v>
                </c:pt>
                <c:pt idx="22">
                  <c:v>68250824.508342847</c:v>
                </c:pt>
                <c:pt idx="23">
                  <c:v>68349053.083380774</c:v>
                </c:pt>
                <c:pt idx="24">
                  <c:v>67972574.579715088</c:v>
                </c:pt>
                <c:pt idx="25">
                  <c:v>67039981.548225902</c:v>
                </c:pt>
                <c:pt idx="26">
                  <c:v>65459445.1644096</c:v>
                </c:pt>
                <c:pt idx="27">
                  <c:v>63127529.728197277</c:v>
                </c:pt>
                <c:pt idx="28">
                  <c:v>59927880.662645116</c:v>
                </c:pt>
                <c:pt idx="29">
                  <c:v>55729773.041906089</c:v>
                </c:pt>
                <c:pt idx="30">
                  <c:v>50386506.384870373</c:v>
                </c:pt>
                <c:pt idx="31">
                  <c:v>43733630.03023684</c:v>
                </c:pt>
                <c:pt idx="32">
                  <c:v>35586981.849344552</c:v>
                </c:pt>
                <c:pt idx="33">
                  <c:v>25740521.341482867</c:v>
                </c:pt>
                <c:pt idx="34">
                  <c:v>13963936.277969416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8-489D-BB18-CAA297453111}"/>
            </c:ext>
          </c:extLst>
        </c:ser>
        <c:ser>
          <c:idx val="1"/>
          <c:order val="1"/>
          <c:tx>
            <c:strRef>
              <c:f>Projection!$J$1</c:f>
              <c:strCache>
                <c:ptCount val="1"/>
                <c:pt idx="0">
                  <c:v>Financial capital (entering)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Projection!$J$2:$J$63</c:f>
              <c:numCache>
                <c:formatCode>#,##0</c:formatCode>
                <c:ptCount val="62"/>
                <c:pt idx="0">
                  <c:v>0</c:v>
                </c:pt>
                <c:pt idx="1">
                  <c:v>306000</c:v>
                </c:pt>
                <c:pt idx="2">
                  <c:v>671160</c:v>
                </c:pt>
                <c:pt idx="3">
                  <c:v>1103833.8000000003</c:v>
                </c:pt>
                <c:pt idx="4">
                  <c:v>1613404.3800000006</c:v>
                </c:pt>
                <c:pt idx="5">
                  <c:v>2210401.1622600011</c:v>
                </c:pt>
                <c:pt idx="6">
                  <c:v>2906629.9694796018</c:v>
                </c:pt>
                <c:pt idx="7">
                  <c:v>3715317.0049154609</c:v>
                </c:pt>
                <c:pt idx="8">
                  <c:v>4651268.3153073648</c:v>
                </c:pt>
                <c:pt idx="9">
                  <c:v>5731046.345772557</c:v>
                </c:pt>
                <c:pt idx="10">
                  <c:v>6973165.358870619</c:v>
                </c:pt>
                <c:pt idx="11">
                  <c:v>8398307.669282468</c:v>
                </c:pt>
                <c:pt idx="12">
                  <c:v>10029562.842571512</c:v>
                </c:pt>
                <c:pt idx="13">
                  <c:v>11892692.223040281</c:v>
                </c:pt>
                <c:pt idx="14">
                  <c:v>14016421.393667405</c:v>
                </c:pt>
                <c:pt idx="15">
                  <c:v>16432763.432596594</c:v>
                </c:pt>
                <c:pt idx="16">
                  <c:v>19177376.117941778</c:v>
                </c:pt>
                <c:pt idx="17">
                  <c:v>22289956.548281655</c:v>
                </c:pt>
                <c:pt idx="18">
                  <c:v>25814676.992894888</c:v>
                </c:pt>
                <c:pt idx="19">
                  <c:v>29800666.166551031</c:v>
                </c:pt>
                <c:pt idx="20">
                  <c:v>34302540.541828603</c:v>
                </c:pt>
                <c:pt idx="21">
                  <c:v>39380990.771104343</c:v>
                </c:pt>
                <c:pt idx="22">
                  <c:v>45103428.794517942</c:v>
                </c:pt>
                <c:pt idx="23">
                  <c:v>51544701.7637164</c:v>
                </c:pt>
                <c:pt idx="24">
                  <c:v>58787879.51878953</c:v>
                </c:pt>
                <c:pt idx="25">
                  <c:v>66925123.022747986</c:v>
                </c:pt>
                <c:pt idx="26">
                  <c:v>76058641.889891282</c:v>
                </c:pt>
                <c:pt idx="27">
                  <c:v>86301749.947735623</c:v>
                </c:pt>
                <c:pt idx="28">
                  <c:v>97780028.653690293</c:v>
                </c:pt>
                <c:pt idx="29">
                  <c:v>110632609.15490946</c:v>
                </c:pt>
                <c:pt idx="30">
                  <c:v>125013584.84094651</c:v>
                </c:pt>
                <c:pt idx="31">
                  <c:v>141093567.40302593</c:v>
                </c:pt>
                <c:pt idx="32">
                  <c:v>159061400.69080865</c:v>
                </c:pt>
                <c:pt idx="33">
                  <c:v>179126048.05828759</c:v>
                </c:pt>
                <c:pt idx="34">
                  <c:v>201518670.42676428</c:v>
                </c:pt>
                <c:pt idx="35">
                  <c:v>226494913.97770754</c:v>
                </c:pt>
                <c:pt idx="36">
                  <c:v>239327620.78634018</c:v>
                </c:pt>
                <c:pt idx="37">
                  <c:v>252862161.08078808</c:v>
                </c:pt>
                <c:pt idx="38">
                  <c:v>267134513.26715693</c:v>
                </c:pt>
                <c:pt idx="39">
                  <c:v>282182262.61164486</c:v>
                </c:pt>
                <c:pt idx="40">
                  <c:v>298044647.98616332</c:v>
                </c:pt>
                <c:pt idx="41">
                  <c:v>314762606.94875669</c:v>
                </c:pt>
                <c:pt idx="42">
                  <c:v>332378818.65661377</c:v>
                </c:pt>
                <c:pt idx="43">
                  <c:v>350937744.04312611</c:v>
                </c:pt>
                <c:pt idx="44">
                  <c:v>370485662.61686957</c:v>
                </c:pt>
                <c:pt idx="45">
                  <c:v>391070705.15884173</c:v>
                </c:pt>
                <c:pt idx="46">
                  <c:v>412742881.50397861</c:v>
                </c:pt>
                <c:pt idx="47">
                  <c:v>435554102.49302822</c:v>
                </c:pt>
                <c:pt idx="48">
                  <c:v>459558195.07031381</c:v>
                </c:pt>
                <c:pt idx="49">
                  <c:v>484810909.38072991</c:v>
                </c:pt>
                <c:pt idx="50">
                  <c:v>511369916.58432871</c:v>
                </c:pt>
                <c:pt idx="51">
                  <c:v>539294795.95781136</c:v>
                </c:pt>
                <c:pt idx="52">
                  <c:v>568647009.68776107</c:v>
                </c:pt>
                <c:pt idx="53">
                  <c:v>599489863.57903099</c:v>
                </c:pt>
                <c:pt idx="54">
                  <c:v>631888451.70167756</c:v>
                </c:pt>
                <c:pt idx="55">
                  <c:v>665909582.77939427</c:v>
                </c:pt>
                <c:pt idx="56">
                  <c:v>701621685.87957942</c:v>
                </c:pt>
                <c:pt idx="57">
                  <c:v>739094692.69778371</c:v>
                </c:pt>
                <c:pt idx="58">
                  <c:v>778399893.43496883</c:v>
                </c:pt>
                <c:pt idx="59">
                  <c:v>819609762.94216371</c:v>
                </c:pt>
                <c:pt idx="60">
                  <c:v>862797753.45088899</c:v>
                </c:pt>
                <c:pt idx="61">
                  <c:v>862797753.45088899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8-489D-BB18-CAA297453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582763"/>
        <c:axId val="97076837"/>
      </c:lineChart>
      <c:catAx>
        <c:axId val="27582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076837"/>
        <c:crosses val="autoZero"/>
        <c:auto val="1"/>
        <c:lblAlgn val="ctr"/>
        <c:lblOffset val="100"/>
        <c:noMultiLvlLbl val="0"/>
      </c:catAx>
      <c:valAx>
        <c:axId val="97076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82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Income · consumption · saving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Projection!$F$1</c:f>
              <c:strCache>
                <c:ptCount val="1"/>
                <c:pt idx="0">
                  <c:v>Post-tax income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Projection!$F$2:$F$63</c:f>
              <c:numCache>
                <c:formatCode>#,##0</c:formatCode>
                <c:ptCount val="62"/>
                <c:pt idx="0">
                  <c:v>1020000</c:v>
                </c:pt>
                <c:pt idx="1">
                  <c:v>1101600</c:v>
                </c:pt>
                <c:pt idx="2">
                  <c:v>1189728.0000000002</c:v>
                </c:pt>
                <c:pt idx="3">
                  <c:v>1284906.2400000002</c:v>
                </c:pt>
                <c:pt idx="4">
                  <c:v>1387698.7392000002</c:v>
                </c:pt>
                <c:pt idx="5">
                  <c:v>1498714.6383360003</c:v>
                </c:pt>
                <c:pt idx="6">
                  <c:v>1618611.8094028807</c:v>
                </c:pt>
                <c:pt idx="7">
                  <c:v>1748100.754155111</c:v>
                </c:pt>
                <c:pt idx="8">
                  <c:v>1887948.8144875197</c:v>
                </c:pt>
                <c:pt idx="9">
                  <c:v>2038984.7196465216</c:v>
                </c:pt>
                <c:pt idx="10">
                  <c:v>2202103.4972182438</c:v>
                </c:pt>
                <c:pt idx="11">
                  <c:v>2378271.7769957031</c:v>
                </c:pt>
                <c:pt idx="12">
                  <c:v>2568533.5191553594</c:v>
                </c:pt>
                <c:pt idx="13">
                  <c:v>2774016.2006877884</c:v>
                </c:pt>
                <c:pt idx="14">
                  <c:v>2995937.496742812</c:v>
                </c:pt>
                <c:pt idx="15">
                  <c:v>3235612.4964822368</c:v>
                </c:pt>
                <c:pt idx="16">
                  <c:v>3494461.4962008158</c:v>
                </c:pt>
                <c:pt idx="17">
                  <c:v>3774018.4158968814</c:v>
                </c:pt>
                <c:pt idx="18">
                  <c:v>4075939.8891686318</c:v>
                </c:pt>
                <c:pt idx="19">
                  <c:v>4402015.080302123</c:v>
                </c:pt>
                <c:pt idx="20">
                  <c:v>4754176.2867262932</c:v>
                </c:pt>
                <c:pt idx="21">
                  <c:v>5134510.3896643966</c:v>
                </c:pt>
                <c:pt idx="22">
                  <c:v>5545271.2208375493</c:v>
                </c:pt>
                <c:pt idx="23">
                  <c:v>5988892.9185045529</c:v>
                </c:pt>
                <c:pt idx="24">
                  <c:v>6468004.3519849172</c:v>
                </c:pt>
                <c:pt idx="25">
                  <c:v>6985444.7001437116</c:v>
                </c:pt>
                <c:pt idx="26">
                  <c:v>7544280.2761552073</c:v>
                </c:pt>
                <c:pt idx="27">
                  <c:v>8147822.6982476255</c:v>
                </c:pt>
                <c:pt idx="28">
                  <c:v>8799648.5141074359</c:v>
                </c:pt>
                <c:pt idx="29">
                  <c:v>9503620.3952360302</c:v>
                </c:pt>
                <c:pt idx="30">
                  <c:v>10263910.026854914</c:v>
                </c:pt>
                <c:pt idx="31">
                  <c:v>11085022.829003308</c:v>
                </c:pt>
                <c:pt idx="32">
                  <c:v>11971824.655323572</c:v>
                </c:pt>
                <c:pt idx="33">
                  <c:v>12929570.62774946</c:v>
                </c:pt>
                <c:pt idx="34">
                  <c:v>13963936.277969416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1-4A6E-8BB1-7E93B54C48B3}"/>
            </c:ext>
          </c:extLst>
        </c:ser>
        <c:ser>
          <c:idx val="1"/>
          <c:order val="1"/>
          <c:tx>
            <c:strRef>
              <c:f>Projection!$G$1</c:f>
              <c:strCache>
                <c:ptCount val="1"/>
                <c:pt idx="0">
                  <c:v>Consumption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Projection!$G$2:$G$63</c:f>
              <c:numCache>
                <c:formatCode>#,##0</c:formatCode>
                <c:ptCount val="62"/>
                <c:pt idx="0">
                  <c:v>714000</c:v>
                </c:pt>
                <c:pt idx="1">
                  <c:v>763980</c:v>
                </c:pt>
                <c:pt idx="2">
                  <c:v>817458.6</c:v>
                </c:pt>
                <c:pt idx="3">
                  <c:v>874680.70200000005</c:v>
                </c:pt>
                <c:pt idx="4">
                  <c:v>935908.35114000004</c:v>
                </c:pt>
                <c:pt idx="5">
                  <c:v>1001421.9357198001</c:v>
                </c:pt>
                <c:pt idx="6">
                  <c:v>1071521.471220186</c:v>
                </c:pt>
                <c:pt idx="7">
                  <c:v>1146527.9742055992</c:v>
                </c:pt>
                <c:pt idx="8">
                  <c:v>1226784.932399991</c:v>
                </c:pt>
                <c:pt idx="9">
                  <c:v>1312659.8776679905</c:v>
                </c:pt>
                <c:pt idx="10">
                  <c:v>1404546.0691047499</c:v>
                </c:pt>
                <c:pt idx="11">
                  <c:v>1502864.2939420824</c:v>
                </c:pt>
                <c:pt idx="12">
                  <c:v>1608064.7945180279</c:v>
                </c:pt>
                <c:pt idx="13">
                  <c:v>1720629.33013429</c:v>
                </c:pt>
                <c:pt idx="14">
                  <c:v>1841073.3832436902</c:v>
                </c:pt>
                <c:pt idx="15">
                  <c:v>1969948.5200707489</c:v>
                </c:pt>
                <c:pt idx="16">
                  <c:v>2107844.9164757011</c:v>
                </c:pt>
                <c:pt idx="17">
                  <c:v>2255394.060629</c:v>
                </c:pt>
                <c:pt idx="18">
                  <c:v>2413271.64487303</c:v>
                </c:pt>
                <c:pt idx="19">
                  <c:v>2582200.6600141423</c:v>
                </c:pt>
                <c:pt idx="20">
                  <c:v>2762954.706215132</c:v>
                </c:pt>
                <c:pt idx="21">
                  <c:v>2956361.5356501914</c:v>
                </c:pt>
                <c:pt idx="22">
                  <c:v>3163306.8431457048</c:v>
                </c:pt>
                <c:pt idx="23">
                  <c:v>3384738.3221659041</c:v>
                </c:pt>
                <c:pt idx="24">
                  <c:v>3621670.0047175176</c:v>
                </c:pt>
                <c:pt idx="25">
                  <c:v>3875186.9050477445</c:v>
                </c:pt>
                <c:pt idx="26">
                  <c:v>4146449.9884010861</c:v>
                </c:pt>
                <c:pt idx="27">
                  <c:v>4436701.4875891628</c:v>
                </c:pt>
                <c:pt idx="28">
                  <c:v>4747270.5917204032</c:v>
                </c:pt>
                <c:pt idx="29">
                  <c:v>5079579.5331408316</c:v>
                </c:pt>
                <c:pt idx="30">
                  <c:v>5435150.1004606895</c:v>
                </c:pt>
                <c:pt idx="31">
                  <c:v>5815610.6074929396</c:v>
                </c:pt>
                <c:pt idx="32">
                  <c:v>6222703.3500174442</c:v>
                </c:pt>
                <c:pt idx="33">
                  <c:v>6658292.5845186654</c:v>
                </c:pt>
                <c:pt idx="34">
                  <c:v>7124373.0654349718</c:v>
                </c:pt>
                <c:pt idx="35">
                  <c:v>7551835.4493610701</c:v>
                </c:pt>
                <c:pt idx="36">
                  <c:v>8004945.5763227353</c:v>
                </c:pt>
                <c:pt idx="37">
                  <c:v>8485242.3109021001</c:v>
                </c:pt>
                <c:pt idx="38">
                  <c:v>8994356.8495562263</c:v>
                </c:pt>
                <c:pt idx="39">
                  <c:v>9534018.2605296019</c:v>
                </c:pt>
                <c:pt idx="40">
                  <c:v>10106059.356161378</c:v>
                </c:pt>
                <c:pt idx="41">
                  <c:v>10712422.917531062</c:v>
                </c:pt>
                <c:pt idx="42">
                  <c:v>11355168.292582925</c:v>
                </c:pt>
                <c:pt idx="43">
                  <c:v>12036478.3901379</c:v>
                </c:pt>
                <c:pt idx="44">
                  <c:v>12758667.093546174</c:v>
                </c:pt>
                <c:pt idx="45">
                  <c:v>13524187.119158948</c:v>
                </c:pt>
                <c:pt idx="46">
                  <c:v>14335638.346308485</c:v>
                </c:pt>
                <c:pt idx="47">
                  <c:v>15195776.647086997</c:v>
                </c:pt>
                <c:pt idx="48">
                  <c:v>16107523.245912215</c:v>
                </c:pt>
                <c:pt idx="49">
                  <c:v>17073974.640666954</c:v>
                </c:pt>
                <c:pt idx="50">
                  <c:v>18098413.119106967</c:v>
                </c:pt>
                <c:pt idx="51">
                  <c:v>19184317.906253386</c:v>
                </c:pt>
                <c:pt idx="52">
                  <c:v>20335376.980628587</c:v>
                </c:pt>
                <c:pt idx="53">
                  <c:v>21555499.599466305</c:v>
                </c:pt>
                <c:pt idx="54">
                  <c:v>22848829.575434282</c:v>
                </c:pt>
                <c:pt idx="55">
                  <c:v>24219759.349960346</c:v>
                </c:pt>
                <c:pt idx="56">
                  <c:v>25672944.910957966</c:v>
                </c:pt>
                <c:pt idx="57">
                  <c:v>27213321.605615448</c:v>
                </c:pt>
                <c:pt idx="58">
                  <c:v>28846120.901952371</c:v>
                </c:pt>
                <c:pt idx="59">
                  <c:v>30576888.156069513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1-4A6E-8BB1-7E93B54C48B3}"/>
            </c:ext>
          </c:extLst>
        </c:ser>
        <c:ser>
          <c:idx val="2"/>
          <c:order val="2"/>
          <c:tx>
            <c:strRef>
              <c:f>Projection!$H$1</c:f>
              <c:strCache>
                <c:ptCount val="1"/>
                <c:pt idx="0">
                  <c:v>Savings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Projection!$H$2:$H$63</c:f>
              <c:numCache>
                <c:formatCode>#,##0</c:formatCode>
                <c:ptCount val="62"/>
                <c:pt idx="0">
                  <c:v>306000</c:v>
                </c:pt>
                <c:pt idx="1">
                  <c:v>337620</c:v>
                </c:pt>
                <c:pt idx="2">
                  <c:v>372269.40000000026</c:v>
                </c:pt>
                <c:pt idx="3">
                  <c:v>410225.53800000018</c:v>
                </c:pt>
                <c:pt idx="4">
                  <c:v>451790.38806000014</c:v>
                </c:pt>
                <c:pt idx="5">
                  <c:v>497292.7026162002</c:v>
                </c:pt>
                <c:pt idx="6">
                  <c:v>547090.33818269474</c:v>
                </c:pt>
                <c:pt idx="7">
                  <c:v>601572.77994951187</c:v>
                </c:pt>
                <c:pt idx="8">
                  <c:v>661163.88208752871</c:v>
                </c:pt>
                <c:pt idx="9">
                  <c:v>726324.8419785311</c:v>
                </c:pt>
                <c:pt idx="10">
                  <c:v>797557.42811349384</c:v>
                </c:pt>
                <c:pt idx="11">
                  <c:v>875407.48305362067</c:v>
                </c:pt>
                <c:pt idx="12">
                  <c:v>960468.72463733144</c:v>
                </c:pt>
                <c:pt idx="13">
                  <c:v>1053386.8705534984</c:v>
                </c:pt>
                <c:pt idx="14">
                  <c:v>1154864.1134991217</c:v>
                </c:pt>
                <c:pt idx="15">
                  <c:v>1265663.9764114879</c:v>
                </c:pt>
                <c:pt idx="16">
                  <c:v>1386616.5797251146</c:v>
                </c:pt>
                <c:pt idx="17">
                  <c:v>1518624.3552678814</c:v>
                </c:pt>
                <c:pt idx="18">
                  <c:v>1662668.2442956017</c:v>
                </c:pt>
                <c:pt idx="19">
                  <c:v>1819814.4202879807</c:v>
                </c:pt>
                <c:pt idx="20">
                  <c:v>1991221.5805111611</c:v>
                </c:pt>
                <c:pt idx="21">
                  <c:v>2178148.8540142053</c:v>
                </c:pt>
                <c:pt idx="22">
                  <c:v>2381964.3776918445</c:v>
                </c:pt>
                <c:pt idx="23">
                  <c:v>2604154.5963386488</c:v>
                </c:pt>
                <c:pt idx="24">
                  <c:v>2846334.3472673995</c:v>
                </c:pt>
                <c:pt idx="25">
                  <c:v>3110257.7950959671</c:v>
                </c:pt>
                <c:pt idx="26">
                  <c:v>3397830.2877541212</c:v>
                </c:pt>
                <c:pt idx="27">
                  <c:v>3711121.2106584627</c:v>
                </c:pt>
                <c:pt idx="28">
                  <c:v>4052377.9223870328</c:v>
                </c:pt>
                <c:pt idx="29">
                  <c:v>4424040.8620951986</c:v>
                </c:pt>
                <c:pt idx="30">
                  <c:v>4828759.9263942242</c:v>
                </c:pt>
                <c:pt idx="31">
                  <c:v>5269412.2215103684</c:v>
                </c:pt>
                <c:pt idx="32">
                  <c:v>5749121.3053061282</c:v>
                </c:pt>
                <c:pt idx="33">
                  <c:v>6271278.0432307944</c:v>
                </c:pt>
                <c:pt idx="34">
                  <c:v>6839563.2125344444</c:v>
                </c:pt>
                <c:pt idx="35">
                  <c:v>-7551835.4493610701</c:v>
                </c:pt>
                <c:pt idx="36">
                  <c:v>-8004945.5763227353</c:v>
                </c:pt>
                <c:pt idx="37">
                  <c:v>-8485242.3109021001</c:v>
                </c:pt>
                <c:pt idx="38">
                  <c:v>-8994356.8495562263</c:v>
                </c:pt>
                <c:pt idx="39">
                  <c:v>-9534018.2605296019</c:v>
                </c:pt>
                <c:pt idx="40">
                  <c:v>-10106059.356161378</c:v>
                </c:pt>
                <c:pt idx="41">
                  <c:v>-10712422.917531062</c:v>
                </c:pt>
                <c:pt idx="42">
                  <c:v>-11355168.292582925</c:v>
                </c:pt>
                <c:pt idx="43">
                  <c:v>-12036478.3901379</c:v>
                </c:pt>
                <c:pt idx="44">
                  <c:v>-12758667.093546174</c:v>
                </c:pt>
                <c:pt idx="45">
                  <c:v>-13524187.119158948</c:v>
                </c:pt>
                <c:pt idx="46">
                  <c:v>-14335638.346308485</c:v>
                </c:pt>
                <c:pt idx="47">
                  <c:v>-15195776.647086997</c:v>
                </c:pt>
                <c:pt idx="48">
                  <c:v>-16107523.245912215</c:v>
                </c:pt>
                <c:pt idx="49">
                  <c:v>-17073974.640666954</c:v>
                </c:pt>
                <c:pt idx="50">
                  <c:v>-18098413.119106967</c:v>
                </c:pt>
                <c:pt idx="51">
                  <c:v>-19184317.906253386</c:v>
                </c:pt>
                <c:pt idx="52">
                  <c:v>-20335376.980628587</c:v>
                </c:pt>
                <c:pt idx="53">
                  <c:v>-21555499.599466305</c:v>
                </c:pt>
                <c:pt idx="54">
                  <c:v>-22848829.575434282</c:v>
                </c:pt>
                <c:pt idx="55">
                  <c:v>-24219759.349960346</c:v>
                </c:pt>
                <c:pt idx="56">
                  <c:v>-25672944.910957966</c:v>
                </c:pt>
                <c:pt idx="57">
                  <c:v>-27213321.605615448</c:v>
                </c:pt>
                <c:pt idx="58">
                  <c:v>-28846120.901952371</c:v>
                </c:pt>
                <c:pt idx="59">
                  <c:v>-30576888.156069513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1-4A6E-8BB1-7E93B54C4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200122"/>
        <c:axId val="36348795"/>
      </c:lineChart>
      <c:catAx>
        <c:axId val="442001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48795"/>
        <c:crosses val="autoZero"/>
        <c:auto val="1"/>
        <c:lblAlgn val="ctr"/>
        <c:lblOffset val="100"/>
        <c:noMultiLvlLbl val="0"/>
      </c:catAx>
      <c:valAx>
        <c:axId val="36348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001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Consumption vs permanent income (PIH)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Projection!$G$1</c:f>
              <c:strCache>
                <c:ptCount val="1"/>
                <c:pt idx="0">
                  <c:v>Consumption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Projection!$G$2:$G$63</c:f>
              <c:numCache>
                <c:formatCode>#,##0</c:formatCode>
                <c:ptCount val="62"/>
                <c:pt idx="0">
                  <c:v>714000</c:v>
                </c:pt>
                <c:pt idx="1">
                  <c:v>763980</c:v>
                </c:pt>
                <c:pt idx="2">
                  <c:v>817458.6</c:v>
                </c:pt>
                <c:pt idx="3">
                  <c:v>874680.70200000005</c:v>
                </c:pt>
                <c:pt idx="4">
                  <c:v>935908.35114000004</c:v>
                </c:pt>
                <c:pt idx="5">
                  <c:v>1001421.9357198001</c:v>
                </c:pt>
                <c:pt idx="6">
                  <c:v>1071521.471220186</c:v>
                </c:pt>
                <c:pt idx="7">
                  <c:v>1146527.9742055992</c:v>
                </c:pt>
                <c:pt idx="8">
                  <c:v>1226784.932399991</c:v>
                </c:pt>
                <c:pt idx="9">
                  <c:v>1312659.8776679905</c:v>
                </c:pt>
                <c:pt idx="10">
                  <c:v>1404546.0691047499</c:v>
                </c:pt>
                <c:pt idx="11">
                  <c:v>1502864.2939420824</c:v>
                </c:pt>
                <c:pt idx="12">
                  <c:v>1608064.7945180279</c:v>
                </c:pt>
                <c:pt idx="13">
                  <c:v>1720629.33013429</c:v>
                </c:pt>
                <c:pt idx="14">
                  <c:v>1841073.3832436902</c:v>
                </c:pt>
                <c:pt idx="15">
                  <c:v>1969948.5200707489</c:v>
                </c:pt>
                <c:pt idx="16">
                  <c:v>2107844.9164757011</c:v>
                </c:pt>
                <c:pt idx="17">
                  <c:v>2255394.060629</c:v>
                </c:pt>
                <c:pt idx="18">
                  <c:v>2413271.64487303</c:v>
                </c:pt>
                <c:pt idx="19">
                  <c:v>2582200.6600141423</c:v>
                </c:pt>
                <c:pt idx="20">
                  <c:v>2762954.706215132</c:v>
                </c:pt>
                <c:pt idx="21">
                  <c:v>2956361.5356501914</c:v>
                </c:pt>
                <c:pt idx="22">
                  <c:v>3163306.8431457048</c:v>
                </c:pt>
                <c:pt idx="23">
                  <c:v>3384738.3221659041</c:v>
                </c:pt>
                <c:pt idx="24">
                  <c:v>3621670.0047175176</c:v>
                </c:pt>
                <c:pt idx="25">
                  <c:v>3875186.9050477445</c:v>
                </c:pt>
                <c:pt idx="26">
                  <c:v>4146449.9884010861</c:v>
                </c:pt>
                <c:pt idx="27">
                  <c:v>4436701.4875891628</c:v>
                </c:pt>
                <c:pt idx="28">
                  <c:v>4747270.5917204032</c:v>
                </c:pt>
                <c:pt idx="29">
                  <c:v>5079579.5331408316</c:v>
                </c:pt>
                <c:pt idx="30">
                  <c:v>5435150.1004606895</c:v>
                </c:pt>
                <c:pt idx="31">
                  <c:v>5815610.6074929396</c:v>
                </c:pt>
                <c:pt idx="32">
                  <c:v>6222703.3500174442</c:v>
                </c:pt>
                <c:pt idx="33">
                  <c:v>6658292.5845186654</c:v>
                </c:pt>
                <c:pt idx="34">
                  <c:v>7124373.0654349718</c:v>
                </c:pt>
                <c:pt idx="35">
                  <c:v>7551835.4493610701</c:v>
                </c:pt>
                <c:pt idx="36">
                  <c:v>8004945.5763227353</c:v>
                </c:pt>
                <c:pt idx="37">
                  <c:v>8485242.3109021001</c:v>
                </c:pt>
                <c:pt idx="38">
                  <c:v>8994356.8495562263</c:v>
                </c:pt>
                <c:pt idx="39">
                  <c:v>9534018.2605296019</c:v>
                </c:pt>
                <c:pt idx="40">
                  <c:v>10106059.356161378</c:v>
                </c:pt>
                <c:pt idx="41">
                  <c:v>10712422.917531062</c:v>
                </c:pt>
                <c:pt idx="42">
                  <c:v>11355168.292582925</c:v>
                </c:pt>
                <c:pt idx="43">
                  <c:v>12036478.3901379</c:v>
                </c:pt>
                <c:pt idx="44">
                  <c:v>12758667.093546174</c:v>
                </c:pt>
                <c:pt idx="45">
                  <c:v>13524187.119158948</c:v>
                </c:pt>
                <c:pt idx="46">
                  <c:v>14335638.346308485</c:v>
                </c:pt>
                <c:pt idx="47">
                  <c:v>15195776.647086997</c:v>
                </c:pt>
                <c:pt idx="48">
                  <c:v>16107523.245912215</c:v>
                </c:pt>
                <c:pt idx="49">
                  <c:v>17073974.640666954</c:v>
                </c:pt>
                <c:pt idx="50">
                  <c:v>18098413.119106967</c:v>
                </c:pt>
                <c:pt idx="51">
                  <c:v>19184317.906253386</c:v>
                </c:pt>
                <c:pt idx="52">
                  <c:v>20335376.980628587</c:v>
                </c:pt>
                <c:pt idx="53">
                  <c:v>21555499.599466305</c:v>
                </c:pt>
                <c:pt idx="54">
                  <c:v>22848829.575434282</c:v>
                </c:pt>
                <c:pt idx="55">
                  <c:v>24219759.349960346</c:v>
                </c:pt>
                <c:pt idx="56">
                  <c:v>25672944.910957966</c:v>
                </c:pt>
                <c:pt idx="57">
                  <c:v>27213321.605615448</c:v>
                </c:pt>
                <c:pt idx="58">
                  <c:v>28846120.901952371</c:v>
                </c:pt>
                <c:pt idx="59">
                  <c:v>30576888.156069513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0-4E36-B32D-CF6F89027E71}"/>
            </c:ext>
          </c:extLst>
        </c:ser>
        <c:ser>
          <c:idx val="1"/>
          <c:order val="1"/>
          <c:tx>
            <c:strRef>
              <c:f>Projection!$O$1</c:f>
              <c:strCache>
                <c:ptCount val="1"/>
                <c:pt idx="0">
                  <c:v>Permanent income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Projection!$O$2:$O$63</c:f>
              <c:numCache>
                <c:formatCode>#,##0</c:formatCode>
                <c:ptCount val="62"/>
                <c:pt idx="0">
                  <c:v>1038287.5566420654</c:v>
                </c:pt>
                <c:pt idx="1">
                  <c:v>1100584.8100405894</c:v>
                </c:pt>
                <c:pt idx="2">
                  <c:v>1166619.898643025</c:v>
                </c:pt>
                <c:pt idx="3">
                  <c:v>1236617.0925616066</c:v>
                </c:pt>
                <c:pt idx="4">
                  <c:v>1310814.1181153029</c:v>
                </c:pt>
                <c:pt idx="5">
                  <c:v>1389462.9652022212</c:v>
                </c:pt>
                <c:pt idx="6">
                  <c:v>1472830.7431143546</c:v>
                </c:pt>
                <c:pt idx="7">
                  <c:v>1561200.5877012161</c:v>
                </c:pt>
                <c:pt idx="8">
                  <c:v>1654872.6229632888</c:v>
                </c:pt>
                <c:pt idx="9">
                  <c:v>1754164.9803410862</c:v>
                </c:pt>
                <c:pt idx="10">
                  <c:v>1859414.8791615516</c:v>
                </c:pt>
                <c:pt idx="11">
                  <c:v>1970979.7719112448</c:v>
                </c:pt>
                <c:pt idx="12">
                  <c:v>2089238.5582259197</c:v>
                </c:pt>
                <c:pt idx="13">
                  <c:v>2214592.8717194749</c:v>
                </c:pt>
                <c:pt idx="14">
                  <c:v>2347468.4440226434</c:v>
                </c:pt>
                <c:pt idx="15">
                  <c:v>2488316.550664003</c:v>
                </c:pt>
                <c:pt idx="16">
                  <c:v>2637615.5437038424</c:v>
                </c:pt>
                <c:pt idx="17">
                  <c:v>2795872.4763260731</c:v>
                </c:pt>
                <c:pt idx="18">
                  <c:v>2963624.8249056377</c:v>
                </c:pt>
                <c:pt idx="19">
                  <c:v>3141442.3143999763</c:v>
                </c:pt>
                <c:pt idx="20">
                  <c:v>3329928.8532639747</c:v>
                </c:pt>
                <c:pt idx="21">
                  <c:v>3529724.5844598138</c:v>
                </c:pt>
                <c:pt idx="22">
                  <c:v>3741508.0595274027</c:v>
                </c:pt>
                <c:pt idx="23">
                  <c:v>3965998.5430990476</c:v>
                </c:pt>
                <c:pt idx="24">
                  <c:v>4203958.4556849897</c:v>
                </c:pt>
                <c:pt idx="25">
                  <c:v>4456195.9630260887</c:v>
                </c:pt>
                <c:pt idx="26">
                  <c:v>4723567.7208076548</c:v>
                </c:pt>
                <c:pt idx="27">
                  <c:v>5006981.784056115</c:v>
                </c:pt>
                <c:pt idx="28">
                  <c:v>5307400.6910994817</c:v>
                </c:pt>
                <c:pt idx="29">
                  <c:v>5625844.7325654514</c:v>
                </c:pt>
                <c:pt idx="30">
                  <c:v>5963395.4165193783</c:v>
                </c:pt>
                <c:pt idx="31">
                  <c:v>6321199.1415105425</c:v>
                </c:pt>
                <c:pt idx="32">
                  <c:v>6700471.0900011742</c:v>
                </c:pt>
                <c:pt idx="33">
                  <c:v>7102499.355401244</c:v>
                </c:pt>
                <c:pt idx="34">
                  <c:v>7528649.3167253202</c:v>
                </c:pt>
                <c:pt idx="35">
                  <c:v>7980368.2757288404</c:v>
                </c:pt>
                <c:pt idx="36">
                  <c:v>8459190.3722725715</c:v>
                </c:pt>
                <c:pt idx="37">
                  <c:v>8966741.7946089264</c:v>
                </c:pt>
                <c:pt idx="38">
                  <c:v>9504746.3022854626</c:v>
                </c:pt>
                <c:pt idx="39">
                  <c:v>10075031.080422591</c:v>
                </c:pt>
                <c:pt idx="40">
                  <c:v>10679532.945247946</c:v>
                </c:pt>
                <c:pt idx="41">
                  <c:v>11320304.921962822</c:v>
                </c:pt>
                <c:pt idx="42">
                  <c:v>11999523.217280593</c:v>
                </c:pt>
                <c:pt idx="43">
                  <c:v>12719494.61031743</c:v>
                </c:pt>
                <c:pt idx="44">
                  <c:v>13482664.286936477</c:v>
                </c:pt>
                <c:pt idx="45">
                  <c:v>14291624.144152666</c:v>
                </c:pt>
                <c:pt idx="46">
                  <c:v>15149121.592801826</c:v>
                </c:pt>
                <c:pt idx="47">
                  <c:v>16058068.88836994</c:v>
                </c:pt>
                <c:pt idx="48">
                  <c:v>17021553.021672133</c:v>
                </c:pt>
                <c:pt idx="49">
                  <c:v>18042846.202972464</c:v>
                </c:pt>
                <c:pt idx="50">
                  <c:v>19125416.975150809</c:v>
                </c:pt>
                <c:pt idx="51">
                  <c:v>20272941.993659861</c:v>
                </c:pt>
                <c:pt idx="52">
                  <c:v>21489318.513279453</c:v>
                </c:pt>
                <c:pt idx="53">
                  <c:v>22778677.624076225</c:v>
                </c:pt>
                <c:pt idx="54">
                  <c:v>24145398.281520799</c:v>
                </c:pt>
                <c:pt idx="55">
                  <c:v>25594122.17841205</c:v>
                </c:pt>
                <c:pt idx="56">
                  <c:v>27129769.509116769</c:v>
                </c:pt>
                <c:pt idx="57">
                  <c:v>28757555.679663774</c:v>
                </c:pt>
                <c:pt idx="58">
                  <c:v>30483009.0204436</c:v>
                </c:pt>
                <c:pt idx="59">
                  <c:v>32311989.561670225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0-4E36-B32D-CF6F89027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496942"/>
        <c:axId val="16631576"/>
      </c:lineChart>
      <c:catAx>
        <c:axId val="24496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31576"/>
        <c:crosses val="autoZero"/>
        <c:auto val="1"/>
        <c:lblAlgn val="ctr"/>
        <c:lblOffset val="100"/>
        <c:noMultiLvlLbl val="0"/>
      </c:catAx>
      <c:valAx>
        <c:axId val="16631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4969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Net-worth trajectory — the life-cycle hump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Projection!$I$1</c:f>
              <c:strCache>
                <c:ptCount val="1"/>
                <c:pt idx="0">
                  <c:v>Wealth (year-end)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Projection!$B$2:$B$63</c:f>
              <c:numCache>
                <c:formatCode>0</c:formatCode>
                <c:ptCount val="6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</c:numCache>
            </c:numRef>
          </c:cat>
          <c:val>
            <c:numRef>
              <c:f>Projection!$I$2:$I$63</c:f>
              <c:numCache>
                <c:formatCode>#,##0</c:formatCode>
                <c:ptCount val="62"/>
                <c:pt idx="0">
                  <c:v>306000</c:v>
                </c:pt>
                <c:pt idx="1">
                  <c:v>671160</c:v>
                </c:pt>
                <c:pt idx="2">
                  <c:v>1103833.8000000003</c:v>
                </c:pt>
                <c:pt idx="3">
                  <c:v>1613404.3800000006</c:v>
                </c:pt>
                <c:pt idx="4">
                  <c:v>2210401.1622600011</c:v>
                </c:pt>
                <c:pt idx="5">
                  <c:v>2906629.9694796018</c:v>
                </c:pt>
                <c:pt idx="6">
                  <c:v>3715317.0049154609</c:v>
                </c:pt>
                <c:pt idx="7">
                  <c:v>4651268.3153073648</c:v>
                </c:pt>
                <c:pt idx="8">
                  <c:v>5731046.345772557</c:v>
                </c:pt>
                <c:pt idx="9">
                  <c:v>6973165.358870619</c:v>
                </c:pt>
                <c:pt idx="10">
                  <c:v>8398307.669282468</c:v>
                </c:pt>
                <c:pt idx="11">
                  <c:v>10029562.842571512</c:v>
                </c:pt>
                <c:pt idx="12">
                  <c:v>11892692.223040281</c:v>
                </c:pt>
                <c:pt idx="13">
                  <c:v>14016421.393667405</c:v>
                </c:pt>
                <c:pt idx="14">
                  <c:v>16432763.432596594</c:v>
                </c:pt>
                <c:pt idx="15">
                  <c:v>19177376.117941778</c:v>
                </c:pt>
                <c:pt idx="16">
                  <c:v>22289956.548281655</c:v>
                </c:pt>
                <c:pt idx="17">
                  <c:v>25814676.992894888</c:v>
                </c:pt>
                <c:pt idx="18">
                  <c:v>29800666.166551031</c:v>
                </c:pt>
                <c:pt idx="19">
                  <c:v>34302540.541828603</c:v>
                </c:pt>
                <c:pt idx="20">
                  <c:v>39380990.771104343</c:v>
                </c:pt>
                <c:pt idx="21">
                  <c:v>45103428.794517942</c:v>
                </c:pt>
                <c:pt idx="22">
                  <c:v>51544701.7637164</c:v>
                </c:pt>
                <c:pt idx="23">
                  <c:v>58787879.51878953</c:v>
                </c:pt>
                <c:pt idx="24">
                  <c:v>66925123.022747986</c:v>
                </c:pt>
                <c:pt idx="25">
                  <c:v>76058641.889891282</c:v>
                </c:pt>
                <c:pt idx="26">
                  <c:v>86301749.947735623</c:v>
                </c:pt>
                <c:pt idx="27">
                  <c:v>97780028.653690293</c:v>
                </c:pt>
                <c:pt idx="28">
                  <c:v>110632609.15490946</c:v>
                </c:pt>
                <c:pt idx="29">
                  <c:v>125013584.84094651</c:v>
                </c:pt>
                <c:pt idx="30">
                  <c:v>141093567.40302593</c:v>
                </c:pt>
                <c:pt idx="31">
                  <c:v>159061400.69080865</c:v>
                </c:pt>
                <c:pt idx="32">
                  <c:v>179126048.05828759</c:v>
                </c:pt>
                <c:pt idx="33">
                  <c:v>201518670.42676428</c:v>
                </c:pt>
                <c:pt idx="34">
                  <c:v>226494913.97770754</c:v>
                </c:pt>
                <c:pt idx="35">
                  <c:v>239327620.78634018</c:v>
                </c:pt>
                <c:pt idx="36">
                  <c:v>252862161.08078808</c:v>
                </c:pt>
                <c:pt idx="37">
                  <c:v>267134513.26715693</c:v>
                </c:pt>
                <c:pt idx="38">
                  <c:v>282182262.61164486</c:v>
                </c:pt>
                <c:pt idx="39">
                  <c:v>298044647.98616332</c:v>
                </c:pt>
                <c:pt idx="40">
                  <c:v>314762606.94875669</c:v>
                </c:pt>
                <c:pt idx="41">
                  <c:v>332378818.65661377</c:v>
                </c:pt>
                <c:pt idx="42">
                  <c:v>350937744.04312611</c:v>
                </c:pt>
                <c:pt idx="43">
                  <c:v>370485662.61686957</c:v>
                </c:pt>
                <c:pt idx="44">
                  <c:v>391070705.15884173</c:v>
                </c:pt>
                <c:pt idx="45">
                  <c:v>412742881.50397861</c:v>
                </c:pt>
                <c:pt idx="46">
                  <c:v>435554102.49302822</c:v>
                </c:pt>
                <c:pt idx="47">
                  <c:v>459558195.07031381</c:v>
                </c:pt>
                <c:pt idx="48">
                  <c:v>484810909.38072991</c:v>
                </c:pt>
                <c:pt idx="49">
                  <c:v>511369916.58432871</c:v>
                </c:pt>
                <c:pt idx="50">
                  <c:v>539294795.95781136</c:v>
                </c:pt>
                <c:pt idx="51">
                  <c:v>568647009.68776107</c:v>
                </c:pt>
                <c:pt idx="52">
                  <c:v>599489863.57903099</c:v>
                </c:pt>
                <c:pt idx="53">
                  <c:v>631888451.70167756</c:v>
                </c:pt>
                <c:pt idx="54">
                  <c:v>665909582.77939427</c:v>
                </c:pt>
                <c:pt idx="55">
                  <c:v>701621685.87957942</c:v>
                </c:pt>
                <c:pt idx="56">
                  <c:v>739094692.69778371</c:v>
                </c:pt>
                <c:pt idx="57">
                  <c:v>778399893.43496883</c:v>
                </c:pt>
                <c:pt idx="58">
                  <c:v>819609762.94216371</c:v>
                </c:pt>
                <c:pt idx="59">
                  <c:v>862797753.45088899</c:v>
                </c:pt>
                <c:pt idx="60">
                  <c:v>862797753.45088899</c:v>
                </c:pt>
                <c:pt idx="61">
                  <c:v>862797753.45088899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1-444D-BB46-15584B15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07837"/>
        <c:axId val="8972041"/>
      </c:lineChart>
      <c:catAx>
        <c:axId val="65078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2041"/>
        <c:crosses val="autoZero"/>
        <c:auto val="1"/>
        <c:lblAlgn val="ctr"/>
        <c:lblOffset val="100"/>
        <c:noMultiLvlLbl val="0"/>
      </c:catAx>
      <c:valAx>
        <c:axId val="8972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worth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7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145440</xdr:rowOff>
    </xdr:from>
    <xdr:to>
      <xdr:col>11</xdr:col>
      <xdr:colOff>12300</xdr:colOff>
      <xdr:row>18</xdr:row>
      <xdr:rowOff>55035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19</xdr:row>
      <xdr:rowOff>145440</xdr:rowOff>
    </xdr:from>
    <xdr:to>
      <xdr:col>11</xdr:col>
      <xdr:colOff>12300</xdr:colOff>
      <xdr:row>35</xdr:row>
      <xdr:rowOff>54675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2</xdr:row>
      <xdr:rowOff>145440</xdr:rowOff>
    </xdr:from>
    <xdr:to>
      <xdr:col>22</xdr:col>
      <xdr:colOff>12300</xdr:colOff>
      <xdr:row>18</xdr:row>
      <xdr:rowOff>55035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19</xdr:row>
      <xdr:rowOff>145440</xdr:rowOff>
    </xdr:from>
    <xdr:to>
      <xdr:col>22</xdr:col>
      <xdr:colOff>12300</xdr:colOff>
      <xdr:row>35</xdr:row>
      <xdr:rowOff>54675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zoomScale="120" zoomScaleNormal="120" workbookViewId="0">
      <selection activeCell="B1" sqref="B1:D1"/>
    </sheetView>
  </sheetViews>
  <sheetFormatPr defaultColWidth="15.77734375" defaultRowHeight="14.4" x14ac:dyDescent="0.3"/>
  <cols>
    <col min="1" max="1" width="1.88671875" customWidth="1"/>
    <col min="2" max="2" width="38.88671875" customWidth="1"/>
    <col min="3" max="3" width="18" customWidth="1"/>
    <col min="4" max="4" width="37.109375" customWidth="1"/>
  </cols>
  <sheetData>
    <row r="1" spans="1:4" ht="19.2" x14ac:dyDescent="0.3">
      <c r="B1" s="30" t="s">
        <v>0</v>
      </c>
      <c r="C1" s="30"/>
      <c r="D1" s="30"/>
    </row>
    <row r="2" spans="1:4" x14ac:dyDescent="0.3">
      <c r="B2" s="31" t="s">
        <v>1</v>
      </c>
      <c r="C2" s="31"/>
      <c r="D2" s="31"/>
    </row>
    <row r="4" spans="1:4" x14ac:dyDescent="0.3">
      <c r="A4" t="s">
        <v>112</v>
      </c>
      <c r="B4" s="2" t="s">
        <v>2</v>
      </c>
      <c r="C4" s="3" t="s">
        <v>3</v>
      </c>
      <c r="D4" s="2" t="s">
        <v>4</v>
      </c>
    </row>
    <row r="5" spans="1:4" x14ac:dyDescent="0.3">
      <c r="B5" s="4" t="s">
        <v>5</v>
      </c>
      <c r="C5" s="22">
        <v>25</v>
      </c>
      <c r="D5" s="5" t="s">
        <v>6</v>
      </c>
    </row>
    <row r="6" spans="1:4" x14ac:dyDescent="0.3">
      <c r="B6" s="4" t="s">
        <v>7</v>
      </c>
      <c r="C6" s="23">
        <v>1200000</v>
      </c>
      <c r="D6" s="5" t="s">
        <v>8</v>
      </c>
    </row>
    <row r="7" spans="1:4" x14ac:dyDescent="0.3">
      <c r="B7" s="4" t="s">
        <v>9</v>
      </c>
      <c r="C7" s="24">
        <v>0.15</v>
      </c>
      <c r="D7" s="5" t="s">
        <v>10</v>
      </c>
    </row>
    <row r="8" spans="1:4" x14ac:dyDescent="0.3">
      <c r="B8" s="4" t="s">
        <v>11</v>
      </c>
      <c r="C8" s="24">
        <v>0.08</v>
      </c>
      <c r="D8" s="5" t="s">
        <v>12</v>
      </c>
    </row>
    <row r="9" spans="1:4" x14ac:dyDescent="0.3">
      <c r="B9" s="4" t="s">
        <v>13</v>
      </c>
      <c r="C9" s="24">
        <v>0.7</v>
      </c>
      <c r="D9" s="5" t="s">
        <v>14</v>
      </c>
    </row>
    <row r="10" spans="1:4" x14ac:dyDescent="0.3">
      <c r="B10" s="4" t="s">
        <v>15</v>
      </c>
      <c r="C10" s="24">
        <v>7.0000000000000007E-2</v>
      </c>
      <c r="D10" s="5" t="s">
        <v>12</v>
      </c>
    </row>
    <row r="11" spans="1:4" x14ac:dyDescent="0.3">
      <c r="B11" s="4" t="s">
        <v>16</v>
      </c>
      <c r="C11" s="24">
        <v>0.09</v>
      </c>
      <c r="D11" s="5" t="s">
        <v>17</v>
      </c>
    </row>
    <row r="13" spans="1:4" x14ac:dyDescent="0.3">
      <c r="A13" t="s">
        <v>112</v>
      </c>
      <c r="B13" s="2" t="s">
        <v>18</v>
      </c>
      <c r="C13" s="3" t="s">
        <v>3</v>
      </c>
      <c r="D13" s="2" t="s">
        <v>4</v>
      </c>
    </row>
    <row r="14" spans="1:4" x14ac:dyDescent="0.3">
      <c r="B14" s="4" t="s">
        <v>19</v>
      </c>
      <c r="C14" s="22">
        <v>60</v>
      </c>
      <c r="D14" s="5" t="s">
        <v>20</v>
      </c>
    </row>
    <row r="15" spans="1:4" x14ac:dyDescent="0.3">
      <c r="B15" s="4" t="s">
        <v>21</v>
      </c>
      <c r="C15" s="22">
        <v>85</v>
      </c>
      <c r="D15" s="5" t="s">
        <v>22</v>
      </c>
    </row>
    <row r="16" spans="1:4" x14ac:dyDescent="0.3">
      <c r="B16" s="4" t="s">
        <v>23</v>
      </c>
      <c r="C16" s="24">
        <v>0.06</v>
      </c>
      <c r="D16" s="5" t="s">
        <v>24</v>
      </c>
    </row>
    <row r="17" spans="1:4" x14ac:dyDescent="0.3">
      <c r="B17" s="4" t="s">
        <v>25</v>
      </c>
      <c r="C17" s="24">
        <v>0.09</v>
      </c>
      <c r="D17" s="5" t="s">
        <v>111</v>
      </c>
    </row>
    <row r="19" spans="1:4" x14ac:dyDescent="0.3">
      <c r="A19" t="s">
        <v>112</v>
      </c>
      <c r="B19" s="2" t="s">
        <v>26</v>
      </c>
      <c r="C19" s="6"/>
      <c r="D19" s="6"/>
    </row>
    <row r="20" spans="1:4" x14ac:dyDescent="0.3">
      <c r="B20" s="4" t="s">
        <v>27</v>
      </c>
      <c r="C20" s="18">
        <f>retireAge-startAge</f>
        <v>35</v>
      </c>
      <c r="D20" s="5" t="s">
        <v>28</v>
      </c>
    </row>
    <row r="21" spans="1:4" x14ac:dyDescent="0.3">
      <c r="B21" s="4" t="s">
        <v>29</v>
      </c>
      <c r="C21" s="18">
        <f>lifeExp-startAge</f>
        <v>60</v>
      </c>
      <c r="D21" s="5" t="s">
        <v>30</v>
      </c>
    </row>
    <row r="22" spans="1:4" x14ac:dyDescent="0.3">
      <c r="B22" s="4" t="s">
        <v>31</v>
      </c>
      <c r="C22" s="19">
        <f>cRate*ctc*(1-tax)</f>
        <v>714000</v>
      </c>
      <c r="D22" s="5" t="s">
        <v>32</v>
      </c>
    </row>
    <row r="23" spans="1:4" x14ac:dyDescent="0.3">
      <c r="B23" s="4" t="s">
        <v>33</v>
      </c>
      <c r="C23" s="19">
        <f>C0*(1+gExp)^(Nwork-1)</f>
        <v>7124373.0654349718</v>
      </c>
      <c r="D23" s="5" t="s">
        <v>34</v>
      </c>
    </row>
    <row r="24" spans="1:4" x14ac:dyDescent="0.3">
      <c r="B24" s="4" t="s">
        <v>35</v>
      </c>
      <c r="C24" s="20">
        <f>(1+infl)/(1+disc)</f>
        <v>0.97247706422018343</v>
      </c>
      <c r="D24" s="5" t="s">
        <v>36</v>
      </c>
    </row>
    <row r="25" spans="1:4" x14ac:dyDescent="0.3">
      <c r="B25" s="4" t="s">
        <v>37</v>
      </c>
      <c r="C25" s="20">
        <f>IF(ABS(qv-1)&lt;0.000000001,Tlife,(1-qv^Tlife)/(1-qv))</f>
        <v>29.524584989080196</v>
      </c>
      <c r="D25" s="5" t="s">
        <v>38</v>
      </c>
    </row>
    <row r="26" spans="1:4" x14ac:dyDescent="0.3">
      <c r="B26" s="4" t="s">
        <v>39</v>
      </c>
      <c r="C26" s="19">
        <f>SUM(pPVpx)</f>
        <v>30655009.209183078</v>
      </c>
      <c r="D26" s="5" t="s">
        <v>40</v>
      </c>
    </row>
    <row r="27" spans="1:4" x14ac:dyDescent="0.3">
      <c r="B27" s="4" t="s">
        <v>41</v>
      </c>
      <c r="C27" s="19">
        <f>HC0/geo</f>
        <v>1038287.5566420654</v>
      </c>
      <c r="D27" s="5" t="s">
        <v>42</v>
      </c>
    </row>
    <row r="28" spans="1:4" x14ac:dyDescent="0.3">
      <c r="B28" s="4" t="s">
        <v>43</v>
      </c>
      <c r="C28" s="21">
        <f>(1+disc)/(1+infl)-1</f>
        <v>2.8301886792452935E-2</v>
      </c>
      <c r="D28" s="5" t="s">
        <v>44</v>
      </c>
    </row>
    <row r="29" spans="1:4" x14ac:dyDescent="0.3">
      <c r="B29" s="4" t="s">
        <v>45</v>
      </c>
      <c r="C29" s="21">
        <f>(1+ret)/(1+infl)-1</f>
        <v>2.8301886792452935E-2</v>
      </c>
      <c r="D29" s="5" t="s">
        <v>46</v>
      </c>
    </row>
    <row r="31" spans="1:4" x14ac:dyDescent="0.3">
      <c r="A31" t="s">
        <v>112</v>
      </c>
      <c r="B31" s="7" t="s">
        <v>47</v>
      </c>
    </row>
    <row r="32" spans="1:4" ht="22.35" customHeight="1" x14ac:dyDescent="0.3">
      <c r="B32" s="32" t="s">
        <v>48</v>
      </c>
      <c r="C32" s="32"/>
      <c r="D32" s="32"/>
    </row>
    <row r="33" spans="2:4" ht="22.35" customHeight="1" x14ac:dyDescent="0.3">
      <c r="B33" s="32" t="s">
        <v>49</v>
      </c>
      <c r="C33" s="32"/>
      <c r="D33" s="32"/>
    </row>
    <row r="34" spans="2:4" ht="22.35" customHeight="1" x14ac:dyDescent="0.3">
      <c r="B34" s="32" t="s">
        <v>50</v>
      </c>
      <c r="C34" s="32"/>
      <c r="D34" s="32"/>
    </row>
    <row r="35" spans="2:4" ht="22.35" customHeight="1" x14ac:dyDescent="0.3">
      <c r="B35" s="32" t="s">
        <v>51</v>
      </c>
      <c r="C35" s="32"/>
      <c r="D35" s="32"/>
    </row>
    <row r="36" spans="2:4" ht="22.35" customHeight="1" x14ac:dyDescent="0.3">
      <c r="B36" s="32" t="s">
        <v>52</v>
      </c>
      <c r="C36" s="32"/>
      <c r="D36" s="32"/>
    </row>
  </sheetData>
  <mergeCells count="7">
    <mergeCell ref="B35:D35"/>
    <mergeCell ref="B36:D36"/>
    <mergeCell ref="B1:D1"/>
    <mergeCell ref="B2:D2"/>
    <mergeCell ref="B32:D32"/>
    <mergeCell ref="B33:D33"/>
    <mergeCell ref="B34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="120" zoomScaleNormal="120" workbookViewId="0">
      <selection activeCell="B1" sqref="B1:E1"/>
    </sheetView>
  </sheetViews>
  <sheetFormatPr defaultColWidth="15.77734375" defaultRowHeight="14.4" x14ac:dyDescent="0.3"/>
  <cols>
    <col min="1" max="1" width="1.88671875" customWidth="1"/>
    <col min="2" max="2" width="52" customWidth="1"/>
    <col min="3" max="4" width="18" customWidth="1"/>
    <col min="5" max="5" width="19.88671875" bestFit="1" customWidth="1"/>
  </cols>
  <sheetData>
    <row r="1" spans="1:5" ht="19.2" x14ac:dyDescent="0.3">
      <c r="B1" s="30" t="s">
        <v>53</v>
      </c>
      <c r="C1" s="30"/>
      <c r="D1" s="30"/>
      <c r="E1" s="30"/>
    </row>
    <row r="2" spans="1:5" x14ac:dyDescent="0.3">
      <c r="B2" s="31" t="s">
        <v>54</v>
      </c>
      <c r="C2" s="31"/>
      <c r="D2" s="31"/>
      <c r="E2" s="31"/>
    </row>
    <row r="4" spans="1:5" x14ac:dyDescent="0.3">
      <c r="A4" t="s">
        <v>112</v>
      </c>
      <c r="B4" s="8" t="s">
        <v>55</v>
      </c>
      <c r="C4" s="25" t="s">
        <v>56</v>
      </c>
      <c r="D4" s="25" t="s">
        <v>57</v>
      </c>
      <c r="E4" s="25" t="s">
        <v>58</v>
      </c>
    </row>
    <row r="5" spans="1:5" x14ac:dyDescent="0.3">
      <c r="B5" s="4" t="s">
        <v>59</v>
      </c>
      <c r="C5" s="1">
        <f>SUM(pGross)</f>
        <v>206780164.41480824</v>
      </c>
      <c r="D5" s="1">
        <f>SUMPRODUCT(pGross,pDefl)</f>
        <v>58744168.434231944</v>
      </c>
      <c r="E5" s="1">
        <f>SUMPRODUCT(pGross,pDF)</f>
        <v>36064716.716685958</v>
      </c>
    </row>
    <row r="6" spans="1:5" x14ac:dyDescent="0.3">
      <c r="B6" s="4" t="s">
        <v>60</v>
      </c>
      <c r="C6" s="1">
        <f>SUMPRODUCT(pWork,pCons)</f>
        <v>98701131.143077448</v>
      </c>
      <c r="D6" s="1">
        <f>SUMPRODUCT(pWork,pCons,pDefl)</f>
        <v>29447052.369828343</v>
      </c>
      <c r="E6" s="1">
        <f>SUMPRODUCT(pWork,pCons,pDF)</f>
        <v>18561355.627422951</v>
      </c>
    </row>
    <row r="7" spans="1:5" x14ac:dyDescent="0.3">
      <c r="B7" s="4" t="s">
        <v>61</v>
      </c>
      <c r="C7" s="1">
        <f>SUMPRODUCT(pWork,pSav)</f>
        <v>77062008.609509602</v>
      </c>
      <c r="D7" s="1">
        <f>SUMPRODUCT(pWork,pSav,pDefl)</f>
        <v>20485490.799268812</v>
      </c>
      <c r="E7" s="1">
        <f>SUMPRODUCT(pWork,pSav,pDF)</f>
        <v>12093653.581760116</v>
      </c>
    </row>
    <row r="8" spans="1:5" x14ac:dyDescent="0.3">
      <c r="B8" s="4" t="s">
        <v>62</v>
      </c>
      <c r="C8" s="1">
        <f>SUM(pTax)</f>
        <v>31017024.662221242</v>
      </c>
      <c r="D8" s="1">
        <f>SUMPRODUCT(pTax,pDefl)</f>
        <v>8811625.2651347928</v>
      </c>
      <c r="E8" s="1">
        <f>SUMPRODUCT(pTax,pDF)</f>
        <v>5409707.5075028939</v>
      </c>
    </row>
    <row r="9" spans="1:5" x14ac:dyDescent="0.3">
      <c r="B9" s="38" t="s">
        <v>63</v>
      </c>
      <c r="C9" s="38"/>
      <c r="D9" s="38"/>
      <c r="E9" s="38"/>
    </row>
    <row r="11" spans="1:5" x14ac:dyDescent="0.3">
      <c r="A11" t="s">
        <v>112</v>
      </c>
      <c r="B11" s="8" t="s">
        <v>64</v>
      </c>
      <c r="C11" s="35" t="s">
        <v>3</v>
      </c>
      <c r="D11" s="36"/>
      <c r="E11" s="36"/>
    </row>
    <row r="12" spans="1:5" x14ac:dyDescent="0.3">
      <c r="B12" s="4" t="s">
        <v>65</v>
      </c>
      <c r="C12" s="37">
        <f>INDEX(pWealth,MATCH(retireAge-1,pAge,0))</f>
        <v>226494913.97770754</v>
      </c>
      <c r="D12" s="37"/>
      <c r="E12" s="37"/>
    </row>
    <row r="13" spans="1:5" x14ac:dyDescent="0.3">
      <c r="B13" s="4" t="s">
        <v>66</v>
      </c>
      <c r="C13" s="37">
        <f>INDEX(pWealth,MATCH(retireAge-1,pAge,0))/(1+infl)^Nwork</f>
        <v>29468170.227305852</v>
      </c>
      <c r="D13" s="37"/>
      <c r="E13" s="37"/>
    </row>
    <row r="14" spans="1:5" x14ac:dyDescent="0.3">
      <c r="B14" s="4" t="s">
        <v>67</v>
      </c>
      <c r="C14" s="37">
        <f>SUMPRODUCT(pRet,pCons)</f>
        <v>414327766.60121</v>
      </c>
      <c r="D14" s="37"/>
      <c r="E14" s="37"/>
    </row>
    <row r="15" spans="1:5" x14ac:dyDescent="0.3">
      <c r="B15" s="4" t="s">
        <v>68</v>
      </c>
      <c r="C15" s="37">
        <f>SUMPRODUCT(pRet,pCons,pDefl)</f>
        <v>24563329.992950518</v>
      </c>
      <c r="D15" s="37"/>
      <c r="E15" s="37"/>
    </row>
    <row r="16" spans="1:5" x14ac:dyDescent="0.3">
      <c r="B16" s="4" t="s">
        <v>69</v>
      </c>
      <c r="C16" s="37">
        <f>INDEX(pWealth,MATCH(lifeExp-1,pAge,0))</f>
        <v>862797753.45088899</v>
      </c>
      <c r="D16" s="37"/>
      <c r="E16" s="37"/>
    </row>
    <row r="17" spans="2:5" x14ac:dyDescent="0.3">
      <c r="B17" s="4" t="s">
        <v>70</v>
      </c>
      <c r="C17" s="33" t="str">
        <f>IF(MIN(pDeplete)&gt;=99999,"none — corpus lasts",MIN(pDeplete))</f>
        <v>none — corpus lasts</v>
      </c>
      <c r="D17" s="33"/>
      <c r="E17" s="33"/>
    </row>
    <row r="18" spans="2:5" x14ac:dyDescent="0.3">
      <c r="B18" s="4" t="s">
        <v>71</v>
      </c>
      <c r="C18" s="37">
        <f>HC0</f>
        <v>30655009.209183078</v>
      </c>
      <c r="D18" s="37"/>
      <c r="E18" s="37"/>
    </row>
    <row r="19" spans="2:5" x14ac:dyDescent="0.3">
      <c r="B19" s="4" t="s">
        <v>72</v>
      </c>
      <c r="C19" s="37">
        <f>cpReal</f>
        <v>1038287.5566420654</v>
      </c>
      <c r="D19" s="37"/>
      <c r="E19" s="37"/>
    </row>
    <row r="20" spans="2:5" x14ac:dyDescent="0.3">
      <c r="B20" s="4" t="s">
        <v>73</v>
      </c>
      <c r="C20" s="34">
        <f>SUMPRODUCT(pWork,pSav)/(SUM(pGross)-SUM(pTax))</f>
        <v>0.43844237601800895</v>
      </c>
      <c r="D20" s="34"/>
      <c r="E20" s="34"/>
    </row>
    <row r="21" spans="2:5" x14ac:dyDescent="0.3">
      <c r="B21" s="4" t="s">
        <v>74</v>
      </c>
      <c r="C21" s="33">
        <f>SUMPRODUCT(pWork,--(pSav&lt;0))</f>
        <v>0</v>
      </c>
      <c r="D21" s="33"/>
      <c r="E21" s="33"/>
    </row>
    <row r="22" spans="2:5" x14ac:dyDescent="0.3">
      <c r="B22" s="4" t="s">
        <v>75</v>
      </c>
      <c r="C22" s="33">
        <f>IF(MIN(pCross)&gt;=99999,"none before retirement",MIN(pCross))</f>
        <v>51</v>
      </c>
      <c r="D22" s="33"/>
      <c r="E22" s="33"/>
    </row>
    <row r="23" spans="2:5" x14ac:dyDescent="0.3">
      <c r="B23" s="4" t="s">
        <v>76</v>
      </c>
      <c r="C23" s="34">
        <f>realWedge</f>
        <v>2.8301886792452935E-2</v>
      </c>
      <c r="D23" s="34"/>
      <c r="E23" s="34"/>
    </row>
    <row r="24" spans="2:5" x14ac:dyDescent="0.3">
      <c r="B24" s="4" t="s">
        <v>77</v>
      </c>
      <c r="C24" s="34">
        <f>realDisc</f>
        <v>2.8301886792452935E-2</v>
      </c>
      <c r="D24" s="34"/>
      <c r="E24" s="34"/>
    </row>
  </sheetData>
  <mergeCells count="17">
    <mergeCell ref="C15:E15"/>
    <mergeCell ref="C21:E21"/>
    <mergeCell ref="C22:E22"/>
    <mergeCell ref="C23:E23"/>
    <mergeCell ref="C24:E24"/>
    <mergeCell ref="B1:E1"/>
    <mergeCell ref="B2:E2"/>
    <mergeCell ref="C11:E11"/>
    <mergeCell ref="C16:E16"/>
    <mergeCell ref="C17:E17"/>
    <mergeCell ref="C18:E18"/>
    <mergeCell ref="C19:E19"/>
    <mergeCell ref="C20:E20"/>
    <mergeCell ref="B9:E9"/>
    <mergeCell ref="C12:E12"/>
    <mergeCell ref="C13:E13"/>
    <mergeCell ref="C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2"/>
  <sheetViews>
    <sheetView showGridLines="0" tabSelected="1" zoomScale="120" zoomScaleNormal="120" workbookViewId="0">
      <selection activeCell="B1" sqref="B1:V1"/>
    </sheetView>
  </sheetViews>
  <sheetFormatPr defaultColWidth="8.6640625" defaultRowHeight="14.4" x14ac:dyDescent="0.3"/>
  <cols>
    <col min="1" max="1" width="1.88671875" customWidth="1"/>
  </cols>
  <sheetData>
    <row r="1" spans="2:22" ht="19.2" x14ac:dyDescent="0.3">
      <c r="B1" s="30" t="s">
        <v>78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2:22" x14ac:dyDescent="0.3">
      <c r="B2" s="31" t="s">
        <v>79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</sheetData>
  <mergeCells count="2">
    <mergeCell ref="B1:V1"/>
    <mergeCell ref="B2:V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5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6" customWidth="1"/>
    <col min="3" max="3" width="9" customWidth="1"/>
    <col min="4" max="19" width="15" customWidth="1"/>
  </cols>
  <sheetData>
    <row r="1" spans="1:21" ht="39.75" customHeight="1" x14ac:dyDescent="0.3">
      <c r="A1" s="9" t="s">
        <v>80</v>
      </c>
      <c r="B1" s="9" t="s">
        <v>81</v>
      </c>
      <c r="C1" s="9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91</v>
      </c>
      <c r="M1" s="9" t="s">
        <v>92</v>
      </c>
      <c r="N1" s="9" t="s">
        <v>93</v>
      </c>
      <c r="O1" s="9" t="s">
        <v>94</v>
      </c>
      <c r="P1" s="9" t="s">
        <v>95</v>
      </c>
      <c r="Q1" s="9" t="s">
        <v>96</v>
      </c>
      <c r="R1" s="9" t="s">
        <v>97</v>
      </c>
      <c r="S1" s="9" t="s">
        <v>98</v>
      </c>
    </row>
    <row r="2" spans="1:21" x14ac:dyDescent="0.3">
      <c r="A2" s="10">
        <f t="shared" ref="A2:A33" si="0">ROW()-2</f>
        <v>0</v>
      </c>
      <c r="B2" s="10">
        <f t="shared" ref="B2:B33" si="1">startAge+A2</f>
        <v>25</v>
      </c>
      <c r="C2" s="11" t="str">
        <f t="shared" ref="C2:C33" si="2">IF(B2&lt;retireAge,"Working",IF(B2&lt;lifeExp,"Retired","—"))</f>
        <v>Working</v>
      </c>
      <c r="D2" s="26">
        <f t="shared" ref="D2:D33" si="3">IF(B2&lt;retireAge, ctc*(1+gInc)^A2, 0)</f>
        <v>1200000</v>
      </c>
      <c r="E2" s="26">
        <f t="shared" ref="E2:E33" si="4">D2*tax</f>
        <v>180000</v>
      </c>
      <c r="F2" s="26">
        <f t="shared" ref="F2:F33" si="5">D2-E2</f>
        <v>1020000</v>
      </c>
      <c r="G2" s="26">
        <f>IF(B2&gt;=lifeExp,0,IF(B2&lt;retireAge, C0*(1+gExp)^A2, Clast*(1+infl)^(A2-(Nwork-1))))</f>
        <v>714000</v>
      </c>
      <c r="H2" s="26">
        <f t="shared" ref="H2:H33" si="6">IF(B2&gt;=lifeExp,0,F2-G2)</f>
        <v>306000</v>
      </c>
      <c r="I2" s="26">
        <f>IF(B2&lt;lifeExp,H2,0)</f>
        <v>306000</v>
      </c>
      <c r="J2" s="26">
        <f>0</f>
        <v>0</v>
      </c>
      <c r="K2" s="12">
        <f t="shared" ref="K2:K33" si="7">1/(1+disc)^A2</f>
        <v>1</v>
      </c>
      <c r="L2" s="12">
        <f t="shared" ref="L2:L33" si="8">1/(1+infl)^A2</f>
        <v>1</v>
      </c>
      <c r="M2" s="26">
        <f t="shared" ref="M2:M33" si="9">F2*K2</f>
        <v>1020000</v>
      </c>
      <c r="N2" s="26">
        <f t="shared" ref="N2:N33" si="10">(1+disc)^A2*SUMPRODUCT((pAge&gt;=B2)*pPVpx)</f>
        <v>30655009.209183078</v>
      </c>
      <c r="O2" s="26">
        <f t="shared" ref="O2:O33" si="11">IF(B2&lt;lifeExp, cpReal*(1+infl)^A2, 0)</f>
        <v>1038287.5566420654</v>
      </c>
      <c r="P2" s="10">
        <f t="shared" ref="P2:P33" si="12">IF(B2&lt;retireAge,1,0)</f>
        <v>1</v>
      </c>
      <c r="Q2" s="10">
        <f t="shared" ref="Q2:Q33" si="13">IF(AND(B2&gt;=retireAge,B2&lt;lifeExp),1,0)</f>
        <v>0</v>
      </c>
      <c r="R2" s="10">
        <f t="shared" ref="R2:R33" si="14">IF(AND(B2&lt;lifeExp,J2&gt;=N2),B2,99999)</f>
        <v>99999</v>
      </c>
      <c r="S2" s="10">
        <f t="shared" ref="S2:S33" si="15">IF(AND(Q2=1,I2&lt;0),B2,99999)</f>
        <v>99999</v>
      </c>
      <c r="U2" s="28"/>
    </row>
    <row r="3" spans="1:21" x14ac:dyDescent="0.3">
      <c r="A3" s="13">
        <f t="shared" si="0"/>
        <v>1</v>
      </c>
      <c r="B3" s="13">
        <f t="shared" si="1"/>
        <v>26</v>
      </c>
      <c r="C3" s="14" t="str">
        <f t="shared" si="2"/>
        <v>Working</v>
      </c>
      <c r="D3" s="27">
        <f t="shared" si="3"/>
        <v>1296000</v>
      </c>
      <c r="E3" s="27">
        <f t="shared" si="4"/>
        <v>194400</v>
      </c>
      <c r="F3" s="27">
        <f t="shared" si="5"/>
        <v>1101600</v>
      </c>
      <c r="G3" s="27">
        <f t="shared" ref="G3:G33" si="16">IF(B3&gt;=lifeExp,0,IF(B3&lt;retireAge, C0*(1+gExp)^A3, Clast*(1+infl)^(A3-(Nwork-1))))</f>
        <v>763980</v>
      </c>
      <c r="H3" s="27">
        <f t="shared" si="6"/>
        <v>337620</v>
      </c>
      <c r="I3" s="27">
        <f t="shared" ref="I3:I34" si="17">IF(B3&lt;lifeExp,I2*(1+ret)+H3,I2)</f>
        <v>671160</v>
      </c>
      <c r="J3" s="27">
        <f t="shared" ref="J3:J34" si="18">I2</f>
        <v>306000</v>
      </c>
      <c r="K3" s="15">
        <f t="shared" si="7"/>
        <v>0.9174311926605504</v>
      </c>
      <c r="L3" s="15">
        <f t="shared" si="8"/>
        <v>0.94339622641509424</v>
      </c>
      <c r="M3" s="27">
        <f t="shared" si="9"/>
        <v>1010642.2018348624</v>
      </c>
      <c r="N3" s="27">
        <f t="shared" si="10"/>
        <v>32302160.038009554</v>
      </c>
      <c r="O3" s="27">
        <f t="shared" si="11"/>
        <v>1100584.8100405894</v>
      </c>
      <c r="P3" s="13">
        <f t="shared" si="12"/>
        <v>1</v>
      </c>
      <c r="Q3" s="13">
        <f t="shared" si="13"/>
        <v>0</v>
      </c>
      <c r="R3" s="13">
        <f t="shared" si="14"/>
        <v>99999</v>
      </c>
      <c r="S3" s="13">
        <f t="shared" si="15"/>
        <v>99999</v>
      </c>
      <c r="U3" s="28"/>
    </row>
    <row r="4" spans="1:21" x14ac:dyDescent="0.3">
      <c r="A4" s="10">
        <f t="shared" si="0"/>
        <v>2</v>
      </c>
      <c r="B4" s="10">
        <f t="shared" si="1"/>
        <v>27</v>
      </c>
      <c r="C4" s="11" t="str">
        <f t="shared" si="2"/>
        <v>Working</v>
      </c>
      <c r="D4" s="26">
        <f t="shared" si="3"/>
        <v>1399680.0000000002</v>
      </c>
      <c r="E4" s="26">
        <f t="shared" si="4"/>
        <v>209952.00000000003</v>
      </c>
      <c r="F4" s="26">
        <f t="shared" si="5"/>
        <v>1189728.0000000002</v>
      </c>
      <c r="G4" s="26">
        <f t="shared" si="16"/>
        <v>817458.6</v>
      </c>
      <c r="H4" s="26">
        <f t="shared" si="6"/>
        <v>372269.40000000026</v>
      </c>
      <c r="I4" s="26">
        <f t="shared" si="17"/>
        <v>1103833.8000000003</v>
      </c>
      <c r="J4" s="26">
        <f t="shared" si="18"/>
        <v>671160</v>
      </c>
      <c r="K4" s="12">
        <f t="shared" si="7"/>
        <v>0.84167999326655996</v>
      </c>
      <c r="L4" s="12">
        <f t="shared" si="8"/>
        <v>0.88999644001423983</v>
      </c>
      <c r="M4" s="26">
        <f t="shared" si="9"/>
        <v>1001370.2550290381</v>
      </c>
      <c r="N4" s="26">
        <f t="shared" si="10"/>
        <v>34008610.441430405</v>
      </c>
      <c r="O4" s="26">
        <f t="shared" si="11"/>
        <v>1166619.898643025</v>
      </c>
      <c r="P4" s="10">
        <f t="shared" si="12"/>
        <v>1</v>
      </c>
      <c r="Q4" s="10">
        <f t="shared" si="13"/>
        <v>0</v>
      </c>
      <c r="R4" s="10">
        <f t="shared" si="14"/>
        <v>99999</v>
      </c>
      <c r="S4" s="10">
        <f t="shared" si="15"/>
        <v>99999</v>
      </c>
      <c r="U4" s="28"/>
    </row>
    <row r="5" spans="1:21" x14ac:dyDescent="0.3">
      <c r="A5" s="13">
        <f t="shared" si="0"/>
        <v>3</v>
      </c>
      <c r="B5" s="13">
        <f t="shared" si="1"/>
        <v>28</v>
      </c>
      <c r="C5" s="14" t="str">
        <f t="shared" si="2"/>
        <v>Working</v>
      </c>
      <c r="D5" s="27">
        <f t="shared" si="3"/>
        <v>1511654.4000000001</v>
      </c>
      <c r="E5" s="27">
        <f t="shared" si="4"/>
        <v>226748.16</v>
      </c>
      <c r="F5" s="27">
        <f t="shared" si="5"/>
        <v>1284906.2400000002</v>
      </c>
      <c r="G5" s="27">
        <f t="shared" si="16"/>
        <v>874680.70200000005</v>
      </c>
      <c r="H5" s="27">
        <f t="shared" si="6"/>
        <v>410225.53800000018</v>
      </c>
      <c r="I5" s="27">
        <f t="shared" si="17"/>
        <v>1613404.3800000006</v>
      </c>
      <c r="J5" s="27">
        <f t="shared" si="18"/>
        <v>1103833.8000000003</v>
      </c>
      <c r="K5" s="15">
        <f t="shared" si="7"/>
        <v>0.77218348006106419</v>
      </c>
      <c r="L5" s="15">
        <f t="shared" si="8"/>
        <v>0.8396192830323016</v>
      </c>
      <c r="M5" s="27">
        <f t="shared" si="9"/>
        <v>992183.37195537717</v>
      </c>
      <c r="N5" s="27">
        <f t="shared" si="10"/>
        <v>35772581.861159146</v>
      </c>
      <c r="O5" s="27">
        <f t="shared" si="11"/>
        <v>1236617.0925616066</v>
      </c>
      <c r="P5" s="13">
        <f t="shared" si="12"/>
        <v>1</v>
      </c>
      <c r="Q5" s="13">
        <f t="shared" si="13"/>
        <v>0</v>
      </c>
      <c r="R5" s="13">
        <f t="shared" si="14"/>
        <v>99999</v>
      </c>
      <c r="S5" s="13">
        <f t="shared" si="15"/>
        <v>99999</v>
      </c>
      <c r="U5" s="28"/>
    </row>
    <row r="6" spans="1:21" x14ac:dyDescent="0.3">
      <c r="A6" s="10">
        <f t="shared" si="0"/>
        <v>4</v>
      </c>
      <c r="B6" s="10">
        <f t="shared" si="1"/>
        <v>29</v>
      </c>
      <c r="C6" s="11" t="str">
        <f t="shared" si="2"/>
        <v>Working</v>
      </c>
      <c r="D6" s="26">
        <f t="shared" si="3"/>
        <v>1632586.7520000003</v>
      </c>
      <c r="E6" s="26">
        <f t="shared" si="4"/>
        <v>244888.01280000003</v>
      </c>
      <c r="F6" s="26">
        <f t="shared" si="5"/>
        <v>1387698.7392000002</v>
      </c>
      <c r="G6" s="26">
        <f t="shared" si="16"/>
        <v>935908.35114000004</v>
      </c>
      <c r="H6" s="26">
        <f t="shared" si="6"/>
        <v>451790.38806000014</v>
      </c>
      <c r="I6" s="26">
        <f t="shared" si="17"/>
        <v>2210401.1622600011</v>
      </c>
      <c r="J6" s="26">
        <f t="shared" si="18"/>
        <v>1613404.3800000006</v>
      </c>
      <c r="K6" s="12">
        <f t="shared" si="7"/>
        <v>0.7084252110651964</v>
      </c>
      <c r="L6" s="12">
        <f t="shared" si="8"/>
        <v>0.79209366323802044</v>
      </c>
      <c r="M6" s="26">
        <f t="shared" si="9"/>
        <v>983080.77221266704</v>
      </c>
      <c r="N6" s="26">
        <f t="shared" si="10"/>
        <v>37591566.427063473</v>
      </c>
      <c r="O6" s="26">
        <f t="shared" si="11"/>
        <v>1310814.1181153029</v>
      </c>
      <c r="P6" s="10">
        <f t="shared" si="12"/>
        <v>1</v>
      </c>
      <c r="Q6" s="10">
        <f t="shared" si="13"/>
        <v>0</v>
      </c>
      <c r="R6" s="10">
        <f t="shared" si="14"/>
        <v>99999</v>
      </c>
      <c r="S6" s="10">
        <f t="shared" si="15"/>
        <v>99999</v>
      </c>
      <c r="U6" s="28"/>
    </row>
    <row r="7" spans="1:21" x14ac:dyDescent="0.3">
      <c r="A7" s="13">
        <f t="shared" si="0"/>
        <v>5</v>
      </c>
      <c r="B7" s="13">
        <f t="shared" si="1"/>
        <v>30</v>
      </c>
      <c r="C7" s="14" t="str">
        <f t="shared" si="2"/>
        <v>Working</v>
      </c>
      <c r="D7" s="27">
        <f t="shared" si="3"/>
        <v>1763193.6921600003</v>
      </c>
      <c r="E7" s="27">
        <f t="shared" si="4"/>
        <v>264479.05382400006</v>
      </c>
      <c r="F7" s="27">
        <f t="shared" si="5"/>
        <v>1498714.6383360003</v>
      </c>
      <c r="G7" s="27">
        <f t="shared" si="16"/>
        <v>1001421.9357198001</v>
      </c>
      <c r="H7" s="27">
        <f t="shared" si="6"/>
        <v>497292.7026162002</v>
      </c>
      <c r="I7" s="27">
        <f t="shared" si="17"/>
        <v>2906629.9694796018</v>
      </c>
      <c r="J7" s="27">
        <f t="shared" si="18"/>
        <v>2210401.1622600011</v>
      </c>
      <c r="K7" s="15">
        <f t="shared" si="7"/>
        <v>0.64993138629834524</v>
      </c>
      <c r="L7" s="15">
        <f t="shared" si="8"/>
        <v>0.74725817286605689</v>
      </c>
      <c r="M7" s="27">
        <f t="shared" si="9"/>
        <v>974061.6825593398</v>
      </c>
      <c r="N7" s="27">
        <f t="shared" si="10"/>
        <v>39462215.779771194</v>
      </c>
      <c r="O7" s="27">
        <f t="shared" si="11"/>
        <v>1389462.9652022212</v>
      </c>
      <c r="P7" s="13">
        <f t="shared" si="12"/>
        <v>1</v>
      </c>
      <c r="Q7" s="13">
        <f t="shared" si="13"/>
        <v>0</v>
      </c>
      <c r="R7" s="13">
        <f t="shared" si="14"/>
        <v>99999</v>
      </c>
      <c r="S7" s="13">
        <f t="shared" si="15"/>
        <v>99999</v>
      </c>
      <c r="U7" s="28"/>
    </row>
    <row r="8" spans="1:21" x14ac:dyDescent="0.3">
      <c r="A8" s="10">
        <f t="shared" si="0"/>
        <v>6</v>
      </c>
      <c r="B8" s="10">
        <f t="shared" si="1"/>
        <v>31</v>
      </c>
      <c r="C8" s="11" t="str">
        <f t="shared" si="2"/>
        <v>Working</v>
      </c>
      <c r="D8" s="26">
        <f t="shared" si="3"/>
        <v>1904249.1875328007</v>
      </c>
      <c r="E8" s="26">
        <f t="shared" si="4"/>
        <v>285637.37812992011</v>
      </c>
      <c r="F8" s="26">
        <f t="shared" si="5"/>
        <v>1618611.8094028807</v>
      </c>
      <c r="G8" s="26">
        <f t="shared" si="16"/>
        <v>1071521.471220186</v>
      </c>
      <c r="H8" s="26">
        <f t="shared" si="6"/>
        <v>547090.33818269474</v>
      </c>
      <c r="I8" s="26">
        <f t="shared" si="17"/>
        <v>3715317.0049154609</v>
      </c>
      <c r="J8" s="26">
        <f t="shared" si="18"/>
        <v>2906629.9694796018</v>
      </c>
      <c r="K8" s="12">
        <f t="shared" si="7"/>
        <v>0.5962673268792158</v>
      </c>
      <c r="L8" s="12">
        <f t="shared" si="8"/>
        <v>0.70496054043967626</v>
      </c>
      <c r="M8" s="26">
        <f t="shared" si="9"/>
        <v>965125.33684778644</v>
      </c>
      <c r="N8" s="26">
        <f t="shared" si="10"/>
        <v>41380216.244164355</v>
      </c>
      <c r="O8" s="26">
        <f t="shared" si="11"/>
        <v>1472830.7431143546</v>
      </c>
      <c r="P8" s="10">
        <f t="shared" si="12"/>
        <v>1</v>
      </c>
      <c r="Q8" s="10">
        <f t="shared" si="13"/>
        <v>0</v>
      </c>
      <c r="R8" s="10">
        <f t="shared" si="14"/>
        <v>99999</v>
      </c>
      <c r="S8" s="10">
        <f t="shared" si="15"/>
        <v>99999</v>
      </c>
      <c r="U8" s="28"/>
    </row>
    <row r="9" spans="1:21" x14ac:dyDescent="0.3">
      <c r="A9" s="13">
        <f t="shared" si="0"/>
        <v>7</v>
      </c>
      <c r="B9" s="13">
        <f t="shared" si="1"/>
        <v>32</v>
      </c>
      <c r="C9" s="14" t="str">
        <f t="shared" si="2"/>
        <v>Working</v>
      </c>
      <c r="D9" s="27">
        <f t="shared" si="3"/>
        <v>2056589.1225354248</v>
      </c>
      <c r="E9" s="27">
        <f t="shared" si="4"/>
        <v>308488.36838031368</v>
      </c>
      <c r="F9" s="27">
        <f t="shared" si="5"/>
        <v>1748100.754155111</v>
      </c>
      <c r="G9" s="27">
        <f t="shared" si="16"/>
        <v>1146527.9742055992</v>
      </c>
      <c r="H9" s="27">
        <f t="shared" si="6"/>
        <v>601572.77994951187</v>
      </c>
      <c r="I9" s="27">
        <f t="shared" si="17"/>
        <v>4651268.3153073648</v>
      </c>
      <c r="J9" s="27">
        <f t="shared" si="18"/>
        <v>3715317.0049154609</v>
      </c>
      <c r="K9" s="15">
        <f t="shared" si="7"/>
        <v>0.54703424484331731</v>
      </c>
      <c r="L9" s="15">
        <f t="shared" si="8"/>
        <v>0.66505711362233599</v>
      </c>
      <c r="M9" s="27">
        <f t="shared" si="9"/>
        <v>956270.97595927469</v>
      </c>
      <c r="N9" s="27">
        <f t="shared" si="10"/>
        <v>43340148.833890013</v>
      </c>
      <c r="O9" s="27">
        <f t="shared" si="11"/>
        <v>1561200.5877012161</v>
      </c>
      <c r="P9" s="13">
        <f t="shared" si="12"/>
        <v>1</v>
      </c>
      <c r="Q9" s="13">
        <f t="shared" si="13"/>
        <v>0</v>
      </c>
      <c r="R9" s="13">
        <f t="shared" si="14"/>
        <v>99999</v>
      </c>
      <c r="S9" s="13">
        <f t="shared" si="15"/>
        <v>99999</v>
      </c>
      <c r="U9" s="28"/>
    </row>
    <row r="10" spans="1:21" x14ac:dyDescent="0.3">
      <c r="A10" s="10">
        <f t="shared" si="0"/>
        <v>8</v>
      </c>
      <c r="B10" s="10">
        <f t="shared" si="1"/>
        <v>33</v>
      </c>
      <c r="C10" s="11" t="str">
        <f t="shared" si="2"/>
        <v>Working</v>
      </c>
      <c r="D10" s="26">
        <f t="shared" si="3"/>
        <v>2221116.2523382585</v>
      </c>
      <c r="E10" s="26">
        <f t="shared" si="4"/>
        <v>333167.43785073876</v>
      </c>
      <c r="F10" s="26">
        <f t="shared" si="5"/>
        <v>1887948.8144875197</v>
      </c>
      <c r="G10" s="26">
        <f t="shared" si="16"/>
        <v>1226784.932399991</v>
      </c>
      <c r="H10" s="26">
        <f t="shared" si="6"/>
        <v>661163.88208752871</v>
      </c>
      <c r="I10" s="26">
        <f t="shared" si="17"/>
        <v>5731046.345772557</v>
      </c>
      <c r="J10" s="26">
        <f t="shared" si="18"/>
        <v>4651268.3153073648</v>
      </c>
      <c r="K10" s="12">
        <f t="shared" si="7"/>
        <v>0.50186627967276809</v>
      </c>
      <c r="L10" s="12">
        <f t="shared" si="8"/>
        <v>0.62741237134182648</v>
      </c>
      <c r="M10" s="26">
        <f t="shared" si="9"/>
        <v>947497.84773946449</v>
      </c>
      <c r="N10" s="26">
        <f t="shared" si="10"/>
        <v>45335332.406911045</v>
      </c>
      <c r="O10" s="26">
        <f t="shared" si="11"/>
        <v>1654872.6229632888</v>
      </c>
      <c r="P10" s="10">
        <f t="shared" si="12"/>
        <v>1</v>
      </c>
      <c r="Q10" s="10">
        <f t="shared" si="13"/>
        <v>0</v>
      </c>
      <c r="R10" s="10">
        <f t="shared" si="14"/>
        <v>99999</v>
      </c>
      <c r="S10" s="10">
        <f t="shared" si="15"/>
        <v>99999</v>
      </c>
      <c r="U10" s="28"/>
    </row>
    <row r="11" spans="1:21" x14ac:dyDescent="0.3">
      <c r="A11" s="13">
        <f t="shared" si="0"/>
        <v>9</v>
      </c>
      <c r="B11" s="13">
        <f t="shared" si="1"/>
        <v>34</v>
      </c>
      <c r="C11" s="14" t="str">
        <f t="shared" si="2"/>
        <v>Working</v>
      </c>
      <c r="D11" s="27">
        <f t="shared" si="3"/>
        <v>2398805.5525253196</v>
      </c>
      <c r="E11" s="27">
        <f t="shared" si="4"/>
        <v>359820.83287879796</v>
      </c>
      <c r="F11" s="27">
        <f t="shared" si="5"/>
        <v>2038984.7196465216</v>
      </c>
      <c r="G11" s="27">
        <f t="shared" si="16"/>
        <v>1312659.8776679905</v>
      </c>
      <c r="H11" s="27">
        <f t="shared" si="6"/>
        <v>726324.8419785311</v>
      </c>
      <c r="I11" s="27">
        <f t="shared" si="17"/>
        <v>6973165.358870619</v>
      </c>
      <c r="J11" s="27">
        <f t="shared" si="18"/>
        <v>5731046.345772557</v>
      </c>
      <c r="K11" s="15">
        <f t="shared" si="7"/>
        <v>0.46042777951630098</v>
      </c>
      <c r="L11" s="15">
        <f t="shared" si="8"/>
        <v>0.59189846353002495</v>
      </c>
      <c r="M11" s="27">
        <f t="shared" si="9"/>
        <v>938805.20693451539</v>
      </c>
      <c r="N11" s="27">
        <f t="shared" si="10"/>
        <v>47357648.11574164</v>
      </c>
      <c r="O11" s="27">
        <f t="shared" si="11"/>
        <v>1754164.9803410862</v>
      </c>
      <c r="P11" s="13">
        <f t="shared" si="12"/>
        <v>1</v>
      </c>
      <c r="Q11" s="13">
        <f t="shared" si="13"/>
        <v>0</v>
      </c>
      <c r="R11" s="13">
        <f t="shared" si="14"/>
        <v>99999</v>
      </c>
      <c r="S11" s="13">
        <f t="shared" si="15"/>
        <v>99999</v>
      </c>
      <c r="U11" s="28"/>
    </row>
    <row r="12" spans="1:21" x14ac:dyDescent="0.3">
      <c r="A12" s="10">
        <f t="shared" si="0"/>
        <v>10</v>
      </c>
      <c r="B12" s="10">
        <f t="shared" si="1"/>
        <v>35</v>
      </c>
      <c r="C12" s="11" t="str">
        <f t="shared" si="2"/>
        <v>Working</v>
      </c>
      <c r="D12" s="26">
        <f t="shared" si="3"/>
        <v>2590709.9967273455</v>
      </c>
      <c r="E12" s="26">
        <f t="shared" si="4"/>
        <v>388606.49950910179</v>
      </c>
      <c r="F12" s="26">
        <f t="shared" si="5"/>
        <v>2202103.4972182438</v>
      </c>
      <c r="G12" s="26">
        <f t="shared" si="16"/>
        <v>1404546.0691047499</v>
      </c>
      <c r="H12" s="26">
        <f t="shared" si="6"/>
        <v>797557.42811349384</v>
      </c>
      <c r="I12" s="26">
        <f t="shared" si="17"/>
        <v>8398307.669282468</v>
      </c>
      <c r="J12" s="26">
        <f t="shared" si="18"/>
        <v>6973165.358870619</v>
      </c>
      <c r="K12" s="12">
        <f t="shared" si="7"/>
        <v>0.42241080689568894</v>
      </c>
      <c r="L12" s="12">
        <f t="shared" si="8"/>
        <v>0.55839477691511785</v>
      </c>
      <c r="M12" s="26">
        <f t="shared" si="9"/>
        <v>930192.31512777682</v>
      </c>
      <c r="N12" s="26">
        <f t="shared" si="10"/>
        <v>49397343.101743698</v>
      </c>
      <c r="O12" s="26">
        <f t="shared" si="11"/>
        <v>1859414.8791615516</v>
      </c>
      <c r="P12" s="10">
        <f t="shared" si="12"/>
        <v>1</v>
      </c>
      <c r="Q12" s="10">
        <f t="shared" si="13"/>
        <v>0</v>
      </c>
      <c r="R12" s="10">
        <f t="shared" si="14"/>
        <v>99999</v>
      </c>
      <c r="S12" s="10">
        <f t="shared" si="15"/>
        <v>99999</v>
      </c>
      <c r="U12" s="28"/>
    </row>
    <row r="13" spans="1:21" x14ac:dyDescent="0.3">
      <c r="A13" s="13">
        <f t="shared" si="0"/>
        <v>11</v>
      </c>
      <c r="B13" s="13">
        <f t="shared" si="1"/>
        <v>36</v>
      </c>
      <c r="C13" s="14" t="str">
        <f t="shared" si="2"/>
        <v>Working</v>
      </c>
      <c r="D13" s="27">
        <f t="shared" si="3"/>
        <v>2797966.7964655329</v>
      </c>
      <c r="E13" s="27">
        <f t="shared" si="4"/>
        <v>419695.01946982992</v>
      </c>
      <c r="F13" s="27">
        <f t="shared" si="5"/>
        <v>2378271.7769957031</v>
      </c>
      <c r="G13" s="27">
        <f t="shared" si="16"/>
        <v>1502864.2939420824</v>
      </c>
      <c r="H13" s="27">
        <f t="shared" si="6"/>
        <v>875407.48305362067</v>
      </c>
      <c r="I13" s="27">
        <f t="shared" si="17"/>
        <v>10029562.842571512</v>
      </c>
      <c r="J13" s="27">
        <f t="shared" si="18"/>
        <v>8398307.669282468</v>
      </c>
      <c r="K13" s="15">
        <f t="shared" si="7"/>
        <v>0.38753285036301738</v>
      </c>
      <c r="L13" s="15">
        <f t="shared" si="8"/>
        <v>0.52678752539162055</v>
      </c>
      <c r="M13" s="27">
        <f t="shared" si="9"/>
        <v>921658.44067706331</v>
      </c>
      <c r="N13" s="27">
        <f t="shared" si="10"/>
        <v>51442811.168932736</v>
      </c>
      <c r="O13" s="27">
        <f t="shared" si="11"/>
        <v>1970979.7719112448</v>
      </c>
      <c r="P13" s="13">
        <f t="shared" si="12"/>
        <v>1</v>
      </c>
      <c r="Q13" s="13">
        <f t="shared" si="13"/>
        <v>0</v>
      </c>
      <c r="R13" s="13">
        <f t="shared" si="14"/>
        <v>99999</v>
      </c>
      <c r="S13" s="13">
        <f t="shared" si="15"/>
        <v>99999</v>
      </c>
      <c r="U13" s="28"/>
    </row>
    <row r="14" spans="1:21" x14ac:dyDescent="0.3">
      <c r="A14" s="10">
        <f t="shared" si="0"/>
        <v>12</v>
      </c>
      <c r="B14" s="10">
        <f t="shared" si="1"/>
        <v>37</v>
      </c>
      <c r="C14" s="11" t="str">
        <f t="shared" si="2"/>
        <v>Working</v>
      </c>
      <c r="D14" s="26">
        <f t="shared" si="3"/>
        <v>3021804.1401827759</v>
      </c>
      <c r="E14" s="26">
        <f t="shared" si="4"/>
        <v>453270.62102741638</v>
      </c>
      <c r="F14" s="26">
        <f t="shared" si="5"/>
        <v>2568533.5191553594</v>
      </c>
      <c r="G14" s="26">
        <f t="shared" si="16"/>
        <v>1608064.7945180279</v>
      </c>
      <c r="H14" s="26">
        <f t="shared" si="6"/>
        <v>960468.72463733144</v>
      </c>
      <c r="I14" s="26">
        <f t="shared" si="17"/>
        <v>11892692.223040281</v>
      </c>
      <c r="J14" s="26">
        <f t="shared" si="18"/>
        <v>10029562.842571512</v>
      </c>
      <c r="K14" s="12">
        <f t="shared" si="7"/>
        <v>0.35553472510368567</v>
      </c>
      <c r="L14" s="12">
        <f t="shared" si="8"/>
        <v>0.4969693635770005</v>
      </c>
      <c r="M14" s="26">
        <f t="shared" si="9"/>
        <v>913202.858652503</v>
      </c>
      <c r="N14" s="26">
        <f t="shared" si="10"/>
        <v>53480347.937211357</v>
      </c>
      <c r="O14" s="26">
        <f t="shared" si="11"/>
        <v>2089238.5582259197</v>
      </c>
      <c r="P14" s="10">
        <f t="shared" si="12"/>
        <v>1</v>
      </c>
      <c r="Q14" s="10">
        <f t="shared" si="13"/>
        <v>0</v>
      </c>
      <c r="R14" s="10">
        <f t="shared" si="14"/>
        <v>99999</v>
      </c>
      <c r="S14" s="10">
        <f t="shared" si="15"/>
        <v>99999</v>
      </c>
      <c r="U14" s="28"/>
    </row>
    <row r="15" spans="1:21" x14ac:dyDescent="0.3">
      <c r="A15" s="13">
        <f t="shared" si="0"/>
        <v>13</v>
      </c>
      <c r="B15" s="13">
        <f t="shared" si="1"/>
        <v>38</v>
      </c>
      <c r="C15" s="14" t="str">
        <f t="shared" si="2"/>
        <v>Working</v>
      </c>
      <c r="D15" s="27">
        <f t="shared" si="3"/>
        <v>3263548.471397398</v>
      </c>
      <c r="E15" s="27">
        <f t="shared" si="4"/>
        <v>489532.27070960967</v>
      </c>
      <c r="F15" s="27">
        <f t="shared" si="5"/>
        <v>2774016.2006877884</v>
      </c>
      <c r="G15" s="27">
        <f t="shared" si="16"/>
        <v>1720629.33013429</v>
      </c>
      <c r="H15" s="27">
        <f t="shared" si="6"/>
        <v>1053386.8705534984</v>
      </c>
      <c r="I15" s="27">
        <f t="shared" si="17"/>
        <v>14016421.393667405</v>
      </c>
      <c r="J15" s="27">
        <f t="shared" si="18"/>
        <v>11892692.223040281</v>
      </c>
      <c r="K15" s="15">
        <f t="shared" si="7"/>
        <v>0.32617864688411524</v>
      </c>
      <c r="L15" s="15">
        <f t="shared" si="8"/>
        <v>0.46883902224245327</v>
      </c>
      <c r="M15" s="27">
        <f t="shared" si="9"/>
        <v>904824.8507749571</v>
      </c>
      <c r="N15" s="27">
        <f t="shared" si="10"/>
        <v>55493877.715681054</v>
      </c>
      <c r="O15" s="27">
        <f t="shared" si="11"/>
        <v>2214592.8717194749</v>
      </c>
      <c r="P15" s="13">
        <f t="shared" si="12"/>
        <v>1</v>
      </c>
      <c r="Q15" s="13">
        <f t="shared" si="13"/>
        <v>0</v>
      </c>
      <c r="R15" s="13">
        <f t="shared" si="14"/>
        <v>99999</v>
      </c>
      <c r="S15" s="13">
        <f t="shared" si="15"/>
        <v>99999</v>
      </c>
      <c r="U15" s="28"/>
    </row>
    <row r="16" spans="1:21" x14ac:dyDescent="0.3">
      <c r="A16" s="10">
        <f t="shared" si="0"/>
        <v>14</v>
      </c>
      <c r="B16" s="10">
        <f t="shared" si="1"/>
        <v>39</v>
      </c>
      <c r="C16" s="11" t="str">
        <f t="shared" si="2"/>
        <v>Working</v>
      </c>
      <c r="D16" s="26">
        <f t="shared" si="3"/>
        <v>3524632.3491091905</v>
      </c>
      <c r="E16" s="26">
        <f t="shared" si="4"/>
        <v>528694.85236637853</v>
      </c>
      <c r="F16" s="26">
        <f t="shared" si="5"/>
        <v>2995937.496742812</v>
      </c>
      <c r="G16" s="26">
        <f t="shared" si="16"/>
        <v>1841073.3832436902</v>
      </c>
      <c r="H16" s="26">
        <f t="shared" si="6"/>
        <v>1154864.1134991217</v>
      </c>
      <c r="I16" s="26">
        <f t="shared" si="17"/>
        <v>16432763.432596594</v>
      </c>
      <c r="J16" s="26">
        <f t="shared" si="18"/>
        <v>14016421.393667405</v>
      </c>
      <c r="K16" s="12">
        <f t="shared" si="7"/>
        <v>0.29924646503129837</v>
      </c>
      <c r="L16" s="12">
        <f t="shared" si="8"/>
        <v>0.44230096437967292</v>
      </c>
      <c r="M16" s="26">
        <f t="shared" si="9"/>
        <v>896523.70535500348</v>
      </c>
      <c r="N16" s="26">
        <f t="shared" si="10"/>
        <v>57464649.051342644</v>
      </c>
      <c r="O16" s="26">
        <f t="shared" si="11"/>
        <v>2347468.4440226434</v>
      </c>
      <c r="P16" s="10">
        <f t="shared" si="12"/>
        <v>1</v>
      </c>
      <c r="Q16" s="10">
        <f t="shared" si="13"/>
        <v>0</v>
      </c>
      <c r="R16" s="10">
        <f t="shared" si="14"/>
        <v>99999</v>
      </c>
      <c r="S16" s="10">
        <f t="shared" si="15"/>
        <v>99999</v>
      </c>
      <c r="U16" s="28"/>
    </row>
    <row r="17" spans="1:21" x14ac:dyDescent="0.3">
      <c r="A17" s="13">
        <f t="shared" si="0"/>
        <v>15</v>
      </c>
      <c r="B17" s="13">
        <f t="shared" si="1"/>
        <v>40</v>
      </c>
      <c r="C17" s="14" t="str">
        <f t="shared" si="2"/>
        <v>Working</v>
      </c>
      <c r="D17" s="27">
        <f t="shared" si="3"/>
        <v>3806602.9370379257</v>
      </c>
      <c r="E17" s="27">
        <f t="shared" si="4"/>
        <v>570990.44055568881</v>
      </c>
      <c r="F17" s="27">
        <f t="shared" si="5"/>
        <v>3235612.4964822368</v>
      </c>
      <c r="G17" s="27">
        <f t="shared" si="16"/>
        <v>1969948.5200707489</v>
      </c>
      <c r="H17" s="27">
        <f t="shared" si="6"/>
        <v>1265663.9764114879</v>
      </c>
      <c r="I17" s="27">
        <f t="shared" si="17"/>
        <v>19177376.117941778</v>
      </c>
      <c r="J17" s="27">
        <f t="shared" si="18"/>
        <v>16432763.432596594</v>
      </c>
      <c r="K17" s="15">
        <f t="shared" si="7"/>
        <v>0.27453804131311776</v>
      </c>
      <c r="L17" s="15">
        <f t="shared" si="8"/>
        <v>0.41726506073554037</v>
      </c>
      <c r="M17" s="27">
        <f t="shared" si="9"/>
        <v>888298.71723248041</v>
      </c>
      <c r="N17" s="27">
        <f t="shared" si="10"/>
        <v>59370895.594513811</v>
      </c>
      <c r="O17" s="27">
        <f t="shared" si="11"/>
        <v>2488316.550664003</v>
      </c>
      <c r="P17" s="13">
        <f t="shared" si="12"/>
        <v>1</v>
      </c>
      <c r="Q17" s="13">
        <f t="shared" si="13"/>
        <v>0</v>
      </c>
      <c r="R17" s="13">
        <f t="shared" si="14"/>
        <v>99999</v>
      </c>
      <c r="S17" s="13">
        <f t="shared" si="15"/>
        <v>99999</v>
      </c>
      <c r="U17" s="28"/>
    </row>
    <row r="18" spans="1:21" x14ac:dyDescent="0.3">
      <c r="A18" s="10">
        <f t="shared" si="0"/>
        <v>16</v>
      </c>
      <c r="B18" s="10">
        <f t="shared" si="1"/>
        <v>41</v>
      </c>
      <c r="C18" s="11" t="str">
        <f t="shared" si="2"/>
        <v>Working</v>
      </c>
      <c r="D18" s="26">
        <f t="shared" si="3"/>
        <v>4111131.1720009595</v>
      </c>
      <c r="E18" s="26">
        <f t="shared" si="4"/>
        <v>616669.67580014386</v>
      </c>
      <c r="F18" s="26">
        <f t="shared" si="5"/>
        <v>3494461.4962008158</v>
      </c>
      <c r="G18" s="26">
        <f t="shared" si="16"/>
        <v>2107844.9164757011</v>
      </c>
      <c r="H18" s="26">
        <f t="shared" si="6"/>
        <v>1386616.5797251146</v>
      </c>
      <c r="I18" s="26">
        <f t="shared" si="17"/>
        <v>22289956.548281655</v>
      </c>
      <c r="J18" s="26">
        <f t="shared" si="18"/>
        <v>19177376.117941778</v>
      </c>
      <c r="K18" s="12">
        <f t="shared" si="7"/>
        <v>0.2518697626725851</v>
      </c>
      <c r="L18" s="12">
        <f t="shared" si="8"/>
        <v>0.39364628371277405</v>
      </c>
      <c r="M18" s="26">
        <f t="shared" si="9"/>
        <v>880149.18771658605</v>
      </c>
      <c r="N18" s="26">
        <f t="shared" si="10"/>
        <v>61187458.576854423</v>
      </c>
      <c r="O18" s="26">
        <f t="shared" si="11"/>
        <v>2637615.5437038424</v>
      </c>
      <c r="P18" s="10">
        <f t="shared" si="12"/>
        <v>1</v>
      </c>
      <c r="Q18" s="10">
        <f t="shared" si="13"/>
        <v>0</v>
      </c>
      <c r="R18" s="10">
        <f t="shared" si="14"/>
        <v>99999</v>
      </c>
      <c r="S18" s="10">
        <f t="shared" si="15"/>
        <v>99999</v>
      </c>
      <c r="U18" s="28"/>
    </row>
    <row r="19" spans="1:21" x14ac:dyDescent="0.3">
      <c r="A19" s="13">
        <f t="shared" si="0"/>
        <v>17</v>
      </c>
      <c r="B19" s="13">
        <f t="shared" si="1"/>
        <v>42</v>
      </c>
      <c r="C19" s="14" t="str">
        <f t="shared" si="2"/>
        <v>Working</v>
      </c>
      <c r="D19" s="27">
        <f t="shared" si="3"/>
        <v>4440021.6657610368</v>
      </c>
      <c r="E19" s="27">
        <f t="shared" si="4"/>
        <v>666003.24986415554</v>
      </c>
      <c r="F19" s="27">
        <f t="shared" si="5"/>
        <v>3774018.4158968814</v>
      </c>
      <c r="G19" s="27">
        <f t="shared" si="16"/>
        <v>2255394.060629</v>
      </c>
      <c r="H19" s="27">
        <f t="shared" si="6"/>
        <v>1518624.3552678814</v>
      </c>
      <c r="I19" s="27">
        <f t="shared" si="17"/>
        <v>25814676.992894888</v>
      </c>
      <c r="J19" s="27">
        <f t="shared" si="18"/>
        <v>22289956.548281655</v>
      </c>
      <c r="K19" s="15">
        <f t="shared" si="7"/>
        <v>0.23107317676383954</v>
      </c>
      <c r="L19" s="15">
        <f t="shared" si="8"/>
        <v>0.37136441859695657</v>
      </c>
      <c r="M19" s="27">
        <f t="shared" si="9"/>
        <v>872074.42452652578</v>
      </c>
      <c r="N19" s="27">
        <f t="shared" si="10"/>
        <v>62885366.817912437</v>
      </c>
      <c r="O19" s="27">
        <f t="shared" si="11"/>
        <v>2795872.4763260731</v>
      </c>
      <c r="P19" s="13">
        <f t="shared" si="12"/>
        <v>1</v>
      </c>
      <c r="Q19" s="13">
        <f t="shared" si="13"/>
        <v>0</v>
      </c>
      <c r="R19" s="13">
        <f t="shared" si="14"/>
        <v>99999</v>
      </c>
      <c r="S19" s="13">
        <f t="shared" si="15"/>
        <v>99999</v>
      </c>
      <c r="U19" s="28"/>
    </row>
    <row r="20" spans="1:21" x14ac:dyDescent="0.3">
      <c r="A20" s="10">
        <f t="shared" si="0"/>
        <v>18</v>
      </c>
      <c r="B20" s="10">
        <f t="shared" si="1"/>
        <v>43</v>
      </c>
      <c r="C20" s="11" t="str">
        <f t="shared" si="2"/>
        <v>Working</v>
      </c>
      <c r="D20" s="26">
        <f t="shared" si="3"/>
        <v>4795223.3990219198</v>
      </c>
      <c r="E20" s="26">
        <f t="shared" si="4"/>
        <v>719283.50985328795</v>
      </c>
      <c r="F20" s="26">
        <f t="shared" si="5"/>
        <v>4075939.8891686318</v>
      </c>
      <c r="G20" s="26">
        <f t="shared" si="16"/>
        <v>2413271.64487303</v>
      </c>
      <c r="H20" s="26">
        <f t="shared" si="6"/>
        <v>1662668.2442956017</v>
      </c>
      <c r="I20" s="26">
        <f t="shared" si="17"/>
        <v>29800666.166551031</v>
      </c>
      <c r="J20" s="26">
        <f t="shared" si="18"/>
        <v>25814676.992894888</v>
      </c>
      <c r="K20" s="12">
        <f t="shared" si="7"/>
        <v>0.21199374015031147</v>
      </c>
      <c r="L20" s="12">
        <f t="shared" si="8"/>
        <v>0.35034379112920433</v>
      </c>
      <c r="M20" s="26">
        <f t="shared" si="9"/>
        <v>864073.74173270422</v>
      </c>
      <c r="N20" s="26">
        <f t="shared" si="10"/>
        <v>64431369.758196965</v>
      </c>
      <c r="O20" s="26">
        <f t="shared" si="11"/>
        <v>2963624.8249056377</v>
      </c>
      <c r="P20" s="10">
        <f t="shared" si="12"/>
        <v>1</v>
      </c>
      <c r="Q20" s="10">
        <f t="shared" si="13"/>
        <v>0</v>
      </c>
      <c r="R20" s="10">
        <f t="shared" si="14"/>
        <v>99999</v>
      </c>
      <c r="S20" s="10">
        <f t="shared" si="15"/>
        <v>99999</v>
      </c>
      <c r="U20" s="28"/>
    </row>
    <row r="21" spans="1:21" x14ac:dyDescent="0.3">
      <c r="A21" s="13">
        <f t="shared" si="0"/>
        <v>19</v>
      </c>
      <c r="B21" s="13">
        <f t="shared" si="1"/>
        <v>44</v>
      </c>
      <c r="C21" s="14" t="str">
        <f t="shared" si="2"/>
        <v>Working</v>
      </c>
      <c r="D21" s="27">
        <f t="shared" si="3"/>
        <v>5178841.2709436743</v>
      </c>
      <c r="E21" s="27">
        <f t="shared" si="4"/>
        <v>776826.19064155116</v>
      </c>
      <c r="F21" s="27">
        <f t="shared" si="5"/>
        <v>4402015.080302123</v>
      </c>
      <c r="G21" s="27">
        <f t="shared" si="16"/>
        <v>2582200.6600141423</v>
      </c>
      <c r="H21" s="27">
        <f t="shared" si="6"/>
        <v>1819814.4202879807</v>
      </c>
      <c r="I21" s="27">
        <f t="shared" si="17"/>
        <v>34302540.541828603</v>
      </c>
      <c r="J21" s="27">
        <f t="shared" si="18"/>
        <v>29800666.166551031</v>
      </c>
      <c r="K21" s="15">
        <f t="shared" si="7"/>
        <v>0.19448966986267105</v>
      </c>
      <c r="L21" s="15">
        <f t="shared" si="8"/>
        <v>0.3305130104992493</v>
      </c>
      <c r="M21" s="27">
        <f t="shared" si="9"/>
        <v>856146.45969845925</v>
      </c>
      <c r="N21" s="27">
        <f t="shared" si="10"/>
        <v>65787418.557240881</v>
      </c>
      <c r="O21" s="27">
        <f t="shared" si="11"/>
        <v>3141442.3143999763</v>
      </c>
      <c r="P21" s="13">
        <f t="shared" si="12"/>
        <v>1</v>
      </c>
      <c r="Q21" s="13">
        <f t="shared" si="13"/>
        <v>0</v>
      </c>
      <c r="R21" s="13">
        <f t="shared" si="14"/>
        <v>99999</v>
      </c>
      <c r="S21" s="13">
        <f t="shared" si="15"/>
        <v>99999</v>
      </c>
      <c r="U21" s="28"/>
    </row>
    <row r="22" spans="1:21" x14ac:dyDescent="0.3">
      <c r="A22" s="10">
        <f t="shared" si="0"/>
        <v>20</v>
      </c>
      <c r="B22" s="10">
        <f t="shared" si="1"/>
        <v>45</v>
      </c>
      <c r="C22" s="11" t="str">
        <f t="shared" si="2"/>
        <v>Working</v>
      </c>
      <c r="D22" s="26">
        <f t="shared" si="3"/>
        <v>5593148.5726191681</v>
      </c>
      <c r="E22" s="26">
        <f t="shared" si="4"/>
        <v>838972.28589287517</v>
      </c>
      <c r="F22" s="26">
        <f t="shared" si="5"/>
        <v>4754176.2867262932</v>
      </c>
      <c r="G22" s="26">
        <f t="shared" si="16"/>
        <v>2762954.706215132</v>
      </c>
      <c r="H22" s="26">
        <f t="shared" si="6"/>
        <v>1991221.5805111611</v>
      </c>
      <c r="I22" s="26">
        <f t="shared" si="17"/>
        <v>39380990.771104343</v>
      </c>
      <c r="J22" s="26">
        <f t="shared" si="18"/>
        <v>34302540.541828603</v>
      </c>
      <c r="K22" s="12">
        <f t="shared" si="7"/>
        <v>0.17843088978226704</v>
      </c>
      <c r="L22" s="12">
        <f t="shared" si="8"/>
        <v>0.31180472688608429</v>
      </c>
      <c r="M22" s="26">
        <f t="shared" si="9"/>
        <v>848291.90502232674</v>
      </c>
      <c r="N22" s="26">
        <f t="shared" si="10"/>
        <v>66910089.789863251</v>
      </c>
      <c r="O22" s="26">
        <f t="shared" si="11"/>
        <v>3329928.8532639747</v>
      </c>
      <c r="P22" s="10">
        <f t="shared" si="12"/>
        <v>1</v>
      </c>
      <c r="Q22" s="10">
        <f t="shared" si="13"/>
        <v>0</v>
      </c>
      <c r="R22" s="10">
        <f t="shared" si="14"/>
        <v>99999</v>
      </c>
      <c r="S22" s="10">
        <f t="shared" si="15"/>
        <v>99999</v>
      </c>
      <c r="U22" s="28"/>
    </row>
    <row r="23" spans="1:21" x14ac:dyDescent="0.3">
      <c r="A23" s="13">
        <f t="shared" si="0"/>
        <v>21</v>
      </c>
      <c r="B23" s="13">
        <f t="shared" si="1"/>
        <v>46</v>
      </c>
      <c r="C23" s="14" t="str">
        <f t="shared" si="2"/>
        <v>Working</v>
      </c>
      <c r="D23" s="27">
        <f t="shared" si="3"/>
        <v>6040600.4584287014</v>
      </c>
      <c r="E23" s="27">
        <f t="shared" si="4"/>
        <v>906090.06876430521</v>
      </c>
      <c r="F23" s="27">
        <f t="shared" si="5"/>
        <v>5134510.3896643966</v>
      </c>
      <c r="G23" s="27">
        <f t="shared" si="16"/>
        <v>2956361.5356501914</v>
      </c>
      <c r="H23" s="27">
        <f t="shared" si="6"/>
        <v>2178148.8540142053</v>
      </c>
      <c r="I23" s="27">
        <f t="shared" si="17"/>
        <v>45103428.794517942</v>
      </c>
      <c r="J23" s="27">
        <f t="shared" si="18"/>
        <v>39380990.771104343</v>
      </c>
      <c r="K23" s="15">
        <f t="shared" si="7"/>
        <v>0.16369806402042844</v>
      </c>
      <c r="L23" s="15">
        <f t="shared" si="8"/>
        <v>0.29415540272272095</v>
      </c>
      <c r="M23" s="27">
        <f t="shared" si="9"/>
        <v>840509.41048083734</v>
      </c>
      <c r="N23" s="27">
        <f t="shared" si="10"/>
        <v>67749945.718419299</v>
      </c>
      <c r="O23" s="27">
        <f t="shared" si="11"/>
        <v>3529724.5844598138</v>
      </c>
      <c r="P23" s="13">
        <f t="shared" si="12"/>
        <v>1</v>
      </c>
      <c r="Q23" s="13">
        <f t="shared" si="13"/>
        <v>0</v>
      </c>
      <c r="R23" s="13">
        <f t="shared" si="14"/>
        <v>99999</v>
      </c>
      <c r="S23" s="13">
        <f t="shared" si="15"/>
        <v>99999</v>
      </c>
      <c r="U23" s="28"/>
    </row>
    <row r="24" spans="1:21" x14ac:dyDescent="0.3">
      <c r="A24" s="10">
        <f t="shared" si="0"/>
        <v>22</v>
      </c>
      <c r="B24" s="10">
        <f t="shared" si="1"/>
        <v>47</v>
      </c>
      <c r="C24" s="11" t="str">
        <f t="shared" si="2"/>
        <v>Working</v>
      </c>
      <c r="D24" s="26">
        <f t="shared" si="3"/>
        <v>6523848.4951029988</v>
      </c>
      <c r="E24" s="26">
        <f t="shared" si="4"/>
        <v>978577.27426544973</v>
      </c>
      <c r="F24" s="26">
        <f t="shared" si="5"/>
        <v>5545271.2208375493</v>
      </c>
      <c r="G24" s="26">
        <f t="shared" si="16"/>
        <v>3163306.8431457048</v>
      </c>
      <c r="H24" s="26">
        <f t="shared" si="6"/>
        <v>2381964.3776918445</v>
      </c>
      <c r="I24" s="26">
        <f t="shared" si="17"/>
        <v>51544701.7637164</v>
      </c>
      <c r="J24" s="26">
        <f t="shared" si="18"/>
        <v>45103428.794517942</v>
      </c>
      <c r="K24" s="12">
        <f t="shared" si="7"/>
        <v>0.15018171011048481</v>
      </c>
      <c r="L24" s="12">
        <f t="shared" si="8"/>
        <v>0.27750509690822728</v>
      </c>
      <c r="M24" s="26">
        <f t="shared" si="9"/>
        <v>832798.31497183908</v>
      </c>
      <c r="N24" s="26">
        <f t="shared" si="10"/>
        <v>68250824.508342847</v>
      </c>
      <c r="O24" s="26">
        <f t="shared" si="11"/>
        <v>3741508.0595274027</v>
      </c>
      <c r="P24" s="10">
        <f t="shared" si="12"/>
        <v>1</v>
      </c>
      <c r="Q24" s="10">
        <f t="shared" si="13"/>
        <v>0</v>
      </c>
      <c r="R24" s="10">
        <f t="shared" si="14"/>
        <v>99999</v>
      </c>
      <c r="S24" s="10">
        <f t="shared" si="15"/>
        <v>99999</v>
      </c>
      <c r="U24" s="28"/>
    </row>
    <row r="25" spans="1:21" x14ac:dyDescent="0.3">
      <c r="A25" s="13">
        <f t="shared" si="0"/>
        <v>23</v>
      </c>
      <c r="B25" s="13">
        <f t="shared" si="1"/>
        <v>48</v>
      </c>
      <c r="C25" s="14" t="str">
        <f t="shared" si="2"/>
        <v>Working</v>
      </c>
      <c r="D25" s="27">
        <f t="shared" si="3"/>
        <v>7045756.3747112388</v>
      </c>
      <c r="E25" s="27">
        <f t="shared" si="4"/>
        <v>1056863.4562066859</v>
      </c>
      <c r="F25" s="27">
        <f t="shared" si="5"/>
        <v>5988892.9185045529</v>
      </c>
      <c r="G25" s="27">
        <f t="shared" si="16"/>
        <v>3384738.3221659041</v>
      </c>
      <c r="H25" s="27">
        <f t="shared" si="6"/>
        <v>2604154.5963386488</v>
      </c>
      <c r="I25" s="27">
        <f t="shared" si="17"/>
        <v>58787879.51878953</v>
      </c>
      <c r="J25" s="27">
        <f t="shared" si="18"/>
        <v>51544701.7637164</v>
      </c>
      <c r="K25" s="15">
        <f t="shared" si="7"/>
        <v>0.13778138542246313</v>
      </c>
      <c r="L25" s="15">
        <f t="shared" si="8"/>
        <v>0.26179726123417668</v>
      </c>
      <c r="M25" s="27">
        <f t="shared" si="9"/>
        <v>825157.96345833584</v>
      </c>
      <c r="N25" s="27">
        <f t="shared" si="10"/>
        <v>68349053.083380774</v>
      </c>
      <c r="O25" s="27">
        <f t="shared" si="11"/>
        <v>3965998.5430990476</v>
      </c>
      <c r="P25" s="13">
        <f t="shared" si="12"/>
        <v>1</v>
      </c>
      <c r="Q25" s="13">
        <f t="shared" si="13"/>
        <v>0</v>
      </c>
      <c r="R25" s="13">
        <f t="shared" si="14"/>
        <v>99999</v>
      </c>
      <c r="S25" s="13">
        <f t="shared" si="15"/>
        <v>99999</v>
      </c>
      <c r="U25" s="28"/>
    </row>
    <row r="26" spans="1:21" x14ac:dyDescent="0.3">
      <c r="A26" s="10">
        <f t="shared" si="0"/>
        <v>24</v>
      </c>
      <c r="B26" s="10">
        <f t="shared" si="1"/>
        <v>49</v>
      </c>
      <c r="C26" s="11" t="str">
        <f t="shared" si="2"/>
        <v>Working</v>
      </c>
      <c r="D26" s="26">
        <f t="shared" si="3"/>
        <v>7609416.884688138</v>
      </c>
      <c r="E26" s="26">
        <f t="shared" si="4"/>
        <v>1141412.5327032206</v>
      </c>
      <c r="F26" s="26">
        <f t="shared" si="5"/>
        <v>6468004.3519849172</v>
      </c>
      <c r="G26" s="26">
        <f t="shared" si="16"/>
        <v>3621670.0047175176</v>
      </c>
      <c r="H26" s="26">
        <f t="shared" si="6"/>
        <v>2846334.3472673995</v>
      </c>
      <c r="I26" s="26">
        <f t="shared" si="17"/>
        <v>66925123.022747986</v>
      </c>
      <c r="J26" s="26">
        <f t="shared" si="18"/>
        <v>58787879.51878953</v>
      </c>
      <c r="K26" s="12">
        <f t="shared" si="7"/>
        <v>0.12640494075455333</v>
      </c>
      <c r="L26" s="12">
        <f t="shared" si="8"/>
        <v>0.24697854833412897</v>
      </c>
      <c r="M26" s="26">
        <f t="shared" si="9"/>
        <v>817587.70691284654</v>
      </c>
      <c r="N26" s="26">
        <f t="shared" si="10"/>
        <v>67972574.579715088</v>
      </c>
      <c r="O26" s="26">
        <f t="shared" si="11"/>
        <v>4203958.4556849897</v>
      </c>
      <c r="P26" s="10">
        <f t="shared" si="12"/>
        <v>1</v>
      </c>
      <c r="Q26" s="10">
        <f t="shared" si="13"/>
        <v>0</v>
      </c>
      <c r="R26" s="10">
        <f t="shared" si="14"/>
        <v>99999</v>
      </c>
      <c r="S26" s="10">
        <f t="shared" si="15"/>
        <v>99999</v>
      </c>
      <c r="U26" s="28"/>
    </row>
    <row r="27" spans="1:21" x14ac:dyDescent="0.3">
      <c r="A27" s="13">
        <f t="shared" si="0"/>
        <v>25</v>
      </c>
      <c r="B27" s="13">
        <f t="shared" si="1"/>
        <v>50</v>
      </c>
      <c r="C27" s="14" t="str">
        <f t="shared" si="2"/>
        <v>Working</v>
      </c>
      <c r="D27" s="27">
        <f t="shared" si="3"/>
        <v>8218170.2354631899</v>
      </c>
      <c r="E27" s="27">
        <f t="shared" si="4"/>
        <v>1232725.5353194785</v>
      </c>
      <c r="F27" s="27">
        <f t="shared" si="5"/>
        <v>6985444.7001437116</v>
      </c>
      <c r="G27" s="27">
        <f t="shared" si="16"/>
        <v>3875186.9050477445</v>
      </c>
      <c r="H27" s="27">
        <f t="shared" si="6"/>
        <v>3110257.7950959671</v>
      </c>
      <c r="I27" s="27">
        <f t="shared" si="17"/>
        <v>76058641.889891282</v>
      </c>
      <c r="J27" s="27">
        <f t="shared" si="18"/>
        <v>66925123.022747986</v>
      </c>
      <c r="K27" s="15">
        <f t="shared" si="7"/>
        <v>0.11596783555463605</v>
      </c>
      <c r="L27" s="15">
        <f t="shared" si="8"/>
        <v>0.23299863050389524</v>
      </c>
      <c r="M27" s="27">
        <f t="shared" si="9"/>
        <v>810086.90226226987</v>
      </c>
      <c r="N27" s="27">
        <f t="shared" si="10"/>
        <v>67039981.548225902</v>
      </c>
      <c r="O27" s="27">
        <f t="shared" si="11"/>
        <v>4456195.9630260887</v>
      </c>
      <c r="P27" s="13">
        <f t="shared" si="12"/>
        <v>1</v>
      </c>
      <c r="Q27" s="13">
        <f t="shared" si="13"/>
        <v>0</v>
      </c>
      <c r="R27" s="13">
        <f t="shared" si="14"/>
        <v>99999</v>
      </c>
      <c r="S27" s="13">
        <f t="shared" si="15"/>
        <v>99999</v>
      </c>
      <c r="U27" s="28"/>
    </row>
    <row r="28" spans="1:21" x14ac:dyDescent="0.3">
      <c r="A28" s="10">
        <f t="shared" si="0"/>
        <v>26</v>
      </c>
      <c r="B28" s="10">
        <f t="shared" si="1"/>
        <v>51</v>
      </c>
      <c r="C28" s="11" t="str">
        <f t="shared" si="2"/>
        <v>Working</v>
      </c>
      <c r="D28" s="26">
        <f t="shared" si="3"/>
        <v>8875623.8543002438</v>
      </c>
      <c r="E28" s="26">
        <f t="shared" si="4"/>
        <v>1331343.5781450365</v>
      </c>
      <c r="F28" s="26">
        <f t="shared" si="5"/>
        <v>7544280.2761552073</v>
      </c>
      <c r="G28" s="26">
        <f t="shared" si="16"/>
        <v>4146449.9884010861</v>
      </c>
      <c r="H28" s="26">
        <f t="shared" si="6"/>
        <v>3397830.2877541212</v>
      </c>
      <c r="I28" s="26">
        <f t="shared" si="17"/>
        <v>86301749.947735623</v>
      </c>
      <c r="J28" s="26">
        <f t="shared" si="18"/>
        <v>76058641.889891282</v>
      </c>
      <c r="K28" s="12">
        <f t="shared" si="7"/>
        <v>0.10639250968315234</v>
      </c>
      <c r="L28" s="12">
        <f t="shared" si="8"/>
        <v>0.21981002877725966</v>
      </c>
      <c r="M28" s="26">
        <f t="shared" si="9"/>
        <v>802654.91233325808</v>
      </c>
      <c r="N28" s="26">
        <f t="shared" si="10"/>
        <v>65459445.1644096</v>
      </c>
      <c r="O28" s="26">
        <f t="shared" si="11"/>
        <v>4723567.7208076548</v>
      </c>
      <c r="P28" s="10">
        <f t="shared" si="12"/>
        <v>1</v>
      </c>
      <c r="Q28" s="10">
        <f t="shared" si="13"/>
        <v>0</v>
      </c>
      <c r="R28" s="10">
        <f t="shared" si="14"/>
        <v>51</v>
      </c>
      <c r="S28" s="10">
        <f t="shared" si="15"/>
        <v>99999</v>
      </c>
      <c r="U28" s="28"/>
    </row>
    <row r="29" spans="1:21" x14ac:dyDescent="0.3">
      <c r="A29" s="13">
        <f t="shared" si="0"/>
        <v>27</v>
      </c>
      <c r="B29" s="13">
        <f t="shared" si="1"/>
        <v>52</v>
      </c>
      <c r="C29" s="14" t="str">
        <f t="shared" si="2"/>
        <v>Working</v>
      </c>
      <c r="D29" s="27">
        <f t="shared" si="3"/>
        <v>9585673.7626442648</v>
      </c>
      <c r="E29" s="27">
        <f t="shared" si="4"/>
        <v>1437851.0643966396</v>
      </c>
      <c r="F29" s="27">
        <f t="shared" si="5"/>
        <v>8147822.6982476255</v>
      </c>
      <c r="G29" s="27">
        <f t="shared" si="16"/>
        <v>4436701.4875891628</v>
      </c>
      <c r="H29" s="27">
        <f t="shared" si="6"/>
        <v>3711121.2106584627</v>
      </c>
      <c r="I29" s="27">
        <f t="shared" si="17"/>
        <v>97780028.653690293</v>
      </c>
      <c r="J29" s="27">
        <f t="shared" si="18"/>
        <v>86301749.947735623</v>
      </c>
      <c r="K29" s="15">
        <f t="shared" si="7"/>
        <v>9.7607807048763609E-2</v>
      </c>
      <c r="L29" s="15">
        <f t="shared" si="8"/>
        <v>0.20736795167666003</v>
      </c>
      <c r="M29" s="27">
        <f t="shared" si="9"/>
        <v>795291.10579809069</v>
      </c>
      <c r="N29" s="27">
        <f t="shared" si="10"/>
        <v>63127529.728197277</v>
      </c>
      <c r="O29" s="27">
        <f t="shared" si="11"/>
        <v>5006981.784056115</v>
      </c>
      <c r="P29" s="13">
        <f t="shared" si="12"/>
        <v>1</v>
      </c>
      <c r="Q29" s="13">
        <f t="shared" si="13"/>
        <v>0</v>
      </c>
      <c r="R29" s="13">
        <f t="shared" si="14"/>
        <v>52</v>
      </c>
      <c r="S29" s="13">
        <f t="shared" si="15"/>
        <v>99999</v>
      </c>
      <c r="U29" s="28"/>
    </row>
    <row r="30" spans="1:21" x14ac:dyDescent="0.3">
      <c r="A30" s="10">
        <f t="shared" si="0"/>
        <v>28</v>
      </c>
      <c r="B30" s="10">
        <f t="shared" si="1"/>
        <v>53</v>
      </c>
      <c r="C30" s="11" t="str">
        <f t="shared" si="2"/>
        <v>Working</v>
      </c>
      <c r="D30" s="26">
        <f t="shared" si="3"/>
        <v>10352527.663655806</v>
      </c>
      <c r="E30" s="26">
        <f t="shared" si="4"/>
        <v>1552879.1495483709</v>
      </c>
      <c r="F30" s="26">
        <f t="shared" si="5"/>
        <v>8799648.5141074359</v>
      </c>
      <c r="G30" s="26">
        <f t="shared" si="16"/>
        <v>4747270.5917204032</v>
      </c>
      <c r="H30" s="26">
        <f t="shared" si="6"/>
        <v>4052377.9223870328</v>
      </c>
      <c r="I30" s="26">
        <f t="shared" si="17"/>
        <v>110632609.15490946</v>
      </c>
      <c r="J30" s="26">
        <f t="shared" si="18"/>
        <v>97780028.653690293</v>
      </c>
      <c r="K30" s="12">
        <f t="shared" si="7"/>
        <v>8.954844683372809E-2</v>
      </c>
      <c r="L30" s="12">
        <f t="shared" si="8"/>
        <v>0.1956301430911887</v>
      </c>
      <c r="M30" s="26">
        <f t="shared" si="9"/>
        <v>787994.85712104407</v>
      </c>
      <c r="N30" s="26">
        <f t="shared" si="10"/>
        <v>59927880.662645116</v>
      </c>
      <c r="O30" s="26">
        <f t="shared" si="11"/>
        <v>5307400.6910994817</v>
      </c>
      <c r="P30" s="10">
        <f t="shared" si="12"/>
        <v>1</v>
      </c>
      <c r="Q30" s="10">
        <f t="shared" si="13"/>
        <v>0</v>
      </c>
      <c r="R30" s="10">
        <f t="shared" si="14"/>
        <v>53</v>
      </c>
      <c r="S30" s="10">
        <f t="shared" si="15"/>
        <v>99999</v>
      </c>
      <c r="U30" s="28"/>
    </row>
    <row r="31" spans="1:21" x14ac:dyDescent="0.3">
      <c r="A31" s="13">
        <f t="shared" si="0"/>
        <v>29</v>
      </c>
      <c r="B31" s="13">
        <f t="shared" si="1"/>
        <v>54</v>
      </c>
      <c r="C31" s="14" t="str">
        <f t="shared" si="2"/>
        <v>Working</v>
      </c>
      <c r="D31" s="27">
        <f t="shared" si="3"/>
        <v>11180729.876748271</v>
      </c>
      <c r="E31" s="27">
        <f t="shared" si="4"/>
        <v>1677109.4815122406</v>
      </c>
      <c r="F31" s="27">
        <f t="shared" si="5"/>
        <v>9503620.3952360302</v>
      </c>
      <c r="G31" s="27">
        <f t="shared" si="16"/>
        <v>5079579.5331408316</v>
      </c>
      <c r="H31" s="27">
        <f t="shared" si="6"/>
        <v>4424040.8620951986</v>
      </c>
      <c r="I31" s="27">
        <f t="shared" si="17"/>
        <v>125013584.84094651</v>
      </c>
      <c r="J31" s="27">
        <f t="shared" si="18"/>
        <v>110632609.15490946</v>
      </c>
      <c r="K31" s="15">
        <f t="shared" si="7"/>
        <v>8.2154538379567044E-2</v>
      </c>
      <c r="L31" s="15">
        <f t="shared" si="8"/>
        <v>0.18455673876527234</v>
      </c>
      <c r="M31" s="27">
        <f t="shared" si="9"/>
        <v>780765.54650525458</v>
      </c>
      <c r="N31" s="27">
        <f t="shared" si="10"/>
        <v>55729773.041906089</v>
      </c>
      <c r="O31" s="27">
        <f t="shared" si="11"/>
        <v>5625844.7325654514</v>
      </c>
      <c r="P31" s="13">
        <f t="shared" si="12"/>
        <v>1</v>
      </c>
      <c r="Q31" s="13">
        <f t="shared" si="13"/>
        <v>0</v>
      </c>
      <c r="R31" s="13">
        <f t="shared" si="14"/>
        <v>54</v>
      </c>
      <c r="S31" s="13">
        <f t="shared" si="15"/>
        <v>99999</v>
      </c>
      <c r="U31" s="28"/>
    </row>
    <row r="32" spans="1:21" x14ac:dyDescent="0.3">
      <c r="A32" s="10">
        <f t="shared" si="0"/>
        <v>30</v>
      </c>
      <c r="B32" s="10">
        <f t="shared" si="1"/>
        <v>55</v>
      </c>
      <c r="C32" s="11" t="str">
        <f t="shared" si="2"/>
        <v>Working</v>
      </c>
      <c r="D32" s="26">
        <f t="shared" si="3"/>
        <v>12075188.266888134</v>
      </c>
      <c r="E32" s="26">
        <f t="shared" si="4"/>
        <v>1811278.24003322</v>
      </c>
      <c r="F32" s="26">
        <f t="shared" si="5"/>
        <v>10263910.026854914</v>
      </c>
      <c r="G32" s="26">
        <f t="shared" si="16"/>
        <v>5435150.1004606895</v>
      </c>
      <c r="H32" s="26">
        <f t="shared" si="6"/>
        <v>4828759.9263942242</v>
      </c>
      <c r="I32" s="26">
        <f t="shared" si="17"/>
        <v>141093567.40302593</v>
      </c>
      <c r="J32" s="26">
        <f t="shared" si="18"/>
        <v>125013584.84094651</v>
      </c>
      <c r="K32" s="12">
        <f t="shared" si="7"/>
        <v>7.5371136128043151E-2</v>
      </c>
      <c r="L32" s="12">
        <f t="shared" si="8"/>
        <v>0.17411013091063426</v>
      </c>
      <c r="M32" s="26">
        <f t="shared" si="9"/>
        <v>773602.55984006869</v>
      </c>
      <c r="N32" s="26">
        <f t="shared" si="10"/>
        <v>50386506.384870373</v>
      </c>
      <c r="O32" s="26">
        <f t="shared" si="11"/>
        <v>5963395.4165193783</v>
      </c>
      <c r="P32" s="10">
        <f t="shared" si="12"/>
        <v>1</v>
      </c>
      <c r="Q32" s="10">
        <f t="shared" si="13"/>
        <v>0</v>
      </c>
      <c r="R32" s="10">
        <f t="shared" si="14"/>
        <v>55</v>
      </c>
      <c r="S32" s="10">
        <f t="shared" si="15"/>
        <v>99999</v>
      </c>
      <c r="U32" s="28"/>
    </row>
    <row r="33" spans="1:21" x14ac:dyDescent="0.3">
      <c r="A33" s="13">
        <f t="shared" si="0"/>
        <v>31</v>
      </c>
      <c r="B33" s="13">
        <f t="shared" si="1"/>
        <v>56</v>
      </c>
      <c r="C33" s="14" t="str">
        <f t="shared" si="2"/>
        <v>Working</v>
      </c>
      <c r="D33" s="27">
        <f t="shared" si="3"/>
        <v>13041203.328239186</v>
      </c>
      <c r="E33" s="27">
        <f t="shared" si="4"/>
        <v>1956180.4992358778</v>
      </c>
      <c r="F33" s="27">
        <f t="shared" si="5"/>
        <v>11085022.829003308</v>
      </c>
      <c r="G33" s="27">
        <f t="shared" si="16"/>
        <v>5815610.6074929396</v>
      </c>
      <c r="H33" s="27">
        <f t="shared" si="6"/>
        <v>5269412.2215103684</v>
      </c>
      <c r="I33" s="27">
        <f t="shared" si="17"/>
        <v>159061400.69080865</v>
      </c>
      <c r="J33" s="27">
        <f t="shared" si="18"/>
        <v>141093567.40302593</v>
      </c>
      <c r="K33" s="15">
        <f t="shared" si="7"/>
        <v>6.914783131013133E-2</v>
      </c>
      <c r="L33" s="15">
        <f t="shared" si="8"/>
        <v>0.16425484048173042</v>
      </c>
      <c r="M33" s="27">
        <f t="shared" si="9"/>
        <v>766505.28864887555</v>
      </c>
      <c r="N33" s="27">
        <f t="shared" si="10"/>
        <v>43733630.03023684</v>
      </c>
      <c r="O33" s="27">
        <f t="shared" si="11"/>
        <v>6321199.1415105425</v>
      </c>
      <c r="P33" s="13">
        <f t="shared" si="12"/>
        <v>1</v>
      </c>
      <c r="Q33" s="13">
        <f t="shared" si="13"/>
        <v>0</v>
      </c>
      <c r="R33" s="13">
        <f t="shared" si="14"/>
        <v>56</v>
      </c>
      <c r="S33" s="13">
        <f t="shared" si="15"/>
        <v>99999</v>
      </c>
      <c r="U33" s="28"/>
    </row>
    <row r="34" spans="1:21" x14ac:dyDescent="0.3">
      <c r="A34" s="10">
        <f t="shared" ref="A34:A65" si="19">ROW()-2</f>
        <v>32</v>
      </c>
      <c r="B34" s="10">
        <f t="shared" ref="B34:B65" si="20">startAge+A34</f>
        <v>57</v>
      </c>
      <c r="C34" s="11" t="str">
        <f t="shared" ref="C34:C65" si="21">IF(B34&lt;retireAge,"Working",IF(B34&lt;lifeExp,"Retired","—"))</f>
        <v>Working</v>
      </c>
      <c r="D34" s="26">
        <f t="shared" ref="D34:D65" si="22">IF(B34&lt;retireAge, ctc*(1+gInc)^A34, 0)</f>
        <v>14084499.594498321</v>
      </c>
      <c r="E34" s="26">
        <f t="shared" ref="E34:E65" si="23">D34*tax</f>
        <v>2112674.939174748</v>
      </c>
      <c r="F34" s="26">
        <f t="shared" ref="F34:F65" si="24">D34-E34</f>
        <v>11971824.655323572</v>
      </c>
      <c r="G34" s="26">
        <f t="shared" ref="G34:G65" si="25">IF(B34&gt;=lifeExp,0,IF(B34&lt;retireAge, C0*(1+gExp)^A34, Clast*(1+infl)^(A34-(Nwork-1))))</f>
        <v>6222703.3500174442</v>
      </c>
      <c r="H34" s="26">
        <f t="shared" ref="H34:H65" si="26">IF(B34&gt;=lifeExp,0,F34-G34)</f>
        <v>5749121.3053061282</v>
      </c>
      <c r="I34" s="26">
        <f t="shared" si="17"/>
        <v>179126048.05828759</v>
      </c>
      <c r="J34" s="26">
        <f t="shared" si="18"/>
        <v>159061400.69080865</v>
      </c>
      <c r="K34" s="12">
        <f t="shared" ref="K34:K65" si="27">1/(1+disc)^A34</f>
        <v>6.3438377348744343E-2</v>
      </c>
      <c r="L34" s="12">
        <f t="shared" ref="L34:L65" si="28">1/(1+infl)^A34</f>
        <v>0.15495739668087777</v>
      </c>
      <c r="M34" s="26">
        <f t="shared" ref="M34:M65" si="29">F34*K34</f>
        <v>759473.13003741798</v>
      </c>
      <c r="N34" s="26">
        <f t="shared" ref="N34:N65" si="30">(1+disc)^A34*SUMPRODUCT((pAge&gt;=B34)*pPVpx)</f>
        <v>35586981.849344552</v>
      </c>
      <c r="O34" s="26">
        <f t="shared" ref="O34:O65" si="31">IF(B34&lt;lifeExp, cpReal*(1+infl)^A34, 0)</f>
        <v>6700471.0900011742</v>
      </c>
      <c r="P34" s="10">
        <f t="shared" ref="P34:P65" si="32">IF(B34&lt;retireAge,1,0)</f>
        <v>1</v>
      </c>
      <c r="Q34" s="10">
        <f t="shared" ref="Q34:Q65" si="33">IF(AND(B34&gt;=retireAge,B34&lt;lifeExp),1,0)</f>
        <v>0</v>
      </c>
      <c r="R34" s="10">
        <f t="shared" ref="R34:R65" si="34">IF(AND(B34&lt;lifeExp,J34&gt;=N34),B34,99999)</f>
        <v>57</v>
      </c>
      <c r="S34" s="10">
        <f t="shared" ref="S34:S65" si="35">IF(AND(Q34=1,I34&lt;0),B34,99999)</f>
        <v>99999</v>
      </c>
      <c r="U34" s="29"/>
    </row>
    <row r="35" spans="1:21" x14ac:dyDescent="0.3">
      <c r="A35" s="13">
        <f t="shared" si="19"/>
        <v>33</v>
      </c>
      <c r="B35" s="13">
        <f t="shared" si="20"/>
        <v>58</v>
      </c>
      <c r="C35" s="14" t="str">
        <f t="shared" si="21"/>
        <v>Working</v>
      </c>
      <c r="D35" s="27">
        <f t="shared" si="22"/>
        <v>15211259.562058188</v>
      </c>
      <c r="E35" s="27">
        <f t="shared" si="23"/>
        <v>2281688.9343087282</v>
      </c>
      <c r="F35" s="27">
        <f t="shared" si="24"/>
        <v>12929570.62774946</v>
      </c>
      <c r="G35" s="27">
        <f t="shared" si="25"/>
        <v>6658292.5845186654</v>
      </c>
      <c r="H35" s="27">
        <f t="shared" si="26"/>
        <v>6271278.0432307944</v>
      </c>
      <c r="I35" s="27">
        <f t="shared" ref="I35:I66" si="36">IF(B35&lt;lifeExp,I34*(1+ret)+H35,I34)</f>
        <v>201518670.42676428</v>
      </c>
      <c r="J35" s="27">
        <f t="shared" ref="J35:J66" si="37">I34</f>
        <v>179126048.05828759</v>
      </c>
      <c r="K35" s="15">
        <f t="shared" si="27"/>
        <v>5.8200346191508566E-2</v>
      </c>
      <c r="L35" s="15">
        <f t="shared" si="28"/>
        <v>0.14618622328384695</v>
      </c>
      <c r="M35" s="27">
        <f t="shared" si="29"/>
        <v>752505.48664257932</v>
      </c>
      <c r="N35" s="27">
        <f t="shared" si="30"/>
        <v>25740521.341482867</v>
      </c>
      <c r="O35" s="27">
        <f t="shared" si="31"/>
        <v>7102499.355401244</v>
      </c>
      <c r="P35" s="13">
        <f t="shared" si="32"/>
        <v>1</v>
      </c>
      <c r="Q35" s="13">
        <f t="shared" si="33"/>
        <v>0</v>
      </c>
      <c r="R35" s="13">
        <f t="shared" si="34"/>
        <v>58</v>
      </c>
      <c r="S35" s="13">
        <f t="shared" si="35"/>
        <v>99999</v>
      </c>
      <c r="U35" s="29"/>
    </row>
    <row r="36" spans="1:21" x14ac:dyDescent="0.3">
      <c r="A36" s="10">
        <f t="shared" si="19"/>
        <v>34</v>
      </c>
      <c r="B36" s="10">
        <f t="shared" si="20"/>
        <v>59</v>
      </c>
      <c r="C36" s="11" t="str">
        <f t="shared" si="21"/>
        <v>Working</v>
      </c>
      <c r="D36" s="26">
        <f t="shared" si="22"/>
        <v>16428160.327022843</v>
      </c>
      <c r="E36" s="26">
        <f t="shared" si="23"/>
        <v>2464224.0490534264</v>
      </c>
      <c r="F36" s="26">
        <f t="shared" si="24"/>
        <v>13963936.277969416</v>
      </c>
      <c r="G36" s="26">
        <f t="shared" si="25"/>
        <v>7124373.0654349718</v>
      </c>
      <c r="H36" s="26">
        <f t="shared" si="26"/>
        <v>6839563.2125344444</v>
      </c>
      <c r="I36" s="26">
        <f t="shared" si="36"/>
        <v>226494913.97770754</v>
      </c>
      <c r="J36" s="26">
        <f t="shared" si="37"/>
        <v>201518670.42676428</v>
      </c>
      <c r="K36" s="12">
        <f t="shared" si="27"/>
        <v>5.3394813019732625E-2</v>
      </c>
      <c r="L36" s="12">
        <f t="shared" si="28"/>
        <v>0.1379115313998556</v>
      </c>
      <c r="M36" s="26">
        <f t="shared" si="29"/>
        <v>745601.76658163813</v>
      </c>
      <c r="N36" s="26">
        <f t="shared" si="30"/>
        <v>13963936.277969416</v>
      </c>
      <c r="O36" s="26">
        <f t="shared" si="31"/>
        <v>7528649.3167253202</v>
      </c>
      <c r="P36" s="10">
        <f t="shared" si="32"/>
        <v>1</v>
      </c>
      <c r="Q36" s="10">
        <f t="shared" si="33"/>
        <v>0</v>
      </c>
      <c r="R36" s="10">
        <f t="shared" si="34"/>
        <v>59</v>
      </c>
      <c r="S36" s="10">
        <f t="shared" si="35"/>
        <v>99999</v>
      </c>
      <c r="U36" s="29"/>
    </row>
    <row r="37" spans="1:21" x14ac:dyDescent="0.3">
      <c r="A37" s="13">
        <f t="shared" si="19"/>
        <v>35</v>
      </c>
      <c r="B37" s="13">
        <f t="shared" si="20"/>
        <v>60</v>
      </c>
      <c r="C37" s="14" t="str">
        <f t="shared" si="21"/>
        <v>Retired</v>
      </c>
      <c r="D37" s="27">
        <f t="shared" si="22"/>
        <v>0</v>
      </c>
      <c r="E37" s="27">
        <f t="shared" si="23"/>
        <v>0</v>
      </c>
      <c r="F37" s="27">
        <f t="shared" si="24"/>
        <v>0</v>
      </c>
      <c r="G37" s="27">
        <f t="shared" si="25"/>
        <v>7551835.4493610701</v>
      </c>
      <c r="H37" s="27">
        <f t="shared" si="26"/>
        <v>-7551835.4493610701</v>
      </c>
      <c r="I37" s="27">
        <f t="shared" si="36"/>
        <v>239327620.78634018</v>
      </c>
      <c r="J37" s="27">
        <f t="shared" si="37"/>
        <v>226494913.97770754</v>
      </c>
      <c r="K37" s="15">
        <f t="shared" si="27"/>
        <v>4.8986066990580383E-2</v>
      </c>
      <c r="L37" s="15">
        <f t="shared" si="28"/>
        <v>0.13010521830175056</v>
      </c>
      <c r="M37" s="27">
        <f t="shared" si="29"/>
        <v>0</v>
      </c>
      <c r="N37" s="27">
        <f t="shared" si="30"/>
        <v>0</v>
      </c>
      <c r="O37" s="27">
        <f t="shared" si="31"/>
        <v>7980368.2757288404</v>
      </c>
      <c r="P37" s="13">
        <f t="shared" si="32"/>
        <v>0</v>
      </c>
      <c r="Q37" s="13">
        <f t="shared" si="33"/>
        <v>1</v>
      </c>
      <c r="R37" s="13">
        <f t="shared" si="34"/>
        <v>60</v>
      </c>
      <c r="S37" s="13">
        <f t="shared" si="35"/>
        <v>99999</v>
      </c>
      <c r="U37" s="29"/>
    </row>
    <row r="38" spans="1:21" x14ac:dyDescent="0.3">
      <c r="A38" s="10">
        <f t="shared" si="19"/>
        <v>36</v>
      </c>
      <c r="B38" s="10">
        <f t="shared" si="20"/>
        <v>61</v>
      </c>
      <c r="C38" s="11" t="str">
        <f t="shared" si="21"/>
        <v>Retired</v>
      </c>
      <c r="D38" s="26">
        <f t="shared" si="22"/>
        <v>0</v>
      </c>
      <c r="E38" s="26">
        <f t="shared" si="23"/>
        <v>0</v>
      </c>
      <c r="F38" s="26">
        <f t="shared" si="24"/>
        <v>0</v>
      </c>
      <c r="G38" s="26">
        <f t="shared" si="25"/>
        <v>8004945.5763227353</v>
      </c>
      <c r="H38" s="26">
        <f t="shared" si="26"/>
        <v>-8004945.5763227353</v>
      </c>
      <c r="I38" s="26">
        <f t="shared" si="36"/>
        <v>252862161.08078808</v>
      </c>
      <c r="J38" s="26">
        <f t="shared" si="37"/>
        <v>239327620.78634018</v>
      </c>
      <c r="K38" s="12">
        <f t="shared" si="27"/>
        <v>4.4941345862917786E-2</v>
      </c>
      <c r="L38" s="12">
        <f t="shared" si="28"/>
        <v>0.12274077198278353</v>
      </c>
      <c r="M38" s="26">
        <f t="shared" si="29"/>
        <v>0</v>
      </c>
      <c r="N38" s="26">
        <f t="shared" si="30"/>
        <v>0</v>
      </c>
      <c r="O38" s="26">
        <f t="shared" si="31"/>
        <v>8459190.3722725715</v>
      </c>
      <c r="P38" s="10">
        <f t="shared" si="32"/>
        <v>0</v>
      </c>
      <c r="Q38" s="10">
        <f t="shared" si="33"/>
        <v>1</v>
      </c>
      <c r="R38" s="10">
        <f t="shared" si="34"/>
        <v>61</v>
      </c>
      <c r="S38" s="10">
        <f t="shared" si="35"/>
        <v>99999</v>
      </c>
      <c r="U38" s="29"/>
    </row>
    <row r="39" spans="1:21" x14ac:dyDescent="0.3">
      <c r="A39" s="13">
        <f t="shared" si="19"/>
        <v>37</v>
      </c>
      <c r="B39" s="13">
        <f t="shared" si="20"/>
        <v>62</v>
      </c>
      <c r="C39" s="14" t="str">
        <f t="shared" si="21"/>
        <v>Retired</v>
      </c>
      <c r="D39" s="27">
        <f t="shared" si="22"/>
        <v>0</v>
      </c>
      <c r="E39" s="27">
        <f t="shared" si="23"/>
        <v>0</v>
      </c>
      <c r="F39" s="27">
        <f t="shared" si="24"/>
        <v>0</v>
      </c>
      <c r="G39" s="27">
        <f t="shared" si="25"/>
        <v>8485242.3109021001</v>
      </c>
      <c r="H39" s="27">
        <f t="shared" si="26"/>
        <v>-8485242.3109021001</v>
      </c>
      <c r="I39" s="27">
        <f t="shared" si="36"/>
        <v>267134513.26715693</v>
      </c>
      <c r="J39" s="27">
        <f t="shared" si="37"/>
        <v>252862161.08078808</v>
      </c>
      <c r="K39" s="15">
        <f t="shared" si="27"/>
        <v>4.1230592534786961E-2</v>
      </c>
      <c r="L39" s="15">
        <f t="shared" si="28"/>
        <v>0.11579318111583352</v>
      </c>
      <c r="M39" s="27">
        <f t="shared" si="29"/>
        <v>0</v>
      </c>
      <c r="N39" s="27">
        <f t="shared" si="30"/>
        <v>0</v>
      </c>
      <c r="O39" s="27">
        <f t="shared" si="31"/>
        <v>8966741.7946089264</v>
      </c>
      <c r="P39" s="13">
        <f t="shared" si="32"/>
        <v>0</v>
      </c>
      <c r="Q39" s="13">
        <f t="shared" si="33"/>
        <v>1</v>
      </c>
      <c r="R39" s="13">
        <f t="shared" si="34"/>
        <v>62</v>
      </c>
      <c r="S39" s="13">
        <f t="shared" si="35"/>
        <v>99999</v>
      </c>
      <c r="U39" s="29"/>
    </row>
    <row r="40" spans="1:21" x14ac:dyDescent="0.3">
      <c r="A40" s="10">
        <f t="shared" si="19"/>
        <v>38</v>
      </c>
      <c r="B40" s="10">
        <f t="shared" si="20"/>
        <v>63</v>
      </c>
      <c r="C40" s="11" t="str">
        <f t="shared" si="21"/>
        <v>Retired</v>
      </c>
      <c r="D40" s="26">
        <f t="shared" si="22"/>
        <v>0</v>
      </c>
      <c r="E40" s="26">
        <f t="shared" si="23"/>
        <v>0</v>
      </c>
      <c r="F40" s="26">
        <f t="shared" si="24"/>
        <v>0</v>
      </c>
      <c r="G40" s="26">
        <f t="shared" si="25"/>
        <v>8994356.8495562263</v>
      </c>
      <c r="H40" s="26">
        <f t="shared" si="26"/>
        <v>-8994356.8495562263</v>
      </c>
      <c r="I40" s="26">
        <f t="shared" si="36"/>
        <v>282182262.61164486</v>
      </c>
      <c r="J40" s="26">
        <f t="shared" si="37"/>
        <v>267134513.26715693</v>
      </c>
      <c r="K40" s="12">
        <f t="shared" si="27"/>
        <v>3.782623168329078E-2</v>
      </c>
      <c r="L40" s="12">
        <f t="shared" si="28"/>
        <v>0.10923885010927689</v>
      </c>
      <c r="M40" s="26">
        <f t="shared" si="29"/>
        <v>0</v>
      </c>
      <c r="N40" s="26">
        <f t="shared" si="30"/>
        <v>0</v>
      </c>
      <c r="O40" s="26">
        <f t="shared" si="31"/>
        <v>9504746.3022854626</v>
      </c>
      <c r="P40" s="10">
        <f t="shared" si="32"/>
        <v>0</v>
      </c>
      <c r="Q40" s="10">
        <f t="shared" si="33"/>
        <v>1</v>
      </c>
      <c r="R40" s="10">
        <f t="shared" si="34"/>
        <v>63</v>
      </c>
      <c r="S40" s="10">
        <f t="shared" si="35"/>
        <v>99999</v>
      </c>
      <c r="U40" s="29"/>
    </row>
    <row r="41" spans="1:21" x14ac:dyDescent="0.3">
      <c r="A41" s="13">
        <f t="shared" si="19"/>
        <v>39</v>
      </c>
      <c r="B41" s="13">
        <f t="shared" si="20"/>
        <v>64</v>
      </c>
      <c r="C41" s="14" t="str">
        <f t="shared" si="21"/>
        <v>Retired</v>
      </c>
      <c r="D41" s="27">
        <f t="shared" si="22"/>
        <v>0</v>
      </c>
      <c r="E41" s="27">
        <f t="shared" si="23"/>
        <v>0</v>
      </c>
      <c r="F41" s="27">
        <f t="shared" si="24"/>
        <v>0</v>
      </c>
      <c r="G41" s="27">
        <f t="shared" si="25"/>
        <v>9534018.2605296019</v>
      </c>
      <c r="H41" s="27">
        <f t="shared" si="26"/>
        <v>-9534018.2605296019</v>
      </c>
      <c r="I41" s="27">
        <f t="shared" si="36"/>
        <v>298044647.98616332</v>
      </c>
      <c r="J41" s="27">
        <f t="shared" si="37"/>
        <v>282182262.61164486</v>
      </c>
      <c r="K41" s="15">
        <f t="shared" si="27"/>
        <v>3.4702964847055769E-2</v>
      </c>
      <c r="L41" s="15">
        <f t="shared" si="28"/>
        <v>0.10305551897101592</v>
      </c>
      <c r="M41" s="27">
        <f t="shared" si="29"/>
        <v>0</v>
      </c>
      <c r="N41" s="27">
        <f t="shared" si="30"/>
        <v>0</v>
      </c>
      <c r="O41" s="27">
        <f t="shared" si="31"/>
        <v>10075031.080422591</v>
      </c>
      <c r="P41" s="13">
        <f t="shared" si="32"/>
        <v>0</v>
      </c>
      <c r="Q41" s="13">
        <f t="shared" si="33"/>
        <v>1</v>
      </c>
      <c r="R41" s="13">
        <f t="shared" si="34"/>
        <v>64</v>
      </c>
      <c r="S41" s="13">
        <f t="shared" si="35"/>
        <v>99999</v>
      </c>
      <c r="U41" s="29"/>
    </row>
    <row r="42" spans="1:21" x14ac:dyDescent="0.3">
      <c r="A42" s="10">
        <f t="shared" si="19"/>
        <v>40</v>
      </c>
      <c r="B42" s="10">
        <f t="shared" si="20"/>
        <v>65</v>
      </c>
      <c r="C42" s="11" t="str">
        <f t="shared" si="21"/>
        <v>Retired</v>
      </c>
      <c r="D42" s="26">
        <f t="shared" si="22"/>
        <v>0</v>
      </c>
      <c r="E42" s="26">
        <f t="shared" si="23"/>
        <v>0</v>
      </c>
      <c r="F42" s="26">
        <f t="shared" si="24"/>
        <v>0</v>
      </c>
      <c r="G42" s="26">
        <f t="shared" si="25"/>
        <v>10106059.356161378</v>
      </c>
      <c r="H42" s="26">
        <f t="shared" si="26"/>
        <v>-10106059.356161378</v>
      </c>
      <c r="I42" s="26">
        <f t="shared" si="36"/>
        <v>314762606.94875669</v>
      </c>
      <c r="J42" s="26">
        <f t="shared" si="37"/>
        <v>298044647.98616332</v>
      </c>
      <c r="K42" s="12">
        <f t="shared" si="27"/>
        <v>3.1837582428491523E-2</v>
      </c>
      <c r="L42" s="12">
        <f t="shared" si="28"/>
        <v>9.7222187708505589E-2</v>
      </c>
      <c r="M42" s="26">
        <f t="shared" si="29"/>
        <v>0</v>
      </c>
      <c r="N42" s="26">
        <f t="shared" si="30"/>
        <v>0</v>
      </c>
      <c r="O42" s="26">
        <f t="shared" si="31"/>
        <v>10679532.945247946</v>
      </c>
      <c r="P42" s="10">
        <f t="shared" si="32"/>
        <v>0</v>
      </c>
      <c r="Q42" s="10">
        <f t="shared" si="33"/>
        <v>1</v>
      </c>
      <c r="R42" s="10">
        <f t="shared" si="34"/>
        <v>65</v>
      </c>
      <c r="S42" s="10">
        <f t="shared" si="35"/>
        <v>99999</v>
      </c>
      <c r="U42" s="29"/>
    </row>
    <row r="43" spans="1:21" x14ac:dyDescent="0.3">
      <c r="A43" s="13">
        <f t="shared" si="19"/>
        <v>41</v>
      </c>
      <c r="B43" s="13">
        <f t="shared" si="20"/>
        <v>66</v>
      </c>
      <c r="C43" s="14" t="str">
        <f t="shared" si="21"/>
        <v>Retired</v>
      </c>
      <c r="D43" s="27">
        <f t="shared" si="22"/>
        <v>0</v>
      </c>
      <c r="E43" s="27">
        <f t="shared" si="23"/>
        <v>0</v>
      </c>
      <c r="F43" s="27">
        <f t="shared" si="24"/>
        <v>0</v>
      </c>
      <c r="G43" s="27">
        <f t="shared" si="25"/>
        <v>10712422.917531062</v>
      </c>
      <c r="H43" s="27">
        <f t="shared" si="26"/>
        <v>-10712422.917531062</v>
      </c>
      <c r="I43" s="27">
        <f t="shared" si="36"/>
        <v>332378818.65661377</v>
      </c>
      <c r="J43" s="27">
        <f t="shared" si="37"/>
        <v>314762606.94875669</v>
      </c>
      <c r="K43" s="15">
        <f t="shared" si="27"/>
        <v>2.9208791218799563E-2</v>
      </c>
      <c r="L43" s="15">
        <f t="shared" si="28"/>
        <v>9.171904500802415E-2</v>
      </c>
      <c r="M43" s="27">
        <f t="shared" si="29"/>
        <v>0</v>
      </c>
      <c r="N43" s="27">
        <f t="shared" si="30"/>
        <v>0</v>
      </c>
      <c r="O43" s="27">
        <f t="shared" si="31"/>
        <v>11320304.921962822</v>
      </c>
      <c r="P43" s="13">
        <f t="shared" si="32"/>
        <v>0</v>
      </c>
      <c r="Q43" s="13">
        <f t="shared" si="33"/>
        <v>1</v>
      </c>
      <c r="R43" s="13">
        <f t="shared" si="34"/>
        <v>66</v>
      </c>
      <c r="S43" s="13">
        <f t="shared" si="35"/>
        <v>99999</v>
      </c>
      <c r="U43" s="29"/>
    </row>
    <row r="44" spans="1:21" x14ac:dyDescent="0.3">
      <c r="A44" s="10">
        <f t="shared" si="19"/>
        <v>42</v>
      </c>
      <c r="B44" s="10">
        <f t="shared" si="20"/>
        <v>67</v>
      </c>
      <c r="C44" s="11" t="str">
        <f t="shared" si="21"/>
        <v>Retired</v>
      </c>
      <c r="D44" s="26">
        <f t="shared" si="22"/>
        <v>0</v>
      </c>
      <c r="E44" s="26">
        <f t="shared" si="23"/>
        <v>0</v>
      </c>
      <c r="F44" s="26">
        <f t="shared" si="24"/>
        <v>0</v>
      </c>
      <c r="G44" s="26">
        <f t="shared" si="25"/>
        <v>11355168.292582925</v>
      </c>
      <c r="H44" s="26">
        <f t="shared" si="26"/>
        <v>-11355168.292582925</v>
      </c>
      <c r="I44" s="26">
        <f t="shared" si="36"/>
        <v>350937744.04312611</v>
      </c>
      <c r="J44" s="26">
        <f t="shared" si="37"/>
        <v>332378818.65661377</v>
      </c>
      <c r="K44" s="12">
        <f t="shared" si="27"/>
        <v>2.6797056164036295E-2</v>
      </c>
      <c r="L44" s="12">
        <f t="shared" si="28"/>
        <v>8.6527400950966171E-2</v>
      </c>
      <c r="M44" s="26">
        <f t="shared" si="29"/>
        <v>0</v>
      </c>
      <c r="N44" s="26">
        <f t="shared" si="30"/>
        <v>0</v>
      </c>
      <c r="O44" s="26">
        <f t="shared" si="31"/>
        <v>11999523.217280593</v>
      </c>
      <c r="P44" s="10">
        <f t="shared" si="32"/>
        <v>0</v>
      </c>
      <c r="Q44" s="10">
        <f t="shared" si="33"/>
        <v>1</v>
      </c>
      <c r="R44" s="10">
        <f t="shared" si="34"/>
        <v>67</v>
      </c>
      <c r="S44" s="10">
        <f t="shared" si="35"/>
        <v>99999</v>
      </c>
      <c r="U44" s="29"/>
    </row>
    <row r="45" spans="1:21" x14ac:dyDescent="0.3">
      <c r="A45" s="13">
        <f t="shared" si="19"/>
        <v>43</v>
      </c>
      <c r="B45" s="13">
        <f t="shared" si="20"/>
        <v>68</v>
      </c>
      <c r="C45" s="14" t="str">
        <f t="shared" si="21"/>
        <v>Retired</v>
      </c>
      <c r="D45" s="27">
        <f t="shared" si="22"/>
        <v>0</v>
      </c>
      <c r="E45" s="27">
        <f t="shared" si="23"/>
        <v>0</v>
      </c>
      <c r="F45" s="27">
        <f t="shared" si="24"/>
        <v>0</v>
      </c>
      <c r="G45" s="27">
        <f t="shared" si="25"/>
        <v>12036478.3901379</v>
      </c>
      <c r="H45" s="27">
        <f t="shared" si="26"/>
        <v>-12036478.3901379</v>
      </c>
      <c r="I45" s="27">
        <f t="shared" si="36"/>
        <v>370485662.61686957</v>
      </c>
      <c r="J45" s="27">
        <f t="shared" si="37"/>
        <v>350937744.04312611</v>
      </c>
      <c r="K45" s="15">
        <f t="shared" si="27"/>
        <v>2.4584455196363569E-2</v>
      </c>
      <c r="L45" s="15">
        <f t="shared" si="28"/>
        <v>8.162962353864732E-2</v>
      </c>
      <c r="M45" s="27">
        <f t="shared" si="29"/>
        <v>0</v>
      </c>
      <c r="N45" s="27">
        <f t="shared" si="30"/>
        <v>0</v>
      </c>
      <c r="O45" s="27">
        <f t="shared" si="31"/>
        <v>12719494.61031743</v>
      </c>
      <c r="P45" s="13">
        <f t="shared" si="32"/>
        <v>0</v>
      </c>
      <c r="Q45" s="13">
        <f t="shared" si="33"/>
        <v>1</v>
      </c>
      <c r="R45" s="13">
        <f t="shared" si="34"/>
        <v>68</v>
      </c>
      <c r="S45" s="13">
        <f t="shared" si="35"/>
        <v>99999</v>
      </c>
      <c r="U45" s="29"/>
    </row>
    <row r="46" spans="1:21" x14ac:dyDescent="0.3">
      <c r="A46" s="10">
        <f t="shared" si="19"/>
        <v>44</v>
      </c>
      <c r="B46" s="10">
        <f t="shared" si="20"/>
        <v>69</v>
      </c>
      <c r="C46" s="11" t="str">
        <f t="shared" si="21"/>
        <v>Retired</v>
      </c>
      <c r="D46" s="26">
        <f t="shared" si="22"/>
        <v>0</v>
      </c>
      <c r="E46" s="26">
        <f t="shared" si="23"/>
        <v>0</v>
      </c>
      <c r="F46" s="26">
        <f t="shared" si="24"/>
        <v>0</v>
      </c>
      <c r="G46" s="26">
        <f t="shared" si="25"/>
        <v>12758667.093546174</v>
      </c>
      <c r="H46" s="26">
        <f t="shared" si="26"/>
        <v>-12758667.093546174</v>
      </c>
      <c r="I46" s="26">
        <f t="shared" si="36"/>
        <v>391070705.15884173</v>
      </c>
      <c r="J46" s="26">
        <f t="shared" si="37"/>
        <v>370485662.61686957</v>
      </c>
      <c r="K46" s="12">
        <f t="shared" si="27"/>
        <v>2.2554546051709697E-2</v>
      </c>
      <c r="L46" s="12">
        <f t="shared" si="28"/>
        <v>7.7009078810044637E-2</v>
      </c>
      <c r="M46" s="26">
        <f t="shared" si="29"/>
        <v>0</v>
      </c>
      <c r="N46" s="26">
        <f t="shared" si="30"/>
        <v>0</v>
      </c>
      <c r="O46" s="26">
        <f t="shared" si="31"/>
        <v>13482664.286936477</v>
      </c>
      <c r="P46" s="10">
        <f t="shared" si="32"/>
        <v>0</v>
      </c>
      <c r="Q46" s="10">
        <f t="shared" si="33"/>
        <v>1</v>
      </c>
      <c r="R46" s="10">
        <f t="shared" si="34"/>
        <v>69</v>
      </c>
      <c r="S46" s="10">
        <f t="shared" si="35"/>
        <v>99999</v>
      </c>
      <c r="U46" s="29"/>
    </row>
    <row r="47" spans="1:21" x14ac:dyDescent="0.3">
      <c r="A47" s="13">
        <f t="shared" si="19"/>
        <v>45</v>
      </c>
      <c r="B47" s="13">
        <f t="shared" si="20"/>
        <v>70</v>
      </c>
      <c r="C47" s="14" t="str">
        <f t="shared" si="21"/>
        <v>Retired</v>
      </c>
      <c r="D47" s="27">
        <f t="shared" si="22"/>
        <v>0</v>
      </c>
      <c r="E47" s="27">
        <f t="shared" si="23"/>
        <v>0</v>
      </c>
      <c r="F47" s="27">
        <f t="shared" si="24"/>
        <v>0</v>
      </c>
      <c r="G47" s="27">
        <f t="shared" si="25"/>
        <v>13524187.119158948</v>
      </c>
      <c r="H47" s="27">
        <f t="shared" si="26"/>
        <v>-13524187.119158948</v>
      </c>
      <c r="I47" s="27">
        <f t="shared" si="36"/>
        <v>412742881.50397861</v>
      </c>
      <c r="J47" s="27">
        <f t="shared" si="37"/>
        <v>391070705.15884173</v>
      </c>
      <c r="K47" s="15">
        <f t="shared" si="27"/>
        <v>2.0692244084137335E-2</v>
      </c>
      <c r="L47" s="15">
        <f t="shared" si="28"/>
        <v>7.2650074349098717E-2</v>
      </c>
      <c r="M47" s="27">
        <f t="shared" si="29"/>
        <v>0</v>
      </c>
      <c r="N47" s="27">
        <f t="shared" si="30"/>
        <v>0</v>
      </c>
      <c r="O47" s="27">
        <f t="shared" si="31"/>
        <v>14291624.144152666</v>
      </c>
      <c r="P47" s="13">
        <f t="shared" si="32"/>
        <v>0</v>
      </c>
      <c r="Q47" s="13">
        <f t="shared" si="33"/>
        <v>1</v>
      </c>
      <c r="R47" s="13">
        <f t="shared" si="34"/>
        <v>70</v>
      </c>
      <c r="S47" s="13">
        <f t="shared" si="35"/>
        <v>99999</v>
      </c>
    </row>
    <row r="48" spans="1:21" x14ac:dyDescent="0.3">
      <c r="A48" s="10">
        <f t="shared" si="19"/>
        <v>46</v>
      </c>
      <c r="B48" s="10">
        <f t="shared" si="20"/>
        <v>71</v>
      </c>
      <c r="C48" s="11" t="str">
        <f t="shared" si="21"/>
        <v>Retired</v>
      </c>
      <c r="D48" s="26">
        <f t="shared" si="22"/>
        <v>0</v>
      </c>
      <c r="E48" s="26">
        <f t="shared" si="23"/>
        <v>0</v>
      </c>
      <c r="F48" s="26">
        <f t="shared" si="24"/>
        <v>0</v>
      </c>
      <c r="G48" s="26">
        <f t="shared" si="25"/>
        <v>14335638.346308485</v>
      </c>
      <c r="H48" s="26">
        <f t="shared" si="26"/>
        <v>-14335638.346308485</v>
      </c>
      <c r="I48" s="26">
        <f t="shared" si="36"/>
        <v>435554102.49302822</v>
      </c>
      <c r="J48" s="26">
        <f t="shared" si="37"/>
        <v>412742881.50397861</v>
      </c>
      <c r="K48" s="12">
        <f t="shared" si="27"/>
        <v>1.8983710168933333E-2</v>
      </c>
      <c r="L48" s="12">
        <f t="shared" si="28"/>
        <v>6.8537805989715761E-2</v>
      </c>
      <c r="M48" s="26">
        <f t="shared" si="29"/>
        <v>0</v>
      </c>
      <c r="N48" s="26">
        <f t="shared" si="30"/>
        <v>0</v>
      </c>
      <c r="O48" s="26">
        <f t="shared" si="31"/>
        <v>15149121.592801826</v>
      </c>
      <c r="P48" s="10">
        <f t="shared" si="32"/>
        <v>0</v>
      </c>
      <c r="Q48" s="10">
        <f t="shared" si="33"/>
        <v>1</v>
      </c>
      <c r="R48" s="10">
        <f t="shared" si="34"/>
        <v>71</v>
      </c>
      <c r="S48" s="10">
        <f t="shared" si="35"/>
        <v>99999</v>
      </c>
    </row>
    <row r="49" spans="1:19" x14ac:dyDescent="0.3">
      <c r="A49" s="13">
        <f t="shared" si="19"/>
        <v>47</v>
      </c>
      <c r="B49" s="13">
        <f t="shared" si="20"/>
        <v>72</v>
      </c>
      <c r="C49" s="14" t="str">
        <f t="shared" si="21"/>
        <v>Retired</v>
      </c>
      <c r="D49" s="27">
        <f t="shared" si="22"/>
        <v>0</v>
      </c>
      <c r="E49" s="27">
        <f t="shared" si="23"/>
        <v>0</v>
      </c>
      <c r="F49" s="27">
        <f t="shared" si="24"/>
        <v>0</v>
      </c>
      <c r="G49" s="27">
        <f t="shared" si="25"/>
        <v>15195776.647086997</v>
      </c>
      <c r="H49" s="27">
        <f t="shared" si="26"/>
        <v>-15195776.647086997</v>
      </c>
      <c r="I49" s="27">
        <f t="shared" si="36"/>
        <v>459558195.07031381</v>
      </c>
      <c r="J49" s="27">
        <f t="shared" si="37"/>
        <v>435554102.49302822</v>
      </c>
      <c r="K49" s="15">
        <f t="shared" si="27"/>
        <v>1.7416247861406726E-2</v>
      </c>
      <c r="L49" s="15">
        <f t="shared" si="28"/>
        <v>6.465830753746768E-2</v>
      </c>
      <c r="M49" s="27">
        <f t="shared" si="29"/>
        <v>0</v>
      </c>
      <c r="N49" s="27">
        <f t="shared" si="30"/>
        <v>0</v>
      </c>
      <c r="O49" s="27">
        <f t="shared" si="31"/>
        <v>16058068.88836994</v>
      </c>
      <c r="P49" s="13">
        <f t="shared" si="32"/>
        <v>0</v>
      </c>
      <c r="Q49" s="13">
        <f t="shared" si="33"/>
        <v>1</v>
      </c>
      <c r="R49" s="13">
        <f t="shared" si="34"/>
        <v>72</v>
      </c>
      <c r="S49" s="13">
        <f t="shared" si="35"/>
        <v>99999</v>
      </c>
    </row>
    <row r="50" spans="1:19" x14ac:dyDescent="0.3">
      <c r="A50" s="10">
        <f t="shared" si="19"/>
        <v>48</v>
      </c>
      <c r="B50" s="10">
        <f t="shared" si="20"/>
        <v>73</v>
      </c>
      <c r="C50" s="11" t="str">
        <f t="shared" si="21"/>
        <v>Retired</v>
      </c>
      <c r="D50" s="26">
        <f t="shared" si="22"/>
        <v>0</v>
      </c>
      <c r="E50" s="26">
        <f t="shared" si="23"/>
        <v>0</v>
      </c>
      <c r="F50" s="26">
        <f t="shared" si="24"/>
        <v>0</v>
      </c>
      <c r="G50" s="26">
        <f t="shared" si="25"/>
        <v>16107523.245912215</v>
      </c>
      <c r="H50" s="26">
        <f t="shared" si="26"/>
        <v>-16107523.245912215</v>
      </c>
      <c r="I50" s="26">
        <f t="shared" si="36"/>
        <v>484810909.38072991</v>
      </c>
      <c r="J50" s="26">
        <f t="shared" si="37"/>
        <v>459558195.07031381</v>
      </c>
      <c r="K50" s="12">
        <f t="shared" si="27"/>
        <v>1.5978209047162135E-2</v>
      </c>
      <c r="L50" s="12">
        <f t="shared" si="28"/>
        <v>6.0998403337233678E-2</v>
      </c>
      <c r="M50" s="26">
        <f t="shared" si="29"/>
        <v>0</v>
      </c>
      <c r="N50" s="26">
        <f t="shared" si="30"/>
        <v>0</v>
      </c>
      <c r="O50" s="26">
        <f t="shared" si="31"/>
        <v>17021553.021672133</v>
      </c>
      <c r="P50" s="10">
        <f t="shared" si="32"/>
        <v>0</v>
      </c>
      <c r="Q50" s="10">
        <f t="shared" si="33"/>
        <v>1</v>
      </c>
      <c r="R50" s="10">
        <f t="shared" si="34"/>
        <v>73</v>
      </c>
      <c r="S50" s="10">
        <f t="shared" si="35"/>
        <v>99999</v>
      </c>
    </row>
    <row r="51" spans="1:19" x14ac:dyDescent="0.3">
      <c r="A51" s="13">
        <f t="shared" si="19"/>
        <v>49</v>
      </c>
      <c r="B51" s="13">
        <f t="shared" si="20"/>
        <v>74</v>
      </c>
      <c r="C51" s="14" t="str">
        <f t="shared" si="21"/>
        <v>Retired</v>
      </c>
      <c r="D51" s="27">
        <f t="shared" si="22"/>
        <v>0</v>
      </c>
      <c r="E51" s="27">
        <f t="shared" si="23"/>
        <v>0</v>
      </c>
      <c r="F51" s="27">
        <f t="shared" si="24"/>
        <v>0</v>
      </c>
      <c r="G51" s="27">
        <f t="shared" si="25"/>
        <v>17073974.640666954</v>
      </c>
      <c r="H51" s="27">
        <f t="shared" si="26"/>
        <v>-17073974.640666954</v>
      </c>
      <c r="I51" s="27">
        <f t="shared" si="36"/>
        <v>511369916.58432871</v>
      </c>
      <c r="J51" s="27">
        <f t="shared" si="37"/>
        <v>484810909.38072991</v>
      </c>
      <c r="K51" s="15">
        <f t="shared" si="27"/>
        <v>1.4658907382717554E-2</v>
      </c>
      <c r="L51" s="15">
        <f t="shared" si="28"/>
        <v>5.7545663525692139E-2</v>
      </c>
      <c r="M51" s="27">
        <f t="shared" si="29"/>
        <v>0</v>
      </c>
      <c r="N51" s="27">
        <f t="shared" si="30"/>
        <v>0</v>
      </c>
      <c r="O51" s="27">
        <f t="shared" si="31"/>
        <v>18042846.202972464</v>
      </c>
      <c r="P51" s="13">
        <f t="shared" si="32"/>
        <v>0</v>
      </c>
      <c r="Q51" s="13">
        <f t="shared" si="33"/>
        <v>1</v>
      </c>
      <c r="R51" s="13">
        <f t="shared" si="34"/>
        <v>74</v>
      </c>
      <c r="S51" s="13">
        <f t="shared" si="35"/>
        <v>99999</v>
      </c>
    </row>
    <row r="52" spans="1:19" x14ac:dyDescent="0.3">
      <c r="A52" s="10">
        <f t="shared" si="19"/>
        <v>50</v>
      </c>
      <c r="B52" s="10">
        <f t="shared" si="20"/>
        <v>75</v>
      </c>
      <c r="C52" s="11" t="str">
        <f t="shared" si="21"/>
        <v>Retired</v>
      </c>
      <c r="D52" s="26">
        <f t="shared" si="22"/>
        <v>0</v>
      </c>
      <c r="E52" s="26">
        <f t="shared" si="23"/>
        <v>0</v>
      </c>
      <c r="F52" s="26">
        <f t="shared" si="24"/>
        <v>0</v>
      </c>
      <c r="G52" s="26">
        <f t="shared" si="25"/>
        <v>18098413.119106967</v>
      </c>
      <c r="H52" s="26">
        <f t="shared" si="26"/>
        <v>-18098413.119106967</v>
      </c>
      <c r="I52" s="26">
        <f t="shared" si="36"/>
        <v>539294795.95781136</v>
      </c>
      <c r="J52" s="26">
        <f t="shared" si="37"/>
        <v>511369916.58432871</v>
      </c>
      <c r="K52" s="12">
        <f t="shared" si="27"/>
        <v>1.3448538883227112E-2</v>
      </c>
      <c r="L52" s="12">
        <f t="shared" si="28"/>
        <v>5.4288361816690701E-2</v>
      </c>
      <c r="M52" s="26">
        <f t="shared" si="29"/>
        <v>0</v>
      </c>
      <c r="N52" s="26">
        <f t="shared" si="30"/>
        <v>0</v>
      </c>
      <c r="O52" s="26">
        <f t="shared" si="31"/>
        <v>19125416.975150809</v>
      </c>
      <c r="P52" s="10">
        <f t="shared" si="32"/>
        <v>0</v>
      </c>
      <c r="Q52" s="10">
        <f t="shared" si="33"/>
        <v>1</v>
      </c>
      <c r="R52" s="10">
        <f t="shared" si="34"/>
        <v>75</v>
      </c>
      <c r="S52" s="10">
        <f t="shared" si="35"/>
        <v>99999</v>
      </c>
    </row>
    <row r="53" spans="1:19" x14ac:dyDescent="0.3">
      <c r="A53" s="13">
        <f t="shared" si="19"/>
        <v>51</v>
      </c>
      <c r="B53" s="13">
        <f t="shared" si="20"/>
        <v>76</v>
      </c>
      <c r="C53" s="14" t="str">
        <f t="shared" si="21"/>
        <v>Retired</v>
      </c>
      <c r="D53" s="27">
        <f t="shared" si="22"/>
        <v>0</v>
      </c>
      <c r="E53" s="27">
        <f t="shared" si="23"/>
        <v>0</v>
      </c>
      <c r="F53" s="27">
        <f t="shared" si="24"/>
        <v>0</v>
      </c>
      <c r="G53" s="27">
        <f t="shared" si="25"/>
        <v>19184317.906253386</v>
      </c>
      <c r="H53" s="27">
        <f t="shared" si="26"/>
        <v>-19184317.906253386</v>
      </c>
      <c r="I53" s="27">
        <f t="shared" si="36"/>
        <v>568647009.68776107</v>
      </c>
      <c r="J53" s="27">
        <f t="shared" si="37"/>
        <v>539294795.95781136</v>
      </c>
      <c r="K53" s="15">
        <f t="shared" si="27"/>
        <v>1.2338109067180835E-2</v>
      </c>
      <c r="L53" s="15">
        <f t="shared" si="28"/>
        <v>5.12154356761233E-2</v>
      </c>
      <c r="M53" s="27">
        <f t="shared" si="29"/>
        <v>0</v>
      </c>
      <c r="N53" s="27">
        <f t="shared" si="30"/>
        <v>0</v>
      </c>
      <c r="O53" s="27">
        <f t="shared" si="31"/>
        <v>20272941.993659861</v>
      </c>
      <c r="P53" s="13">
        <f t="shared" si="32"/>
        <v>0</v>
      </c>
      <c r="Q53" s="13">
        <f t="shared" si="33"/>
        <v>1</v>
      </c>
      <c r="R53" s="13">
        <f t="shared" si="34"/>
        <v>76</v>
      </c>
      <c r="S53" s="13">
        <f t="shared" si="35"/>
        <v>99999</v>
      </c>
    </row>
    <row r="54" spans="1:19" x14ac:dyDescent="0.3">
      <c r="A54" s="10">
        <f t="shared" si="19"/>
        <v>52</v>
      </c>
      <c r="B54" s="10">
        <f t="shared" si="20"/>
        <v>77</v>
      </c>
      <c r="C54" s="11" t="str">
        <f t="shared" si="21"/>
        <v>Retired</v>
      </c>
      <c r="D54" s="26">
        <f t="shared" si="22"/>
        <v>0</v>
      </c>
      <c r="E54" s="26">
        <f t="shared" si="23"/>
        <v>0</v>
      </c>
      <c r="F54" s="26">
        <f t="shared" si="24"/>
        <v>0</v>
      </c>
      <c r="G54" s="26">
        <f t="shared" si="25"/>
        <v>20335376.980628587</v>
      </c>
      <c r="H54" s="26">
        <f t="shared" si="26"/>
        <v>-20335376.980628587</v>
      </c>
      <c r="I54" s="26">
        <f t="shared" si="36"/>
        <v>599489863.57903099</v>
      </c>
      <c r="J54" s="26">
        <f t="shared" si="37"/>
        <v>568647009.68776107</v>
      </c>
      <c r="K54" s="12">
        <f t="shared" si="27"/>
        <v>1.1319366116679667E-2</v>
      </c>
      <c r="L54" s="12">
        <f t="shared" si="28"/>
        <v>4.8316448751059712E-2</v>
      </c>
      <c r="M54" s="26">
        <f t="shared" si="29"/>
        <v>0</v>
      </c>
      <c r="N54" s="26">
        <f t="shared" si="30"/>
        <v>0</v>
      </c>
      <c r="O54" s="26">
        <f t="shared" si="31"/>
        <v>21489318.513279453</v>
      </c>
      <c r="P54" s="10">
        <f t="shared" si="32"/>
        <v>0</v>
      </c>
      <c r="Q54" s="10">
        <f t="shared" si="33"/>
        <v>1</v>
      </c>
      <c r="R54" s="10">
        <f t="shared" si="34"/>
        <v>77</v>
      </c>
      <c r="S54" s="10">
        <f t="shared" si="35"/>
        <v>99999</v>
      </c>
    </row>
    <row r="55" spans="1:19" x14ac:dyDescent="0.3">
      <c r="A55" s="13">
        <f t="shared" si="19"/>
        <v>53</v>
      </c>
      <c r="B55" s="13">
        <f t="shared" si="20"/>
        <v>78</v>
      </c>
      <c r="C55" s="14" t="str">
        <f t="shared" si="21"/>
        <v>Retired</v>
      </c>
      <c r="D55" s="27">
        <f t="shared" si="22"/>
        <v>0</v>
      </c>
      <c r="E55" s="27">
        <f t="shared" si="23"/>
        <v>0</v>
      </c>
      <c r="F55" s="27">
        <f t="shared" si="24"/>
        <v>0</v>
      </c>
      <c r="G55" s="27">
        <f t="shared" si="25"/>
        <v>21555499.599466305</v>
      </c>
      <c r="H55" s="27">
        <f t="shared" si="26"/>
        <v>-21555499.599466305</v>
      </c>
      <c r="I55" s="27">
        <f t="shared" si="36"/>
        <v>631888451.70167756</v>
      </c>
      <c r="J55" s="27">
        <f t="shared" si="37"/>
        <v>599489863.57903099</v>
      </c>
      <c r="K55" s="15">
        <f t="shared" si="27"/>
        <v>1.038473955658685E-2</v>
      </c>
      <c r="L55" s="15">
        <f t="shared" si="28"/>
        <v>4.5581555425528025E-2</v>
      </c>
      <c r="M55" s="27">
        <f t="shared" si="29"/>
        <v>0</v>
      </c>
      <c r="N55" s="27">
        <f t="shared" si="30"/>
        <v>0</v>
      </c>
      <c r="O55" s="27">
        <f t="shared" si="31"/>
        <v>22778677.624076225</v>
      </c>
      <c r="P55" s="13">
        <f t="shared" si="32"/>
        <v>0</v>
      </c>
      <c r="Q55" s="13">
        <f t="shared" si="33"/>
        <v>1</v>
      </c>
      <c r="R55" s="13">
        <f t="shared" si="34"/>
        <v>78</v>
      </c>
      <c r="S55" s="13">
        <f t="shared" si="35"/>
        <v>99999</v>
      </c>
    </row>
    <row r="56" spans="1:19" x14ac:dyDescent="0.3">
      <c r="A56" s="10">
        <f t="shared" si="19"/>
        <v>54</v>
      </c>
      <c r="B56" s="10">
        <f t="shared" si="20"/>
        <v>79</v>
      </c>
      <c r="C56" s="11" t="str">
        <f t="shared" si="21"/>
        <v>Retired</v>
      </c>
      <c r="D56" s="26">
        <f t="shared" si="22"/>
        <v>0</v>
      </c>
      <c r="E56" s="26">
        <f t="shared" si="23"/>
        <v>0</v>
      </c>
      <c r="F56" s="26">
        <f t="shared" si="24"/>
        <v>0</v>
      </c>
      <c r="G56" s="26">
        <f t="shared" si="25"/>
        <v>22848829.575434282</v>
      </c>
      <c r="H56" s="26">
        <f t="shared" si="26"/>
        <v>-22848829.575434282</v>
      </c>
      <c r="I56" s="26">
        <f t="shared" si="36"/>
        <v>665909582.77939427</v>
      </c>
      <c r="J56" s="26">
        <f t="shared" si="37"/>
        <v>631888451.70167756</v>
      </c>
      <c r="K56" s="12">
        <f t="shared" si="27"/>
        <v>9.5272839968686684E-3</v>
      </c>
      <c r="L56" s="12">
        <f t="shared" si="28"/>
        <v>4.3001467382573606E-2</v>
      </c>
      <c r="M56" s="26">
        <f t="shared" si="29"/>
        <v>0</v>
      </c>
      <c r="N56" s="26">
        <f t="shared" si="30"/>
        <v>0</v>
      </c>
      <c r="O56" s="26">
        <f t="shared" si="31"/>
        <v>24145398.281520799</v>
      </c>
      <c r="P56" s="10">
        <f t="shared" si="32"/>
        <v>0</v>
      </c>
      <c r="Q56" s="10">
        <f t="shared" si="33"/>
        <v>1</v>
      </c>
      <c r="R56" s="10">
        <f t="shared" si="34"/>
        <v>79</v>
      </c>
      <c r="S56" s="10">
        <f t="shared" si="35"/>
        <v>99999</v>
      </c>
    </row>
    <row r="57" spans="1:19" x14ac:dyDescent="0.3">
      <c r="A57" s="13">
        <f t="shared" si="19"/>
        <v>55</v>
      </c>
      <c r="B57" s="13">
        <f t="shared" si="20"/>
        <v>80</v>
      </c>
      <c r="C57" s="14" t="str">
        <f t="shared" si="21"/>
        <v>Retired</v>
      </c>
      <c r="D57" s="27">
        <f t="shared" si="22"/>
        <v>0</v>
      </c>
      <c r="E57" s="27">
        <f t="shared" si="23"/>
        <v>0</v>
      </c>
      <c r="F57" s="27">
        <f t="shared" si="24"/>
        <v>0</v>
      </c>
      <c r="G57" s="27">
        <f t="shared" si="25"/>
        <v>24219759.349960346</v>
      </c>
      <c r="H57" s="27">
        <f t="shared" si="26"/>
        <v>-24219759.349960346</v>
      </c>
      <c r="I57" s="27">
        <f t="shared" si="36"/>
        <v>701621685.87957942</v>
      </c>
      <c r="J57" s="27">
        <f t="shared" si="37"/>
        <v>665909582.77939427</v>
      </c>
      <c r="K57" s="15">
        <f t="shared" si="27"/>
        <v>8.7406275200629987E-3</v>
      </c>
      <c r="L57" s="15">
        <f t="shared" si="28"/>
        <v>4.0567422059031695E-2</v>
      </c>
      <c r="M57" s="27">
        <f t="shared" si="29"/>
        <v>0</v>
      </c>
      <c r="N57" s="27">
        <f t="shared" si="30"/>
        <v>0</v>
      </c>
      <c r="O57" s="27">
        <f t="shared" si="31"/>
        <v>25594122.17841205</v>
      </c>
      <c r="P57" s="13">
        <f t="shared" si="32"/>
        <v>0</v>
      </c>
      <c r="Q57" s="13">
        <f t="shared" si="33"/>
        <v>1</v>
      </c>
      <c r="R57" s="13">
        <f t="shared" si="34"/>
        <v>80</v>
      </c>
      <c r="S57" s="13">
        <f t="shared" si="35"/>
        <v>99999</v>
      </c>
    </row>
    <row r="58" spans="1:19" x14ac:dyDescent="0.3">
      <c r="A58" s="10">
        <f t="shared" si="19"/>
        <v>56</v>
      </c>
      <c r="B58" s="10">
        <f t="shared" si="20"/>
        <v>81</v>
      </c>
      <c r="C58" s="11" t="str">
        <f t="shared" si="21"/>
        <v>Retired</v>
      </c>
      <c r="D58" s="26">
        <f t="shared" si="22"/>
        <v>0</v>
      </c>
      <c r="E58" s="26">
        <f t="shared" si="23"/>
        <v>0</v>
      </c>
      <c r="F58" s="26">
        <f t="shared" si="24"/>
        <v>0</v>
      </c>
      <c r="G58" s="26">
        <f t="shared" si="25"/>
        <v>25672944.910957966</v>
      </c>
      <c r="H58" s="26">
        <f t="shared" si="26"/>
        <v>-25672944.910957966</v>
      </c>
      <c r="I58" s="26">
        <f t="shared" si="36"/>
        <v>739094692.69778371</v>
      </c>
      <c r="J58" s="26">
        <f t="shared" si="37"/>
        <v>701621685.87957942</v>
      </c>
      <c r="K58" s="12">
        <f t="shared" si="27"/>
        <v>8.018924330333025E-3</v>
      </c>
      <c r="L58" s="12">
        <f t="shared" si="28"/>
        <v>3.827115288587897E-2</v>
      </c>
      <c r="M58" s="26">
        <f t="shared" si="29"/>
        <v>0</v>
      </c>
      <c r="N58" s="26">
        <f t="shared" si="30"/>
        <v>0</v>
      </c>
      <c r="O58" s="26">
        <f t="shared" si="31"/>
        <v>27129769.509116769</v>
      </c>
      <c r="P58" s="10">
        <f t="shared" si="32"/>
        <v>0</v>
      </c>
      <c r="Q58" s="10">
        <f t="shared" si="33"/>
        <v>1</v>
      </c>
      <c r="R58" s="10">
        <f t="shared" si="34"/>
        <v>81</v>
      </c>
      <c r="S58" s="10">
        <f t="shared" si="35"/>
        <v>99999</v>
      </c>
    </row>
    <row r="59" spans="1:19" x14ac:dyDescent="0.3">
      <c r="A59" s="13">
        <f t="shared" si="19"/>
        <v>57</v>
      </c>
      <c r="B59" s="13">
        <f t="shared" si="20"/>
        <v>82</v>
      </c>
      <c r="C59" s="14" t="str">
        <f t="shared" si="21"/>
        <v>Retired</v>
      </c>
      <c r="D59" s="27">
        <f t="shared" si="22"/>
        <v>0</v>
      </c>
      <c r="E59" s="27">
        <f t="shared" si="23"/>
        <v>0</v>
      </c>
      <c r="F59" s="27">
        <f t="shared" si="24"/>
        <v>0</v>
      </c>
      <c r="G59" s="27">
        <f t="shared" si="25"/>
        <v>27213321.605615448</v>
      </c>
      <c r="H59" s="27">
        <f t="shared" si="26"/>
        <v>-27213321.605615448</v>
      </c>
      <c r="I59" s="27">
        <f t="shared" si="36"/>
        <v>778399893.43496883</v>
      </c>
      <c r="J59" s="27">
        <f t="shared" si="37"/>
        <v>739094692.69778371</v>
      </c>
      <c r="K59" s="15">
        <f t="shared" si="27"/>
        <v>7.3568113122321329E-3</v>
      </c>
      <c r="L59" s="15">
        <f t="shared" si="28"/>
        <v>3.6104861213093364E-2</v>
      </c>
      <c r="M59" s="27">
        <f t="shared" si="29"/>
        <v>0</v>
      </c>
      <c r="N59" s="27">
        <f t="shared" si="30"/>
        <v>0</v>
      </c>
      <c r="O59" s="27">
        <f t="shared" si="31"/>
        <v>28757555.679663774</v>
      </c>
      <c r="P59" s="13">
        <f t="shared" si="32"/>
        <v>0</v>
      </c>
      <c r="Q59" s="13">
        <f t="shared" si="33"/>
        <v>1</v>
      </c>
      <c r="R59" s="13">
        <f t="shared" si="34"/>
        <v>82</v>
      </c>
      <c r="S59" s="13">
        <f t="shared" si="35"/>
        <v>99999</v>
      </c>
    </row>
    <row r="60" spans="1:19" x14ac:dyDescent="0.3">
      <c r="A60" s="10">
        <f t="shared" si="19"/>
        <v>58</v>
      </c>
      <c r="B60" s="10">
        <f t="shared" si="20"/>
        <v>83</v>
      </c>
      <c r="C60" s="11" t="str">
        <f t="shared" si="21"/>
        <v>Retired</v>
      </c>
      <c r="D60" s="26">
        <f t="shared" si="22"/>
        <v>0</v>
      </c>
      <c r="E60" s="26">
        <f t="shared" si="23"/>
        <v>0</v>
      </c>
      <c r="F60" s="26">
        <f t="shared" si="24"/>
        <v>0</v>
      </c>
      <c r="G60" s="26">
        <f t="shared" si="25"/>
        <v>28846120.901952371</v>
      </c>
      <c r="H60" s="26">
        <f t="shared" si="26"/>
        <v>-28846120.901952371</v>
      </c>
      <c r="I60" s="26">
        <f t="shared" si="36"/>
        <v>819609762.94216371</v>
      </c>
      <c r="J60" s="26">
        <f t="shared" si="37"/>
        <v>778399893.43496883</v>
      </c>
      <c r="K60" s="12">
        <f t="shared" si="27"/>
        <v>6.7493681763597544E-3</v>
      </c>
      <c r="L60" s="12">
        <f t="shared" si="28"/>
        <v>3.406118982367299E-2</v>
      </c>
      <c r="M60" s="26">
        <f t="shared" si="29"/>
        <v>0</v>
      </c>
      <c r="N60" s="26">
        <f t="shared" si="30"/>
        <v>0</v>
      </c>
      <c r="O60" s="26">
        <f t="shared" si="31"/>
        <v>30483009.0204436</v>
      </c>
      <c r="P60" s="10">
        <f t="shared" si="32"/>
        <v>0</v>
      </c>
      <c r="Q60" s="10">
        <f t="shared" si="33"/>
        <v>1</v>
      </c>
      <c r="R60" s="10">
        <f t="shared" si="34"/>
        <v>83</v>
      </c>
      <c r="S60" s="10">
        <f t="shared" si="35"/>
        <v>99999</v>
      </c>
    </row>
    <row r="61" spans="1:19" x14ac:dyDescent="0.3">
      <c r="A61" s="13">
        <f t="shared" si="19"/>
        <v>59</v>
      </c>
      <c r="B61" s="13">
        <f t="shared" si="20"/>
        <v>84</v>
      </c>
      <c r="C61" s="14" t="str">
        <f t="shared" si="21"/>
        <v>Retired</v>
      </c>
      <c r="D61" s="27">
        <f t="shared" si="22"/>
        <v>0</v>
      </c>
      <c r="E61" s="27">
        <f t="shared" si="23"/>
        <v>0</v>
      </c>
      <c r="F61" s="27">
        <f t="shared" si="24"/>
        <v>0</v>
      </c>
      <c r="G61" s="27">
        <f t="shared" si="25"/>
        <v>30576888.156069513</v>
      </c>
      <c r="H61" s="27">
        <f t="shared" si="26"/>
        <v>-30576888.156069513</v>
      </c>
      <c r="I61" s="27">
        <f t="shared" si="36"/>
        <v>862797753.45088899</v>
      </c>
      <c r="J61" s="27">
        <f t="shared" si="37"/>
        <v>819609762.94216371</v>
      </c>
      <c r="K61" s="15">
        <f t="shared" si="27"/>
        <v>6.1920808957428939E-3</v>
      </c>
      <c r="L61" s="15">
        <f t="shared" si="28"/>
        <v>3.21331979468613E-2</v>
      </c>
      <c r="M61" s="27">
        <f t="shared" si="29"/>
        <v>0</v>
      </c>
      <c r="N61" s="27">
        <f t="shared" si="30"/>
        <v>0</v>
      </c>
      <c r="O61" s="27">
        <f t="shared" si="31"/>
        <v>32311989.561670225</v>
      </c>
      <c r="P61" s="13">
        <f t="shared" si="32"/>
        <v>0</v>
      </c>
      <c r="Q61" s="13">
        <f t="shared" si="33"/>
        <v>1</v>
      </c>
      <c r="R61" s="13">
        <f t="shared" si="34"/>
        <v>84</v>
      </c>
      <c r="S61" s="13">
        <f t="shared" si="35"/>
        <v>99999</v>
      </c>
    </row>
    <row r="62" spans="1:19" x14ac:dyDescent="0.3">
      <c r="A62" s="10">
        <f t="shared" si="19"/>
        <v>60</v>
      </c>
      <c r="B62" s="10">
        <f t="shared" si="20"/>
        <v>85</v>
      </c>
      <c r="C62" s="11" t="str">
        <f t="shared" si="21"/>
        <v>—</v>
      </c>
      <c r="D62" s="26">
        <f t="shared" si="22"/>
        <v>0</v>
      </c>
      <c r="E62" s="26">
        <f t="shared" si="23"/>
        <v>0</v>
      </c>
      <c r="F62" s="26">
        <f t="shared" si="24"/>
        <v>0</v>
      </c>
      <c r="G62" s="26">
        <f t="shared" si="25"/>
        <v>0</v>
      </c>
      <c r="H62" s="26">
        <f t="shared" si="26"/>
        <v>0</v>
      </c>
      <c r="I62" s="26">
        <f t="shared" si="36"/>
        <v>862797753.45088899</v>
      </c>
      <c r="J62" s="26">
        <f t="shared" si="37"/>
        <v>862797753.45088899</v>
      </c>
      <c r="K62" s="12">
        <f t="shared" si="27"/>
        <v>5.6808081612320128E-3</v>
      </c>
      <c r="L62" s="12">
        <f t="shared" si="28"/>
        <v>3.0314337685718208E-2</v>
      </c>
      <c r="M62" s="26">
        <f t="shared" si="29"/>
        <v>0</v>
      </c>
      <c r="N62" s="26">
        <f t="shared" si="30"/>
        <v>0</v>
      </c>
      <c r="O62" s="26">
        <f t="shared" si="31"/>
        <v>0</v>
      </c>
      <c r="P62" s="10">
        <f t="shared" si="32"/>
        <v>0</v>
      </c>
      <c r="Q62" s="10">
        <f t="shared" si="33"/>
        <v>0</v>
      </c>
      <c r="R62" s="10">
        <f t="shared" si="34"/>
        <v>99999</v>
      </c>
      <c r="S62" s="10">
        <f t="shared" si="35"/>
        <v>99999</v>
      </c>
    </row>
    <row r="63" spans="1:19" x14ac:dyDescent="0.3">
      <c r="A63" s="13">
        <f t="shared" si="19"/>
        <v>61</v>
      </c>
      <c r="B63" s="13">
        <f t="shared" si="20"/>
        <v>86</v>
      </c>
      <c r="C63" s="14" t="str">
        <f t="shared" si="21"/>
        <v>—</v>
      </c>
      <c r="D63" s="27">
        <f t="shared" si="22"/>
        <v>0</v>
      </c>
      <c r="E63" s="27">
        <f t="shared" si="23"/>
        <v>0</v>
      </c>
      <c r="F63" s="27">
        <f t="shared" si="24"/>
        <v>0</v>
      </c>
      <c r="G63" s="27">
        <f t="shared" si="25"/>
        <v>0</v>
      </c>
      <c r="H63" s="27">
        <f t="shared" si="26"/>
        <v>0</v>
      </c>
      <c r="I63" s="27">
        <f t="shared" si="36"/>
        <v>862797753.45088899</v>
      </c>
      <c r="J63" s="27">
        <f t="shared" si="37"/>
        <v>862797753.45088899</v>
      </c>
      <c r="K63" s="15">
        <f t="shared" si="27"/>
        <v>5.2117506066348736E-3</v>
      </c>
      <c r="L63" s="15">
        <f t="shared" si="28"/>
        <v>2.8598431778979437E-2</v>
      </c>
      <c r="M63" s="27">
        <f t="shared" si="29"/>
        <v>0</v>
      </c>
      <c r="N63" s="27">
        <f t="shared" si="30"/>
        <v>0</v>
      </c>
      <c r="O63" s="27">
        <f t="shared" si="31"/>
        <v>0</v>
      </c>
      <c r="P63" s="13">
        <f t="shared" si="32"/>
        <v>0</v>
      </c>
      <c r="Q63" s="13">
        <f t="shared" si="33"/>
        <v>0</v>
      </c>
      <c r="R63" s="13">
        <f t="shared" si="34"/>
        <v>99999</v>
      </c>
      <c r="S63" s="13">
        <f t="shared" si="35"/>
        <v>99999</v>
      </c>
    </row>
    <row r="64" spans="1:19" x14ac:dyDescent="0.3">
      <c r="A64" s="10">
        <f t="shared" si="19"/>
        <v>62</v>
      </c>
      <c r="B64" s="10">
        <f t="shared" si="20"/>
        <v>87</v>
      </c>
      <c r="C64" s="11" t="str">
        <f t="shared" si="21"/>
        <v>—</v>
      </c>
      <c r="D64" s="26">
        <f t="shared" si="22"/>
        <v>0</v>
      </c>
      <c r="E64" s="26">
        <f t="shared" si="23"/>
        <v>0</v>
      </c>
      <c r="F64" s="26">
        <f t="shared" si="24"/>
        <v>0</v>
      </c>
      <c r="G64" s="26">
        <f t="shared" si="25"/>
        <v>0</v>
      </c>
      <c r="H64" s="26">
        <f t="shared" si="26"/>
        <v>0</v>
      </c>
      <c r="I64" s="26">
        <f t="shared" si="36"/>
        <v>862797753.45088899</v>
      </c>
      <c r="J64" s="26">
        <f t="shared" si="37"/>
        <v>862797753.45088899</v>
      </c>
      <c r="K64" s="12">
        <f t="shared" si="27"/>
        <v>4.7814225748943782E-3</v>
      </c>
      <c r="L64" s="12">
        <f t="shared" si="28"/>
        <v>2.6979652621678712E-2</v>
      </c>
      <c r="M64" s="26">
        <f t="shared" si="29"/>
        <v>0</v>
      </c>
      <c r="N64" s="26">
        <f t="shared" si="30"/>
        <v>0</v>
      </c>
      <c r="O64" s="26">
        <f t="shared" si="31"/>
        <v>0</v>
      </c>
      <c r="P64" s="10">
        <f t="shared" si="32"/>
        <v>0</v>
      </c>
      <c r="Q64" s="10">
        <f t="shared" si="33"/>
        <v>0</v>
      </c>
      <c r="R64" s="10">
        <f t="shared" si="34"/>
        <v>99999</v>
      </c>
      <c r="S64" s="10">
        <f t="shared" si="35"/>
        <v>99999</v>
      </c>
    </row>
    <row r="65" spans="1:19" x14ac:dyDescent="0.3">
      <c r="A65" s="13">
        <f t="shared" si="19"/>
        <v>63</v>
      </c>
      <c r="B65" s="13">
        <f t="shared" si="20"/>
        <v>88</v>
      </c>
      <c r="C65" s="14" t="str">
        <f t="shared" si="21"/>
        <v>—</v>
      </c>
      <c r="D65" s="27">
        <f t="shared" si="22"/>
        <v>0</v>
      </c>
      <c r="E65" s="27">
        <f t="shared" si="23"/>
        <v>0</v>
      </c>
      <c r="F65" s="27">
        <f t="shared" si="24"/>
        <v>0</v>
      </c>
      <c r="G65" s="27">
        <f t="shared" si="25"/>
        <v>0</v>
      </c>
      <c r="H65" s="27">
        <f t="shared" si="26"/>
        <v>0</v>
      </c>
      <c r="I65" s="27">
        <f t="shared" si="36"/>
        <v>862797753.45088899</v>
      </c>
      <c r="J65" s="27">
        <f t="shared" si="37"/>
        <v>862797753.45088899</v>
      </c>
      <c r="K65" s="15">
        <f t="shared" si="27"/>
        <v>4.3866262154994302E-3</v>
      </c>
      <c r="L65" s="15">
        <f t="shared" si="28"/>
        <v>2.5452502473281798E-2</v>
      </c>
      <c r="M65" s="27">
        <f t="shared" si="29"/>
        <v>0</v>
      </c>
      <c r="N65" s="27">
        <f t="shared" si="30"/>
        <v>0</v>
      </c>
      <c r="O65" s="27">
        <f t="shared" si="31"/>
        <v>0</v>
      </c>
      <c r="P65" s="13">
        <f t="shared" si="32"/>
        <v>0</v>
      </c>
      <c r="Q65" s="13">
        <f t="shared" si="33"/>
        <v>0</v>
      </c>
      <c r="R65" s="13">
        <f t="shared" si="34"/>
        <v>99999</v>
      </c>
      <c r="S65" s="13">
        <f t="shared" si="35"/>
        <v>99999</v>
      </c>
    </row>
    <row r="66" spans="1:19" x14ac:dyDescent="0.3">
      <c r="A66" s="10">
        <f t="shared" ref="A66:A85" si="38">ROW()-2</f>
        <v>64</v>
      </c>
      <c r="B66" s="10">
        <f t="shared" ref="B66:B85" si="39">startAge+A66</f>
        <v>89</v>
      </c>
      <c r="C66" s="11" t="str">
        <f t="shared" ref="C66:C85" si="40">IF(B66&lt;retireAge,"Working",IF(B66&lt;lifeExp,"Retired","—"))</f>
        <v>—</v>
      </c>
      <c r="D66" s="26">
        <f t="shared" ref="D66:D85" si="41">IF(B66&lt;retireAge, ctc*(1+gInc)^A66, 0)</f>
        <v>0</v>
      </c>
      <c r="E66" s="26">
        <f t="shared" ref="E66:E85" si="42">D66*tax</f>
        <v>0</v>
      </c>
      <c r="F66" s="26">
        <f t="shared" ref="F66:F85" si="43">D66-E66</f>
        <v>0</v>
      </c>
      <c r="G66" s="26">
        <f t="shared" ref="G66:G85" si="44">IF(B66&gt;=lifeExp,0,IF(B66&lt;retireAge, C0*(1+gExp)^A66, Clast*(1+infl)^(A66-(Nwork-1))))</f>
        <v>0</v>
      </c>
      <c r="H66" s="26">
        <f t="shared" ref="H66:H85" si="45">IF(B66&gt;=lifeExp,0,F66-G66)</f>
        <v>0</v>
      </c>
      <c r="I66" s="26">
        <f t="shared" si="36"/>
        <v>862797753.45088899</v>
      </c>
      <c r="J66" s="26">
        <f t="shared" si="37"/>
        <v>862797753.45088899</v>
      </c>
      <c r="K66" s="12">
        <f t="shared" ref="K66:K85" si="46">1/(1+disc)^A66</f>
        <v>4.0244277206416788E-3</v>
      </c>
      <c r="L66" s="12">
        <f t="shared" ref="L66:L85" si="47">1/(1+infl)^A66</f>
        <v>2.4011794786114912E-2</v>
      </c>
      <c r="M66" s="26">
        <f t="shared" ref="M66:M85" si="48">F66*K66</f>
        <v>0</v>
      </c>
      <c r="N66" s="26">
        <f t="shared" ref="N66:N85" si="49">(1+disc)^A66*SUMPRODUCT((pAge&gt;=B66)*pPVpx)</f>
        <v>0</v>
      </c>
      <c r="O66" s="26">
        <f t="shared" ref="O66:O85" si="50">IF(B66&lt;lifeExp, cpReal*(1+infl)^A66, 0)</f>
        <v>0</v>
      </c>
      <c r="P66" s="10">
        <f t="shared" ref="P66:P85" si="51">IF(B66&lt;retireAge,1,0)</f>
        <v>0</v>
      </c>
      <c r="Q66" s="10">
        <f t="shared" ref="Q66:Q85" si="52">IF(AND(B66&gt;=retireAge,B66&lt;lifeExp),1,0)</f>
        <v>0</v>
      </c>
      <c r="R66" s="10">
        <f t="shared" ref="R66:R85" si="53">IF(AND(B66&lt;lifeExp,J66&gt;=N66),B66,99999)</f>
        <v>99999</v>
      </c>
      <c r="S66" s="10">
        <f t="shared" ref="S66:S85" si="54">IF(AND(Q66=1,I66&lt;0),B66,99999)</f>
        <v>99999</v>
      </c>
    </row>
    <row r="67" spans="1:19" x14ac:dyDescent="0.3">
      <c r="A67" s="13">
        <f t="shared" si="38"/>
        <v>65</v>
      </c>
      <c r="B67" s="13">
        <f t="shared" si="39"/>
        <v>90</v>
      </c>
      <c r="C67" s="14" t="str">
        <f t="shared" si="40"/>
        <v>—</v>
      </c>
      <c r="D67" s="27">
        <f t="shared" si="41"/>
        <v>0</v>
      </c>
      <c r="E67" s="27">
        <f t="shared" si="42"/>
        <v>0</v>
      </c>
      <c r="F67" s="27">
        <f t="shared" si="43"/>
        <v>0</v>
      </c>
      <c r="G67" s="27">
        <f t="shared" si="44"/>
        <v>0</v>
      </c>
      <c r="H67" s="27">
        <f t="shared" si="45"/>
        <v>0</v>
      </c>
      <c r="I67" s="27">
        <f t="shared" ref="I67:I85" si="55">IF(B67&lt;lifeExp,I66*(1+ret)+H67,I66)</f>
        <v>862797753.45088899</v>
      </c>
      <c r="J67" s="27">
        <f t="shared" ref="J67:J85" si="56">I66</f>
        <v>862797753.45088899</v>
      </c>
      <c r="K67" s="15">
        <f t="shared" si="46"/>
        <v>3.692135523524476E-3</v>
      </c>
      <c r="L67" s="15">
        <f t="shared" si="47"/>
        <v>2.2652636590674444E-2</v>
      </c>
      <c r="M67" s="27">
        <f t="shared" si="48"/>
        <v>0</v>
      </c>
      <c r="N67" s="27">
        <f t="shared" si="49"/>
        <v>0</v>
      </c>
      <c r="O67" s="27">
        <f t="shared" si="50"/>
        <v>0</v>
      </c>
      <c r="P67" s="13">
        <f t="shared" si="51"/>
        <v>0</v>
      </c>
      <c r="Q67" s="13">
        <f t="shared" si="52"/>
        <v>0</v>
      </c>
      <c r="R67" s="13">
        <f t="shared" si="53"/>
        <v>99999</v>
      </c>
      <c r="S67" s="13">
        <f t="shared" si="54"/>
        <v>99999</v>
      </c>
    </row>
    <row r="68" spans="1:19" x14ac:dyDescent="0.3">
      <c r="A68" s="10">
        <f t="shared" si="38"/>
        <v>66</v>
      </c>
      <c r="B68" s="10">
        <f t="shared" si="39"/>
        <v>91</v>
      </c>
      <c r="C68" s="11" t="str">
        <f t="shared" si="40"/>
        <v>—</v>
      </c>
      <c r="D68" s="26">
        <f t="shared" si="41"/>
        <v>0</v>
      </c>
      <c r="E68" s="26">
        <f t="shared" si="42"/>
        <v>0</v>
      </c>
      <c r="F68" s="26">
        <f t="shared" si="43"/>
        <v>0</v>
      </c>
      <c r="G68" s="26">
        <f t="shared" si="44"/>
        <v>0</v>
      </c>
      <c r="H68" s="26">
        <f t="shared" si="45"/>
        <v>0</v>
      </c>
      <c r="I68" s="26">
        <f t="shared" si="55"/>
        <v>862797753.45088899</v>
      </c>
      <c r="J68" s="26">
        <f t="shared" si="56"/>
        <v>862797753.45088899</v>
      </c>
      <c r="K68" s="12">
        <f t="shared" si="46"/>
        <v>3.3872802968114455E-3</v>
      </c>
      <c r="L68" s="12">
        <f t="shared" si="47"/>
        <v>2.1370411877994759E-2</v>
      </c>
      <c r="M68" s="26">
        <f t="shared" si="48"/>
        <v>0</v>
      </c>
      <c r="N68" s="26">
        <f t="shared" si="49"/>
        <v>0</v>
      </c>
      <c r="O68" s="26">
        <f t="shared" si="50"/>
        <v>0</v>
      </c>
      <c r="P68" s="10">
        <f t="shared" si="51"/>
        <v>0</v>
      </c>
      <c r="Q68" s="10">
        <f t="shared" si="52"/>
        <v>0</v>
      </c>
      <c r="R68" s="10">
        <f t="shared" si="53"/>
        <v>99999</v>
      </c>
      <c r="S68" s="10">
        <f t="shared" si="54"/>
        <v>99999</v>
      </c>
    </row>
    <row r="69" spans="1:19" x14ac:dyDescent="0.3">
      <c r="A69" s="13">
        <f t="shared" si="38"/>
        <v>67</v>
      </c>
      <c r="B69" s="13">
        <f t="shared" si="39"/>
        <v>92</v>
      </c>
      <c r="C69" s="14" t="str">
        <f t="shared" si="40"/>
        <v>—</v>
      </c>
      <c r="D69" s="27">
        <f t="shared" si="41"/>
        <v>0</v>
      </c>
      <c r="E69" s="27">
        <f t="shared" si="42"/>
        <v>0</v>
      </c>
      <c r="F69" s="27">
        <f t="shared" si="43"/>
        <v>0</v>
      </c>
      <c r="G69" s="27">
        <f t="shared" si="44"/>
        <v>0</v>
      </c>
      <c r="H69" s="27">
        <f t="shared" si="45"/>
        <v>0</v>
      </c>
      <c r="I69" s="27">
        <f t="shared" si="55"/>
        <v>862797753.45088899</v>
      </c>
      <c r="J69" s="27">
        <f t="shared" si="56"/>
        <v>862797753.45088899</v>
      </c>
      <c r="K69" s="15">
        <f t="shared" si="46"/>
        <v>3.1075966025793079E-3</v>
      </c>
      <c r="L69" s="15">
        <f t="shared" si="47"/>
        <v>2.0160765922636562E-2</v>
      </c>
      <c r="M69" s="27">
        <f t="shared" si="48"/>
        <v>0</v>
      </c>
      <c r="N69" s="27">
        <f t="shared" si="49"/>
        <v>0</v>
      </c>
      <c r="O69" s="27">
        <f t="shared" si="50"/>
        <v>0</v>
      </c>
      <c r="P69" s="13">
        <f t="shared" si="51"/>
        <v>0</v>
      </c>
      <c r="Q69" s="13">
        <f t="shared" si="52"/>
        <v>0</v>
      </c>
      <c r="R69" s="13">
        <f t="shared" si="53"/>
        <v>99999</v>
      </c>
      <c r="S69" s="13">
        <f t="shared" si="54"/>
        <v>99999</v>
      </c>
    </row>
    <row r="70" spans="1:19" x14ac:dyDescent="0.3">
      <c r="A70" s="10">
        <f t="shared" si="38"/>
        <v>68</v>
      </c>
      <c r="B70" s="10">
        <f t="shared" si="39"/>
        <v>93</v>
      </c>
      <c r="C70" s="11" t="str">
        <f t="shared" si="40"/>
        <v>—</v>
      </c>
      <c r="D70" s="26">
        <f t="shared" si="41"/>
        <v>0</v>
      </c>
      <c r="E70" s="26">
        <f t="shared" si="42"/>
        <v>0</v>
      </c>
      <c r="F70" s="26">
        <f t="shared" si="43"/>
        <v>0</v>
      </c>
      <c r="G70" s="26">
        <f t="shared" si="44"/>
        <v>0</v>
      </c>
      <c r="H70" s="26">
        <f t="shared" si="45"/>
        <v>0</v>
      </c>
      <c r="I70" s="26">
        <f t="shared" si="55"/>
        <v>862797753.45088899</v>
      </c>
      <c r="J70" s="26">
        <f t="shared" si="56"/>
        <v>862797753.45088899</v>
      </c>
      <c r="K70" s="12">
        <f t="shared" si="46"/>
        <v>2.8510060574122088E-3</v>
      </c>
      <c r="L70" s="12">
        <f t="shared" si="47"/>
        <v>1.9019590493053358E-2</v>
      </c>
      <c r="M70" s="26">
        <f t="shared" si="48"/>
        <v>0</v>
      </c>
      <c r="N70" s="26">
        <f t="shared" si="49"/>
        <v>0</v>
      </c>
      <c r="O70" s="26">
        <f t="shared" si="50"/>
        <v>0</v>
      </c>
      <c r="P70" s="10">
        <f t="shared" si="51"/>
        <v>0</v>
      </c>
      <c r="Q70" s="10">
        <f t="shared" si="52"/>
        <v>0</v>
      </c>
      <c r="R70" s="10">
        <f t="shared" si="53"/>
        <v>99999</v>
      </c>
      <c r="S70" s="10">
        <f t="shared" si="54"/>
        <v>99999</v>
      </c>
    </row>
    <row r="71" spans="1:19" x14ac:dyDescent="0.3">
      <c r="A71" s="13">
        <f t="shared" si="38"/>
        <v>69</v>
      </c>
      <c r="B71" s="13">
        <f t="shared" si="39"/>
        <v>94</v>
      </c>
      <c r="C71" s="14" t="str">
        <f t="shared" si="40"/>
        <v>—</v>
      </c>
      <c r="D71" s="27">
        <f t="shared" si="41"/>
        <v>0</v>
      </c>
      <c r="E71" s="27">
        <f t="shared" si="42"/>
        <v>0</v>
      </c>
      <c r="F71" s="27">
        <f t="shared" si="43"/>
        <v>0</v>
      </c>
      <c r="G71" s="27">
        <f t="shared" si="44"/>
        <v>0</v>
      </c>
      <c r="H71" s="27">
        <f t="shared" si="45"/>
        <v>0</v>
      </c>
      <c r="I71" s="27">
        <f t="shared" si="55"/>
        <v>862797753.45088899</v>
      </c>
      <c r="J71" s="27">
        <f t="shared" si="56"/>
        <v>862797753.45088899</v>
      </c>
      <c r="K71" s="15">
        <f t="shared" si="46"/>
        <v>2.6156018875341364E-3</v>
      </c>
      <c r="L71" s="15">
        <f t="shared" si="47"/>
        <v>1.7943009899106941E-2</v>
      </c>
      <c r="M71" s="27">
        <f t="shared" si="48"/>
        <v>0</v>
      </c>
      <c r="N71" s="27">
        <f t="shared" si="49"/>
        <v>0</v>
      </c>
      <c r="O71" s="27">
        <f t="shared" si="50"/>
        <v>0</v>
      </c>
      <c r="P71" s="13">
        <f t="shared" si="51"/>
        <v>0</v>
      </c>
      <c r="Q71" s="13">
        <f t="shared" si="52"/>
        <v>0</v>
      </c>
      <c r="R71" s="13">
        <f t="shared" si="53"/>
        <v>99999</v>
      </c>
      <c r="S71" s="13">
        <f t="shared" si="54"/>
        <v>99999</v>
      </c>
    </row>
    <row r="72" spans="1:19" x14ac:dyDescent="0.3">
      <c r="A72" s="10">
        <f t="shared" si="38"/>
        <v>70</v>
      </c>
      <c r="B72" s="10">
        <f t="shared" si="39"/>
        <v>95</v>
      </c>
      <c r="C72" s="11" t="str">
        <f t="shared" si="40"/>
        <v>—</v>
      </c>
      <c r="D72" s="26">
        <f t="shared" si="41"/>
        <v>0</v>
      </c>
      <c r="E72" s="26">
        <f t="shared" si="42"/>
        <v>0</v>
      </c>
      <c r="F72" s="26">
        <f t="shared" si="43"/>
        <v>0</v>
      </c>
      <c r="G72" s="26">
        <f t="shared" si="44"/>
        <v>0</v>
      </c>
      <c r="H72" s="26">
        <f t="shared" si="45"/>
        <v>0</v>
      </c>
      <c r="I72" s="26">
        <f t="shared" si="55"/>
        <v>862797753.45088899</v>
      </c>
      <c r="J72" s="26">
        <f t="shared" si="56"/>
        <v>862797753.45088899</v>
      </c>
      <c r="K72" s="12">
        <f t="shared" si="46"/>
        <v>2.3996347592056297E-3</v>
      </c>
      <c r="L72" s="12">
        <f t="shared" si="47"/>
        <v>1.692736782934617E-2</v>
      </c>
      <c r="M72" s="26">
        <f t="shared" si="48"/>
        <v>0</v>
      </c>
      <c r="N72" s="26">
        <f t="shared" si="49"/>
        <v>0</v>
      </c>
      <c r="O72" s="26">
        <f t="shared" si="50"/>
        <v>0</v>
      </c>
      <c r="P72" s="10">
        <f t="shared" si="51"/>
        <v>0</v>
      </c>
      <c r="Q72" s="10">
        <f t="shared" si="52"/>
        <v>0</v>
      </c>
      <c r="R72" s="10">
        <f t="shared" si="53"/>
        <v>99999</v>
      </c>
      <c r="S72" s="10">
        <f t="shared" si="54"/>
        <v>99999</v>
      </c>
    </row>
    <row r="73" spans="1:19" x14ac:dyDescent="0.3">
      <c r="A73" s="13">
        <f t="shared" si="38"/>
        <v>71</v>
      </c>
      <c r="B73" s="13">
        <f t="shared" si="39"/>
        <v>96</v>
      </c>
      <c r="C73" s="14" t="str">
        <f t="shared" si="40"/>
        <v>—</v>
      </c>
      <c r="D73" s="27">
        <f t="shared" si="41"/>
        <v>0</v>
      </c>
      <c r="E73" s="27">
        <f t="shared" si="42"/>
        <v>0</v>
      </c>
      <c r="F73" s="27">
        <f t="shared" si="43"/>
        <v>0</v>
      </c>
      <c r="G73" s="27">
        <f t="shared" si="44"/>
        <v>0</v>
      </c>
      <c r="H73" s="27">
        <f t="shared" si="45"/>
        <v>0</v>
      </c>
      <c r="I73" s="27">
        <f t="shared" si="55"/>
        <v>862797753.45088899</v>
      </c>
      <c r="J73" s="27">
        <f t="shared" si="56"/>
        <v>862797753.45088899</v>
      </c>
      <c r="K73" s="15">
        <f t="shared" si="46"/>
        <v>2.2014997790877336E-3</v>
      </c>
      <c r="L73" s="15">
        <f t="shared" si="47"/>
        <v>1.5969214933345442E-2</v>
      </c>
      <c r="M73" s="27">
        <f t="shared" si="48"/>
        <v>0</v>
      </c>
      <c r="N73" s="27">
        <f t="shared" si="49"/>
        <v>0</v>
      </c>
      <c r="O73" s="27">
        <f t="shared" si="50"/>
        <v>0</v>
      </c>
      <c r="P73" s="13">
        <f t="shared" si="51"/>
        <v>0</v>
      </c>
      <c r="Q73" s="13">
        <f t="shared" si="52"/>
        <v>0</v>
      </c>
      <c r="R73" s="13">
        <f t="shared" si="53"/>
        <v>99999</v>
      </c>
      <c r="S73" s="13">
        <f t="shared" si="54"/>
        <v>99999</v>
      </c>
    </row>
    <row r="74" spans="1:19" x14ac:dyDescent="0.3">
      <c r="A74" s="10">
        <f t="shared" si="38"/>
        <v>72</v>
      </c>
      <c r="B74" s="10">
        <f t="shared" si="39"/>
        <v>97</v>
      </c>
      <c r="C74" s="11" t="str">
        <f t="shared" si="40"/>
        <v>—</v>
      </c>
      <c r="D74" s="26">
        <f t="shared" si="41"/>
        <v>0</v>
      </c>
      <c r="E74" s="26">
        <f t="shared" si="42"/>
        <v>0</v>
      </c>
      <c r="F74" s="26">
        <f t="shared" si="43"/>
        <v>0</v>
      </c>
      <c r="G74" s="26">
        <f t="shared" si="44"/>
        <v>0</v>
      </c>
      <c r="H74" s="26">
        <f t="shared" si="45"/>
        <v>0</v>
      </c>
      <c r="I74" s="26">
        <f t="shared" si="55"/>
        <v>862797753.45088899</v>
      </c>
      <c r="J74" s="26">
        <f t="shared" si="56"/>
        <v>862797753.45088899</v>
      </c>
      <c r="K74" s="12">
        <f t="shared" si="46"/>
        <v>2.0197245679703974E-3</v>
      </c>
      <c r="L74" s="12">
        <f t="shared" si="47"/>
        <v>1.5065297106929661E-2</v>
      </c>
      <c r="M74" s="26">
        <f t="shared" si="48"/>
        <v>0</v>
      </c>
      <c r="N74" s="26">
        <f t="shared" si="49"/>
        <v>0</v>
      </c>
      <c r="O74" s="26">
        <f t="shared" si="50"/>
        <v>0</v>
      </c>
      <c r="P74" s="10">
        <f t="shared" si="51"/>
        <v>0</v>
      </c>
      <c r="Q74" s="10">
        <f t="shared" si="52"/>
        <v>0</v>
      </c>
      <c r="R74" s="10">
        <f t="shared" si="53"/>
        <v>99999</v>
      </c>
      <c r="S74" s="10">
        <f t="shared" si="54"/>
        <v>99999</v>
      </c>
    </row>
    <row r="75" spans="1:19" x14ac:dyDescent="0.3">
      <c r="A75" s="13">
        <f t="shared" si="38"/>
        <v>73</v>
      </c>
      <c r="B75" s="13">
        <f t="shared" si="39"/>
        <v>98</v>
      </c>
      <c r="C75" s="14" t="str">
        <f t="shared" si="40"/>
        <v>—</v>
      </c>
      <c r="D75" s="27">
        <f t="shared" si="41"/>
        <v>0</v>
      </c>
      <c r="E75" s="27">
        <f t="shared" si="42"/>
        <v>0</v>
      </c>
      <c r="F75" s="27">
        <f t="shared" si="43"/>
        <v>0</v>
      </c>
      <c r="G75" s="27">
        <f t="shared" si="44"/>
        <v>0</v>
      </c>
      <c r="H75" s="27">
        <f t="shared" si="45"/>
        <v>0</v>
      </c>
      <c r="I75" s="27">
        <f t="shared" si="55"/>
        <v>862797753.45088899</v>
      </c>
      <c r="J75" s="27">
        <f t="shared" si="56"/>
        <v>862797753.45088899</v>
      </c>
      <c r="K75" s="15">
        <f t="shared" si="46"/>
        <v>1.8529583192388966E-3</v>
      </c>
      <c r="L75" s="15">
        <f t="shared" si="47"/>
        <v>1.4212544440499682E-2</v>
      </c>
      <c r="M75" s="27">
        <f t="shared" si="48"/>
        <v>0</v>
      </c>
      <c r="N75" s="27">
        <f t="shared" si="49"/>
        <v>0</v>
      </c>
      <c r="O75" s="27">
        <f t="shared" si="50"/>
        <v>0</v>
      </c>
      <c r="P75" s="13">
        <f t="shared" si="51"/>
        <v>0</v>
      </c>
      <c r="Q75" s="13">
        <f t="shared" si="52"/>
        <v>0</v>
      </c>
      <c r="R75" s="13">
        <f t="shared" si="53"/>
        <v>99999</v>
      </c>
      <c r="S75" s="13">
        <f t="shared" si="54"/>
        <v>99999</v>
      </c>
    </row>
    <row r="76" spans="1:19" x14ac:dyDescent="0.3">
      <c r="A76" s="10">
        <f t="shared" si="38"/>
        <v>74</v>
      </c>
      <c r="B76" s="10">
        <f t="shared" si="39"/>
        <v>99</v>
      </c>
      <c r="C76" s="11" t="str">
        <f t="shared" si="40"/>
        <v>—</v>
      </c>
      <c r="D76" s="26">
        <f t="shared" si="41"/>
        <v>0</v>
      </c>
      <c r="E76" s="26">
        <f t="shared" si="42"/>
        <v>0</v>
      </c>
      <c r="F76" s="26">
        <f t="shared" si="43"/>
        <v>0</v>
      </c>
      <c r="G76" s="26">
        <f t="shared" si="44"/>
        <v>0</v>
      </c>
      <c r="H76" s="26">
        <f t="shared" si="45"/>
        <v>0</v>
      </c>
      <c r="I76" s="26">
        <f t="shared" si="55"/>
        <v>862797753.45088899</v>
      </c>
      <c r="J76" s="26">
        <f t="shared" si="56"/>
        <v>862797753.45088899</v>
      </c>
      <c r="K76" s="12">
        <f t="shared" si="46"/>
        <v>1.6999617607696296E-3</v>
      </c>
      <c r="L76" s="12">
        <f t="shared" si="47"/>
        <v>1.3408060792924227E-2</v>
      </c>
      <c r="M76" s="26">
        <f t="shared" si="48"/>
        <v>0</v>
      </c>
      <c r="N76" s="26">
        <f t="shared" si="49"/>
        <v>0</v>
      </c>
      <c r="O76" s="26">
        <f t="shared" si="50"/>
        <v>0</v>
      </c>
      <c r="P76" s="10">
        <f t="shared" si="51"/>
        <v>0</v>
      </c>
      <c r="Q76" s="10">
        <f t="shared" si="52"/>
        <v>0</v>
      </c>
      <c r="R76" s="10">
        <f t="shared" si="53"/>
        <v>99999</v>
      </c>
      <c r="S76" s="10">
        <f t="shared" si="54"/>
        <v>99999</v>
      </c>
    </row>
    <row r="77" spans="1:19" x14ac:dyDescent="0.3">
      <c r="A77" s="13">
        <f t="shared" si="38"/>
        <v>75</v>
      </c>
      <c r="B77" s="13">
        <f t="shared" si="39"/>
        <v>100</v>
      </c>
      <c r="C77" s="14" t="str">
        <f t="shared" si="40"/>
        <v>—</v>
      </c>
      <c r="D77" s="27">
        <f t="shared" si="41"/>
        <v>0</v>
      </c>
      <c r="E77" s="27">
        <f t="shared" si="42"/>
        <v>0</v>
      </c>
      <c r="F77" s="27">
        <f t="shared" si="43"/>
        <v>0</v>
      </c>
      <c r="G77" s="27">
        <f t="shared" si="44"/>
        <v>0</v>
      </c>
      <c r="H77" s="27">
        <f t="shared" si="45"/>
        <v>0</v>
      </c>
      <c r="I77" s="27">
        <f t="shared" si="55"/>
        <v>862797753.45088899</v>
      </c>
      <c r="J77" s="27">
        <f t="shared" si="56"/>
        <v>862797753.45088899</v>
      </c>
      <c r="K77" s="15">
        <f t="shared" si="46"/>
        <v>1.559597945660211E-3</v>
      </c>
      <c r="L77" s="15">
        <f t="shared" si="47"/>
        <v>1.2649113955588891E-2</v>
      </c>
      <c r="M77" s="27">
        <f t="shared" si="48"/>
        <v>0</v>
      </c>
      <c r="N77" s="27">
        <f t="shared" si="49"/>
        <v>0</v>
      </c>
      <c r="O77" s="27">
        <f t="shared" si="50"/>
        <v>0</v>
      </c>
      <c r="P77" s="13">
        <f t="shared" si="51"/>
        <v>0</v>
      </c>
      <c r="Q77" s="13">
        <f t="shared" si="52"/>
        <v>0</v>
      </c>
      <c r="R77" s="13">
        <f t="shared" si="53"/>
        <v>99999</v>
      </c>
      <c r="S77" s="13">
        <f t="shared" si="54"/>
        <v>99999</v>
      </c>
    </row>
    <row r="78" spans="1:19" x14ac:dyDescent="0.3">
      <c r="A78" s="10">
        <f t="shared" si="38"/>
        <v>76</v>
      </c>
      <c r="B78" s="10">
        <f t="shared" si="39"/>
        <v>101</v>
      </c>
      <c r="C78" s="11" t="str">
        <f t="shared" si="40"/>
        <v>—</v>
      </c>
      <c r="D78" s="26">
        <f t="shared" si="41"/>
        <v>0</v>
      </c>
      <c r="E78" s="26">
        <f t="shared" si="42"/>
        <v>0</v>
      </c>
      <c r="F78" s="26">
        <f t="shared" si="43"/>
        <v>0</v>
      </c>
      <c r="G78" s="26">
        <f t="shared" si="44"/>
        <v>0</v>
      </c>
      <c r="H78" s="26">
        <f t="shared" si="45"/>
        <v>0</v>
      </c>
      <c r="I78" s="26">
        <f t="shared" si="55"/>
        <v>862797753.45088899</v>
      </c>
      <c r="J78" s="26">
        <f t="shared" si="56"/>
        <v>862797753.45088899</v>
      </c>
      <c r="K78" s="12">
        <f t="shared" si="46"/>
        <v>1.4308238033579918E-3</v>
      </c>
      <c r="L78" s="12">
        <f t="shared" si="47"/>
        <v>1.1933126373197067E-2</v>
      </c>
      <c r="M78" s="26">
        <f t="shared" si="48"/>
        <v>0</v>
      </c>
      <c r="N78" s="26">
        <f t="shared" si="49"/>
        <v>0</v>
      </c>
      <c r="O78" s="26">
        <f t="shared" si="50"/>
        <v>0</v>
      </c>
      <c r="P78" s="10">
        <f t="shared" si="51"/>
        <v>0</v>
      </c>
      <c r="Q78" s="10">
        <f t="shared" si="52"/>
        <v>0</v>
      </c>
      <c r="R78" s="10">
        <f t="shared" si="53"/>
        <v>99999</v>
      </c>
      <c r="S78" s="10">
        <f t="shared" si="54"/>
        <v>99999</v>
      </c>
    </row>
    <row r="79" spans="1:19" x14ac:dyDescent="0.3">
      <c r="A79" s="13">
        <f t="shared" si="38"/>
        <v>77</v>
      </c>
      <c r="B79" s="13">
        <f t="shared" si="39"/>
        <v>102</v>
      </c>
      <c r="C79" s="14" t="str">
        <f t="shared" si="40"/>
        <v>—</v>
      </c>
      <c r="D79" s="27">
        <f t="shared" si="41"/>
        <v>0</v>
      </c>
      <c r="E79" s="27">
        <f t="shared" si="42"/>
        <v>0</v>
      </c>
      <c r="F79" s="27">
        <f t="shared" si="43"/>
        <v>0</v>
      </c>
      <c r="G79" s="27">
        <f t="shared" si="44"/>
        <v>0</v>
      </c>
      <c r="H79" s="27">
        <f t="shared" si="45"/>
        <v>0</v>
      </c>
      <c r="I79" s="27">
        <f t="shared" si="55"/>
        <v>862797753.45088899</v>
      </c>
      <c r="J79" s="27">
        <f t="shared" si="56"/>
        <v>862797753.45088899</v>
      </c>
      <c r="K79" s="15">
        <f t="shared" si="46"/>
        <v>1.3126823884018269E-3</v>
      </c>
      <c r="L79" s="15">
        <f t="shared" si="47"/>
        <v>1.1257666389808553E-2</v>
      </c>
      <c r="M79" s="27">
        <f t="shared" si="48"/>
        <v>0</v>
      </c>
      <c r="N79" s="27">
        <f t="shared" si="49"/>
        <v>0</v>
      </c>
      <c r="O79" s="27">
        <f t="shared" si="50"/>
        <v>0</v>
      </c>
      <c r="P79" s="13">
        <f t="shared" si="51"/>
        <v>0</v>
      </c>
      <c r="Q79" s="13">
        <f t="shared" si="52"/>
        <v>0</v>
      </c>
      <c r="R79" s="13">
        <f t="shared" si="53"/>
        <v>99999</v>
      </c>
      <c r="S79" s="13">
        <f t="shared" si="54"/>
        <v>99999</v>
      </c>
    </row>
    <row r="80" spans="1:19" x14ac:dyDescent="0.3">
      <c r="A80" s="10">
        <f t="shared" si="38"/>
        <v>78</v>
      </c>
      <c r="B80" s="10">
        <f t="shared" si="39"/>
        <v>103</v>
      </c>
      <c r="C80" s="11" t="str">
        <f t="shared" si="40"/>
        <v>—</v>
      </c>
      <c r="D80" s="26">
        <f t="shared" si="41"/>
        <v>0</v>
      </c>
      <c r="E80" s="26">
        <f t="shared" si="42"/>
        <v>0</v>
      </c>
      <c r="F80" s="26">
        <f t="shared" si="43"/>
        <v>0</v>
      </c>
      <c r="G80" s="26">
        <f t="shared" si="44"/>
        <v>0</v>
      </c>
      <c r="H80" s="26">
        <f t="shared" si="45"/>
        <v>0</v>
      </c>
      <c r="I80" s="26">
        <f t="shared" si="55"/>
        <v>862797753.45088899</v>
      </c>
      <c r="J80" s="26">
        <f t="shared" si="56"/>
        <v>862797753.45088899</v>
      </c>
      <c r="K80" s="12">
        <f t="shared" si="46"/>
        <v>1.2042957691759881E-3</v>
      </c>
      <c r="L80" s="12">
        <f t="shared" si="47"/>
        <v>1.0620439990385427E-2</v>
      </c>
      <c r="M80" s="26">
        <f t="shared" si="48"/>
        <v>0</v>
      </c>
      <c r="N80" s="26">
        <f t="shared" si="49"/>
        <v>0</v>
      </c>
      <c r="O80" s="26">
        <f t="shared" si="50"/>
        <v>0</v>
      </c>
      <c r="P80" s="10">
        <f t="shared" si="51"/>
        <v>0</v>
      </c>
      <c r="Q80" s="10">
        <f t="shared" si="52"/>
        <v>0</v>
      </c>
      <c r="R80" s="10">
        <f t="shared" si="53"/>
        <v>99999</v>
      </c>
      <c r="S80" s="10">
        <f t="shared" si="54"/>
        <v>99999</v>
      </c>
    </row>
    <row r="81" spans="1:19" x14ac:dyDescent="0.3">
      <c r="A81" s="13">
        <f t="shared" si="38"/>
        <v>79</v>
      </c>
      <c r="B81" s="13">
        <f t="shared" si="39"/>
        <v>104</v>
      </c>
      <c r="C81" s="14" t="str">
        <f t="shared" si="40"/>
        <v>—</v>
      </c>
      <c r="D81" s="27">
        <f t="shared" si="41"/>
        <v>0</v>
      </c>
      <c r="E81" s="27">
        <f t="shared" si="42"/>
        <v>0</v>
      </c>
      <c r="F81" s="27">
        <f t="shared" si="43"/>
        <v>0</v>
      </c>
      <c r="G81" s="27">
        <f t="shared" si="44"/>
        <v>0</v>
      </c>
      <c r="H81" s="27">
        <f t="shared" si="45"/>
        <v>0</v>
      </c>
      <c r="I81" s="27">
        <f t="shared" si="55"/>
        <v>862797753.45088899</v>
      </c>
      <c r="J81" s="27">
        <f t="shared" si="56"/>
        <v>862797753.45088899</v>
      </c>
      <c r="K81" s="15">
        <f t="shared" si="46"/>
        <v>1.1048585038311816E-3</v>
      </c>
      <c r="L81" s="15">
        <f t="shared" si="47"/>
        <v>1.0019283009797571E-2</v>
      </c>
      <c r="M81" s="27">
        <f t="shared" si="48"/>
        <v>0</v>
      </c>
      <c r="N81" s="27">
        <f t="shared" si="49"/>
        <v>0</v>
      </c>
      <c r="O81" s="27">
        <f t="shared" si="50"/>
        <v>0</v>
      </c>
      <c r="P81" s="13">
        <f t="shared" si="51"/>
        <v>0</v>
      </c>
      <c r="Q81" s="13">
        <f t="shared" si="52"/>
        <v>0</v>
      </c>
      <c r="R81" s="13">
        <f t="shared" si="53"/>
        <v>99999</v>
      </c>
      <c r="S81" s="13">
        <f t="shared" si="54"/>
        <v>99999</v>
      </c>
    </row>
    <row r="82" spans="1:19" x14ac:dyDescent="0.3">
      <c r="A82" s="10">
        <f t="shared" si="38"/>
        <v>80</v>
      </c>
      <c r="B82" s="10">
        <f t="shared" si="39"/>
        <v>105</v>
      </c>
      <c r="C82" s="11" t="str">
        <f t="shared" si="40"/>
        <v>—</v>
      </c>
      <c r="D82" s="26">
        <f t="shared" si="41"/>
        <v>0</v>
      </c>
      <c r="E82" s="26">
        <f t="shared" si="42"/>
        <v>0</v>
      </c>
      <c r="F82" s="26">
        <f t="shared" si="43"/>
        <v>0</v>
      </c>
      <c r="G82" s="26">
        <f t="shared" si="44"/>
        <v>0</v>
      </c>
      <c r="H82" s="26">
        <f t="shared" si="45"/>
        <v>0</v>
      </c>
      <c r="I82" s="26">
        <f t="shared" si="55"/>
        <v>862797753.45088899</v>
      </c>
      <c r="J82" s="26">
        <f t="shared" si="56"/>
        <v>862797753.45088899</v>
      </c>
      <c r="K82" s="12">
        <f t="shared" si="46"/>
        <v>1.0136316548909922E-3</v>
      </c>
      <c r="L82" s="12">
        <f t="shared" si="47"/>
        <v>9.4521537828278993E-3</v>
      </c>
      <c r="M82" s="26">
        <f t="shared" si="48"/>
        <v>0</v>
      </c>
      <c r="N82" s="26">
        <f t="shared" si="49"/>
        <v>0</v>
      </c>
      <c r="O82" s="26">
        <f t="shared" si="50"/>
        <v>0</v>
      </c>
      <c r="P82" s="10">
        <f t="shared" si="51"/>
        <v>0</v>
      </c>
      <c r="Q82" s="10">
        <f t="shared" si="52"/>
        <v>0</v>
      </c>
      <c r="R82" s="10">
        <f t="shared" si="53"/>
        <v>99999</v>
      </c>
      <c r="S82" s="10">
        <f t="shared" si="54"/>
        <v>99999</v>
      </c>
    </row>
    <row r="83" spans="1:19" x14ac:dyDescent="0.3">
      <c r="A83" s="13">
        <f t="shared" si="38"/>
        <v>81</v>
      </c>
      <c r="B83" s="13">
        <f t="shared" si="39"/>
        <v>106</v>
      </c>
      <c r="C83" s="14" t="str">
        <f t="shared" si="40"/>
        <v>—</v>
      </c>
      <c r="D83" s="27">
        <f t="shared" si="41"/>
        <v>0</v>
      </c>
      <c r="E83" s="27">
        <f t="shared" si="42"/>
        <v>0</v>
      </c>
      <c r="F83" s="27">
        <f t="shared" si="43"/>
        <v>0</v>
      </c>
      <c r="G83" s="27">
        <f t="shared" si="44"/>
        <v>0</v>
      </c>
      <c r="H83" s="27">
        <f t="shared" si="45"/>
        <v>0</v>
      </c>
      <c r="I83" s="27">
        <f t="shared" si="55"/>
        <v>862797753.45088899</v>
      </c>
      <c r="J83" s="27">
        <f t="shared" si="56"/>
        <v>862797753.45088899</v>
      </c>
      <c r="K83" s="15">
        <f t="shared" si="46"/>
        <v>9.2993729806513056E-4</v>
      </c>
      <c r="L83" s="15">
        <f t="shared" si="47"/>
        <v>8.9171262102149974E-3</v>
      </c>
      <c r="M83" s="27">
        <f t="shared" si="48"/>
        <v>0</v>
      </c>
      <c r="N83" s="27">
        <f t="shared" si="49"/>
        <v>0</v>
      </c>
      <c r="O83" s="27">
        <f t="shared" si="50"/>
        <v>0</v>
      </c>
      <c r="P83" s="13">
        <f t="shared" si="51"/>
        <v>0</v>
      </c>
      <c r="Q83" s="13">
        <f t="shared" si="52"/>
        <v>0</v>
      </c>
      <c r="R83" s="13">
        <f t="shared" si="53"/>
        <v>99999</v>
      </c>
      <c r="S83" s="13">
        <f t="shared" si="54"/>
        <v>99999</v>
      </c>
    </row>
    <row r="84" spans="1:19" x14ac:dyDescent="0.3">
      <c r="A84" s="10">
        <f t="shared" si="38"/>
        <v>82</v>
      </c>
      <c r="B84" s="10">
        <f t="shared" si="39"/>
        <v>107</v>
      </c>
      <c r="C84" s="11" t="str">
        <f t="shared" si="40"/>
        <v>—</v>
      </c>
      <c r="D84" s="26">
        <f t="shared" si="41"/>
        <v>0</v>
      </c>
      <c r="E84" s="26">
        <f t="shared" si="42"/>
        <v>0</v>
      </c>
      <c r="F84" s="26">
        <f t="shared" si="43"/>
        <v>0</v>
      </c>
      <c r="G84" s="26">
        <f t="shared" si="44"/>
        <v>0</v>
      </c>
      <c r="H84" s="26">
        <f t="shared" si="45"/>
        <v>0</v>
      </c>
      <c r="I84" s="26">
        <f t="shared" si="55"/>
        <v>862797753.45088899</v>
      </c>
      <c r="J84" s="26">
        <f t="shared" si="56"/>
        <v>862797753.45088899</v>
      </c>
      <c r="K84" s="12">
        <f t="shared" si="46"/>
        <v>8.5315348446342234E-4</v>
      </c>
      <c r="L84" s="12">
        <f t="shared" si="47"/>
        <v>8.4123832171839608E-3</v>
      </c>
      <c r="M84" s="26">
        <f t="shared" si="48"/>
        <v>0</v>
      </c>
      <c r="N84" s="26">
        <f t="shared" si="49"/>
        <v>0</v>
      </c>
      <c r="O84" s="26">
        <f t="shared" si="50"/>
        <v>0</v>
      </c>
      <c r="P84" s="10">
        <f t="shared" si="51"/>
        <v>0</v>
      </c>
      <c r="Q84" s="10">
        <f t="shared" si="52"/>
        <v>0</v>
      </c>
      <c r="R84" s="10">
        <f t="shared" si="53"/>
        <v>99999</v>
      </c>
      <c r="S84" s="10">
        <f t="shared" si="54"/>
        <v>99999</v>
      </c>
    </row>
    <row r="85" spans="1:19" x14ac:dyDescent="0.3">
      <c r="A85" s="13">
        <f t="shared" si="38"/>
        <v>83</v>
      </c>
      <c r="B85" s="13">
        <f t="shared" si="39"/>
        <v>108</v>
      </c>
      <c r="C85" s="14" t="str">
        <f t="shared" si="40"/>
        <v>—</v>
      </c>
      <c r="D85" s="27">
        <f t="shared" si="41"/>
        <v>0</v>
      </c>
      <c r="E85" s="27">
        <f t="shared" si="42"/>
        <v>0</v>
      </c>
      <c r="F85" s="27">
        <f t="shared" si="43"/>
        <v>0</v>
      </c>
      <c r="G85" s="27">
        <f t="shared" si="44"/>
        <v>0</v>
      </c>
      <c r="H85" s="27">
        <f t="shared" si="45"/>
        <v>0</v>
      </c>
      <c r="I85" s="27">
        <f t="shared" si="55"/>
        <v>862797753.45088899</v>
      </c>
      <c r="J85" s="27">
        <f t="shared" si="56"/>
        <v>862797753.45088899</v>
      </c>
      <c r="K85" s="15">
        <f t="shared" si="46"/>
        <v>7.8270961877378192E-4</v>
      </c>
      <c r="L85" s="15">
        <f t="shared" si="47"/>
        <v>7.9362105822490189E-3</v>
      </c>
      <c r="M85" s="27">
        <f t="shared" si="48"/>
        <v>0</v>
      </c>
      <c r="N85" s="27">
        <f t="shared" si="49"/>
        <v>0</v>
      </c>
      <c r="O85" s="27">
        <f t="shared" si="50"/>
        <v>0</v>
      </c>
      <c r="P85" s="13">
        <f t="shared" si="51"/>
        <v>0</v>
      </c>
      <c r="Q85" s="13">
        <f t="shared" si="52"/>
        <v>0</v>
      </c>
      <c r="R85" s="13">
        <f t="shared" si="53"/>
        <v>99999</v>
      </c>
      <c r="S85" s="13">
        <f t="shared" si="54"/>
        <v>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zoomScale="120" zoomScaleNormal="120" workbookViewId="0">
      <selection sqref="A1:E1"/>
    </sheetView>
  </sheetViews>
  <sheetFormatPr defaultColWidth="8.6640625" defaultRowHeight="14.4" x14ac:dyDescent="0.3"/>
  <cols>
    <col min="1" max="1" width="46" customWidth="1"/>
    <col min="2" max="5" width="18" customWidth="1"/>
  </cols>
  <sheetData>
    <row r="1" spans="1:5" ht="19.2" x14ac:dyDescent="0.3">
      <c r="A1" s="30" t="s">
        <v>99</v>
      </c>
      <c r="B1" s="30"/>
      <c r="C1" s="30"/>
      <c r="D1" s="30"/>
      <c r="E1" s="30"/>
    </row>
    <row r="2" spans="1:5" x14ac:dyDescent="0.3">
      <c r="A2" s="31" t="s">
        <v>100</v>
      </c>
      <c r="B2" s="31"/>
      <c r="C2" s="31"/>
      <c r="D2" s="31"/>
      <c r="E2" s="31"/>
    </row>
    <row r="4" spans="1:5" x14ac:dyDescent="0.3">
      <c r="A4" s="8" t="s">
        <v>101</v>
      </c>
      <c r="B4" s="8" t="s">
        <v>102</v>
      </c>
      <c r="C4" s="8" t="s">
        <v>103</v>
      </c>
      <c r="D4" s="8" t="s">
        <v>104</v>
      </c>
      <c r="E4" s="8" t="s">
        <v>105</v>
      </c>
    </row>
    <row r="5" spans="1:5" x14ac:dyDescent="0.3">
      <c r="A5" s="4" t="s">
        <v>106</v>
      </c>
      <c r="B5" s="1">
        <f>SUM(pGross)</f>
        <v>206780164.41480824</v>
      </c>
      <c r="C5" s="1">
        <f>SUM(pTax)+SUMPRODUCT(pWork,pCons)+SUMPRODUCT(pWork,pSav)</f>
        <v>206780164.41480827</v>
      </c>
      <c r="D5" s="16">
        <f>B5-C5</f>
        <v>0</v>
      </c>
      <c r="E5" s="17" t="str">
        <f>IF(ABS(D5)&lt;1,"OK","CHECK")</f>
        <v>OK</v>
      </c>
    </row>
    <row r="6" spans="1:5" x14ac:dyDescent="0.3">
      <c r="A6" s="4" t="s">
        <v>107</v>
      </c>
      <c r="B6" s="1">
        <f>SUMPRODUCT(pGross,pDF)</f>
        <v>36064716.716685958</v>
      </c>
      <c r="C6" s="1">
        <f>SUMPRODUCT(pTax,pDF)+SUMPRODUCT(pWork,pCons,pDF)+SUMPRODUCT(pWork,pSav,pDF)</f>
        <v>36064716.716685966</v>
      </c>
      <c r="D6" s="16">
        <f>B6-C6</f>
        <v>0</v>
      </c>
      <c r="E6" s="17" t="str">
        <f>IF(ABS(D6)&lt;1,"OK","CHECK")</f>
        <v>OK</v>
      </c>
    </row>
    <row r="7" spans="1:5" x14ac:dyDescent="0.3">
      <c r="A7" s="4" t="s">
        <v>108</v>
      </c>
      <c r="B7" s="1">
        <f>SUMPRODUCT(pGross,pDF)</f>
        <v>36064716.716685958</v>
      </c>
      <c r="C7" s="1">
        <f>SUMPRODUCT(pGross,pDefl,1/(1+realDisc)^pT)</f>
        <v>36064716.716685921</v>
      </c>
      <c r="D7" s="16">
        <f>B7-C7</f>
        <v>0</v>
      </c>
      <c r="E7" s="17" t="str">
        <f>IF(ABS(D7)&lt;1,"OK","CHECK")</f>
        <v>OK</v>
      </c>
    </row>
    <row r="8" spans="1:5" x14ac:dyDescent="0.3">
      <c r="A8" s="4" t="s">
        <v>109</v>
      </c>
      <c r="B8" s="1">
        <f>HC0</f>
        <v>30655009.209183078</v>
      </c>
      <c r="C8" s="1">
        <f>SUMPRODUCT(pWork,pCons,pDF)+SUMPRODUCT(pWork,pSav,pDF)</f>
        <v>30655009.209183067</v>
      </c>
      <c r="D8" s="16">
        <f>B8-C8</f>
        <v>0</v>
      </c>
      <c r="E8" s="17" t="str">
        <f>IF(ABS(D8)&lt;1,"OK","CHECK")</f>
        <v>OK</v>
      </c>
    </row>
    <row r="9" spans="1:5" x14ac:dyDescent="0.3">
      <c r="A9" s="4" t="s">
        <v>110</v>
      </c>
      <c r="B9" s="1">
        <f>SUMPRODUCT(pPerm,pDF)</f>
        <v>30655009.209183127</v>
      </c>
      <c r="C9" s="1">
        <f>HC0</f>
        <v>30655009.209183078</v>
      </c>
      <c r="D9" s="16">
        <f>B9-C9</f>
        <v>4.8428773880004883E-8</v>
      </c>
      <c r="E9" s="17" t="str">
        <f>IF(ABS(D9)&lt;1,"OK","CHECK")</f>
        <v>OK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39</vt:i4>
      </vt:variant>
    </vt:vector>
  </HeadingPairs>
  <TitlesOfParts>
    <vt:vector size="44" baseType="lpstr">
      <vt:lpstr>Inputs</vt:lpstr>
      <vt:lpstr>Summary</vt:lpstr>
      <vt:lpstr>Charts</vt:lpstr>
      <vt:lpstr>Projection</vt:lpstr>
      <vt:lpstr>Checks</vt:lpstr>
      <vt:lpstr>C0</vt:lpstr>
      <vt:lpstr>Clast</vt:lpstr>
      <vt:lpstr>cpReal</vt:lpstr>
      <vt:lpstr>cRate</vt:lpstr>
      <vt:lpstr>ctc</vt:lpstr>
      <vt:lpstr>disc</vt:lpstr>
      <vt:lpstr>geo</vt:lpstr>
      <vt:lpstr>gExp</vt:lpstr>
      <vt:lpstr>gInc</vt:lpstr>
      <vt:lpstr>HC0</vt:lpstr>
      <vt:lpstr>infl</vt:lpstr>
      <vt:lpstr>lifeExp</vt:lpstr>
      <vt:lpstr>Nwork</vt:lpstr>
      <vt:lpstr>pAge</vt:lpstr>
      <vt:lpstr>pCons</vt:lpstr>
      <vt:lpstr>pCross</vt:lpstr>
      <vt:lpstr>pDefl</vt:lpstr>
      <vt:lpstr>pDeplete</vt:lpstr>
      <vt:lpstr>pDF</vt:lpstr>
      <vt:lpstr>pFC</vt:lpstr>
      <vt:lpstr>pGross</vt:lpstr>
      <vt:lpstr>pHC</vt:lpstr>
      <vt:lpstr>pPerm</vt:lpstr>
      <vt:lpstr>pPost</vt:lpstr>
      <vt:lpstr>pPVpx</vt:lpstr>
      <vt:lpstr>pRet</vt:lpstr>
      <vt:lpstr>pSav</vt:lpstr>
      <vt:lpstr>pT</vt:lpstr>
      <vt:lpstr>pTax</vt:lpstr>
      <vt:lpstr>pWealth</vt:lpstr>
      <vt:lpstr>pWork</vt:lpstr>
      <vt:lpstr>qv</vt:lpstr>
      <vt:lpstr>realDisc</vt:lpstr>
      <vt:lpstr>realWedge</vt:lpstr>
      <vt:lpstr>ret</vt:lpstr>
      <vt:lpstr>retireAge</vt:lpstr>
      <vt:lpstr>startAge</vt:lpstr>
      <vt:lpstr>tax</vt:lpstr>
      <vt:lpstr>Tlife</vt:lpstr>
    </vt:vector>
  </TitlesOfParts>
  <Company>IIT Roorkee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1 - Build your Financial Life</dc:title>
  <dc:subject>Financial Economics Tutorial </dc:subject>
  <dc:creator>Abhishek Kashyap</dc:creator>
  <dc:description/>
  <cp:lastModifiedBy>Abhishek Kashyap</cp:lastModifiedBy>
  <cp:revision>1</cp:revision>
  <dcterms:created xsi:type="dcterms:W3CDTF">2026-07-19T13:25:19Z</dcterms:created>
  <dcterms:modified xsi:type="dcterms:W3CDTF">2026-07-19T19:01:41Z</dcterms:modified>
  <cp:category>Finance</cp:category>
  <dc:language>en-US</dc:language>
</cp:coreProperties>
</file>