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his\Desktop\"/>
    </mc:Choice>
  </mc:AlternateContent>
  <xr:revisionPtr revIDLastSave="0" documentId="13_ncr:1_{62E02D94-7DDE-45D4-AE56-33084F2780C5}" xr6:coauthVersionLast="47" xr6:coauthVersionMax="47" xr10:uidLastSave="{00000000-0000-0000-0000-000000000000}"/>
  <bookViews>
    <workbookView xWindow="28680" yWindow="-120" windowWidth="29040" windowHeight="15720" xr2:uid="{32D6E156-F777-4085-B735-26C9C1FDF1E7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5" i="1" l="1"/>
  <c r="R14" i="1"/>
  <c r="R13" i="1"/>
  <c r="Q13" i="1"/>
  <c r="R12" i="1"/>
  <c r="Q12" i="1"/>
  <c r="R11" i="1"/>
  <c r="Q11" i="1"/>
  <c r="R10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254" i="1"/>
  <c r="J2" i="1"/>
  <c r="I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3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1241" i="1"/>
  <c r="E124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2" i="1"/>
  <c r="Q3" i="1"/>
  <c r="Q2" i="1"/>
  <c r="C2" i="1"/>
  <c r="R2" i="1" s="1"/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H3" i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Q4" i="1"/>
  <c r="R4" i="1"/>
  <c r="R3" i="1"/>
  <c r="J255" i="1" l="1"/>
  <c r="L254" i="1"/>
  <c r="I255" i="1"/>
  <c r="K254" i="1"/>
  <c r="I256" i="1" l="1"/>
  <c r="K255" i="1"/>
  <c r="J256" i="1"/>
  <c r="L255" i="1"/>
  <c r="J257" i="1" l="1"/>
  <c r="L256" i="1"/>
  <c r="I257" i="1"/>
  <c r="K256" i="1"/>
  <c r="I258" i="1" l="1"/>
  <c r="K257" i="1"/>
  <c r="J258" i="1"/>
  <c r="L257" i="1"/>
  <c r="I259" i="1" l="1"/>
  <c r="K258" i="1"/>
  <c r="J259" i="1"/>
  <c r="L258" i="1"/>
  <c r="J260" i="1" l="1"/>
  <c r="L259" i="1"/>
  <c r="I260" i="1"/>
  <c r="K259" i="1"/>
  <c r="I261" i="1" l="1"/>
  <c r="K260" i="1"/>
  <c r="J261" i="1"/>
  <c r="L260" i="1"/>
  <c r="J262" i="1" l="1"/>
  <c r="L261" i="1"/>
  <c r="I262" i="1"/>
  <c r="K261" i="1"/>
  <c r="I263" i="1" l="1"/>
  <c r="K262" i="1"/>
  <c r="J263" i="1"/>
  <c r="L262" i="1"/>
  <c r="J264" i="1" l="1"/>
  <c r="L263" i="1"/>
  <c r="I264" i="1"/>
  <c r="K263" i="1"/>
  <c r="I265" i="1" l="1"/>
  <c r="K264" i="1"/>
  <c r="J265" i="1"/>
  <c r="L264" i="1"/>
  <c r="J266" i="1" l="1"/>
  <c r="L265" i="1"/>
  <c r="I266" i="1"/>
  <c r="K265" i="1"/>
  <c r="I267" i="1" l="1"/>
  <c r="K266" i="1"/>
  <c r="J267" i="1"/>
  <c r="L266" i="1"/>
  <c r="J268" i="1" l="1"/>
  <c r="L267" i="1"/>
  <c r="I268" i="1"/>
  <c r="K267" i="1"/>
  <c r="I269" i="1" l="1"/>
  <c r="K268" i="1"/>
  <c r="J269" i="1"/>
  <c r="L268" i="1"/>
  <c r="J270" i="1" l="1"/>
  <c r="L269" i="1"/>
  <c r="I270" i="1"/>
  <c r="K269" i="1"/>
  <c r="I271" i="1" l="1"/>
  <c r="K270" i="1"/>
  <c r="J271" i="1"/>
  <c r="L270" i="1"/>
  <c r="J272" i="1" l="1"/>
  <c r="L271" i="1"/>
  <c r="I272" i="1"/>
  <c r="K271" i="1"/>
  <c r="I273" i="1" l="1"/>
  <c r="K272" i="1"/>
  <c r="J273" i="1"/>
  <c r="L272" i="1"/>
  <c r="J274" i="1" l="1"/>
  <c r="L273" i="1"/>
  <c r="I274" i="1"/>
  <c r="K273" i="1"/>
  <c r="I275" i="1" l="1"/>
  <c r="K274" i="1"/>
  <c r="J275" i="1"/>
  <c r="L274" i="1"/>
  <c r="J276" i="1" l="1"/>
  <c r="L275" i="1"/>
  <c r="I276" i="1"/>
  <c r="K275" i="1"/>
  <c r="I277" i="1" l="1"/>
  <c r="K276" i="1"/>
  <c r="J277" i="1"/>
  <c r="L276" i="1"/>
  <c r="J278" i="1" l="1"/>
  <c r="L277" i="1"/>
  <c r="I278" i="1"/>
  <c r="K277" i="1"/>
  <c r="I279" i="1" l="1"/>
  <c r="K278" i="1"/>
  <c r="J279" i="1"/>
  <c r="L278" i="1"/>
  <c r="J280" i="1" l="1"/>
  <c r="L279" i="1"/>
  <c r="I280" i="1"/>
  <c r="K279" i="1"/>
  <c r="I281" i="1" l="1"/>
  <c r="K280" i="1"/>
  <c r="J281" i="1"/>
  <c r="L280" i="1"/>
  <c r="J282" i="1" l="1"/>
  <c r="L281" i="1"/>
  <c r="I282" i="1"/>
  <c r="K281" i="1"/>
  <c r="I283" i="1" l="1"/>
  <c r="K282" i="1"/>
  <c r="J283" i="1"/>
  <c r="L282" i="1"/>
  <c r="J284" i="1" l="1"/>
  <c r="L283" i="1"/>
  <c r="I284" i="1"/>
  <c r="K283" i="1"/>
  <c r="I285" i="1" l="1"/>
  <c r="K284" i="1"/>
  <c r="J285" i="1"/>
  <c r="L284" i="1"/>
  <c r="J286" i="1" l="1"/>
  <c r="L285" i="1"/>
  <c r="I286" i="1"/>
  <c r="K285" i="1"/>
  <c r="I287" i="1" l="1"/>
  <c r="K286" i="1"/>
  <c r="J287" i="1"/>
  <c r="L286" i="1"/>
  <c r="J288" i="1" l="1"/>
  <c r="L287" i="1"/>
  <c r="I288" i="1"/>
  <c r="K287" i="1"/>
  <c r="J289" i="1" l="1"/>
  <c r="L288" i="1"/>
  <c r="I289" i="1"/>
  <c r="K288" i="1"/>
  <c r="I290" i="1" l="1"/>
  <c r="K289" i="1"/>
  <c r="J290" i="1"/>
  <c r="L289" i="1"/>
  <c r="J291" i="1" l="1"/>
  <c r="L290" i="1"/>
  <c r="I291" i="1"/>
  <c r="K290" i="1"/>
  <c r="I292" i="1" l="1"/>
  <c r="K291" i="1"/>
  <c r="J292" i="1"/>
  <c r="L291" i="1"/>
  <c r="J293" i="1" l="1"/>
  <c r="L292" i="1"/>
  <c r="I293" i="1"/>
  <c r="K292" i="1"/>
  <c r="I294" i="1" l="1"/>
  <c r="K293" i="1"/>
  <c r="J294" i="1"/>
  <c r="L293" i="1"/>
  <c r="J295" i="1" l="1"/>
  <c r="L294" i="1"/>
  <c r="I295" i="1"/>
  <c r="K294" i="1"/>
  <c r="I296" i="1" l="1"/>
  <c r="K295" i="1"/>
  <c r="J296" i="1"/>
  <c r="L295" i="1"/>
  <c r="J297" i="1" l="1"/>
  <c r="L296" i="1"/>
  <c r="I297" i="1"/>
  <c r="K296" i="1"/>
  <c r="I298" i="1" l="1"/>
  <c r="K297" i="1"/>
  <c r="J298" i="1"/>
  <c r="L297" i="1"/>
  <c r="J299" i="1" l="1"/>
  <c r="L298" i="1"/>
  <c r="I299" i="1"/>
  <c r="K298" i="1"/>
  <c r="I300" i="1" l="1"/>
  <c r="K299" i="1"/>
  <c r="J300" i="1"/>
  <c r="L299" i="1"/>
  <c r="J301" i="1" l="1"/>
  <c r="L300" i="1"/>
  <c r="I301" i="1"/>
  <c r="K300" i="1"/>
  <c r="I302" i="1" l="1"/>
  <c r="K301" i="1"/>
  <c r="J302" i="1"/>
  <c r="L301" i="1"/>
  <c r="J303" i="1" l="1"/>
  <c r="L302" i="1"/>
  <c r="I303" i="1"/>
  <c r="K302" i="1"/>
  <c r="I304" i="1" l="1"/>
  <c r="K303" i="1"/>
  <c r="J304" i="1"/>
  <c r="L303" i="1"/>
  <c r="J305" i="1" l="1"/>
  <c r="L304" i="1"/>
  <c r="I305" i="1"/>
  <c r="K304" i="1"/>
  <c r="I306" i="1" l="1"/>
  <c r="K305" i="1"/>
  <c r="J306" i="1"/>
  <c r="L305" i="1"/>
  <c r="J307" i="1" l="1"/>
  <c r="L306" i="1"/>
  <c r="I307" i="1"/>
  <c r="K306" i="1"/>
  <c r="I308" i="1" l="1"/>
  <c r="K307" i="1"/>
  <c r="J308" i="1"/>
  <c r="L307" i="1"/>
  <c r="J309" i="1" l="1"/>
  <c r="L308" i="1"/>
  <c r="I309" i="1"/>
  <c r="K308" i="1"/>
  <c r="I310" i="1" l="1"/>
  <c r="K309" i="1"/>
  <c r="J310" i="1"/>
  <c r="L309" i="1"/>
  <c r="J311" i="1" l="1"/>
  <c r="L310" i="1"/>
  <c r="I311" i="1"/>
  <c r="K310" i="1"/>
  <c r="I312" i="1" l="1"/>
  <c r="K311" i="1"/>
  <c r="J312" i="1"/>
  <c r="L311" i="1"/>
  <c r="J313" i="1" l="1"/>
  <c r="L312" i="1"/>
  <c r="I313" i="1"/>
  <c r="K312" i="1"/>
  <c r="I314" i="1" l="1"/>
  <c r="K313" i="1"/>
  <c r="J314" i="1"/>
  <c r="L313" i="1"/>
  <c r="J315" i="1" l="1"/>
  <c r="L314" i="1"/>
  <c r="I315" i="1"/>
  <c r="K314" i="1"/>
  <c r="I316" i="1" l="1"/>
  <c r="K315" i="1"/>
  <c r="J316" i="1"/>
  <c r="L315" i="1"/>
  <c r="J317" i="1" l="1"/>
  <c r="L316" i="1"/>
  <c r="I317" i="1"/>
  <c r="K316" i="1"/>
  <c r="I318" i="1" l="1"/>
  <c r="K317" i="1"/>
  <c r="J318" i="1"/>
  <c r="L317" i="1"/>
  <c r="J319" i="1" l="1"/>
  <c r="L318" i="1"/>
  <c r="I319" i="1"/>
  <c r="K318" i="1"/>
  <c r="I320" i="1" l="1"/>
  <c r="K319" i="1"/>
  <c r="J320" i="1"/>
  <c r="L319" i="1"/>
  <c r="J321" i="1" l="1"/>
  <c r="L320" i="1"/>
  <c r="I321" i="1"/>
  <c r="K320" i="1"/>
  <c r="I322" i="1" l="1"/>
  <c r="K321" i="1"/>
  <c r="J322" i="1"/>
  <c r="L321" i="1"/>
  <c r="J323" i="1" l="1"/>
  <c r="L322" i="1"/>
  <c r="I323" i="1"/>
  <c r="K322" i="1"/>
  <c r="I324" i="1" l="1"/>
  <c r="K323" i="1"/>
  <c r="J324" i="1"/>
  <c r="L323" i="1"/>
  <c r="J325" i="1" l="1"/>
  <c r="L324" i="1"/>
  <c r="I325" i="1"/>
  <c r="K324" i="1"/>
  <c r="I326" i="1" l="1"/>
  <c r="K325" i="1"/>
  <c r="J326" i="1"/>
  <c r="L325" i="1"/>
  <c r="J327" i="1" l="1"/>
  <c r="L326" i="1"/>
  <c r="I327" i="1"/>
  <c r="K326" i="1"/>
  <c r="I328" i="1" l="1"/>
  <c r="K327" i="1"/>
  <c r="J328" i="1"/>
  <c r="L327" i="1"/>
  <c r="J329" i="1" l="1"/>
  <c r="L328" i="1"/>
  <c r="I329" i="1"/>
  <c r="K328" i="1"/>
  <c r="I330" i="1" l="1"/>
  <c r="K329" i="1"/>
  <c r="J330" i="1"/>
  <c r="L329" i="1"/>
  <c r="J331" i="1" l="1"/>
  <c r="L330" i="1"/>
  <c r="I331" i="1"/>
  <c r="K330" i="1"/>
  <c r="I332" i="1" l="1"/>
  <c r="K331" i="1"/>
  <c r="J332" i="1"/>
  <c r="L331" i="1"/>
  <c r="J333" i="1" l="1"/>
  <c r="L332" i="1"/>
  <c r="I333" i="1"/>
  <c r="K332" i="1"/>
  <c r="I334" i="1" l="1"/>
  <c r="K333" i="1"/>
  <c r="J334" i="1"/>
  <c r="L333" i="1"/>
  <c r="J335" i="1" l="1"/>
  <c r="L334" i="1"/>
  <c r="I335" i="1"/>
  <c r="K334" i="1"/>
  <c r="I336" i="1" l="1"/>
  <c r="K335" i="1"/>
  <c r="J336" i="1"/>
  <c r="L335" i="1"/>
  <c r="J337" i="1" l="1"/>
  <c r="L336" i="1"/>
  <c r="I337" i="1"/>
  <c r="K336" i="1"/>
  <c r="I338" i="1" l="1"/>
  <c r="K337" i="1"/>
  <c r="J338" i="1"/>
  <c r="L337" i="1"/>
  <c r="J339" i="1" l="1"/>
  <c r="L338" i="1"/>
  <c r="I339" i="1"/>
  <c r="K338" i="1"/>
  <c r="I340" i="1" l="1"/>
  <c r="K339" i="1"/>
  <c r="J340" i="1"/>
  <c r="L339" i="1"/>
  <c r="J341" i="1" l="1"/>
  <c r="L340" i="1"/>
  <c r="I341" i="1"/>
  <c r="K340" i="1"/>
  <c r="I342" i="1" l="1"/>
  <c r="K341" i="1"/>
  <c r="J342" i="1"/>
  <c r="L341" i="1"/>
  <c r="J343" i="1" l="1"/>
  <c r="L342" i="1"/>
  <c r="I343" i="1"/>
  <c r="K342" i="1"/>
  <c r="I344" i="1" l="1"/>
  <c r="K343" i="1"/>
  <c r="J344" i="1"/>
  <c r="L343" i="1"/>
  <c r="J345" i="1" l="1"/>
  <c r="L344" i="1"/>
  <c r="I345" i="1"/>
  <c r="K344" i="1"/>
  <c r="I346" i="1" l="1"/>
  <c r="K345" i="1"/>
  <c r="J346" i="1"/>
  <c r="L345" i="1"/>
  <c r="J347" i="1" l="1"/>
  <c r="L346" i="1"/>
  <c r="I347" i="1"/>
  <c r="K346" i="1"/>
  <c r="I348" i="1" l="1"/>
  <c r="K347" i="1"/>
  <c r="J348" i="1"/>
  <c r="L347" i="1"/>
  <c r="J349" i="1" l="1"/>
  <c r="L348" i="1"/>
  <c r="I349" i="1"/>
  <c r="K348" i="1"/>
  <c r="I350" i="1" l="1"/>
  <c r="K349" i="1"/>
  <c r="J350" i="1"/>
  <c r="L349" i="1"/>
  <c r="J351" i="1" l="1"/>
  <c r="L350" i="1"/>
  <c r="I351" i="1"/>
  <c r="K350" i="1"/>
  <c r="I352" i="1" l="1"/>
  <c r="K351" i="1"/>
  <c r="J352" i="1"/>
  <c r="L351" i="1"/>
  <c r="J353" i="1" l="1"/>
  <c r="L352" i="1"/>
  <c r="I353" i="1"/>
  <c r="K352" i="1"/>
  <c r="I354" i="1" l="1"/>
  <c r="K353" i="1"/>
  <c r="J354" i="1"/>
  <c r="L353" i="1"/>
  <c r="J355" i="1" l="1"/>
  <c r="L354" i="1"/>
  <c r="I355" i="1"/>
  <c r="K354" i="1"/>
  <c r="I356" i="1" l="1"/>
  <c r="K355" i="1"/>
  <c r="J356" i="1"/>
  <c r="L355" i="1"/>
  <c r="J357" i="1" l="1"/>
  <c r="L356" i="1"/>
  <c r="I357" i="1"/>
  <c r="K356" i="1"/>
  <c r="I358" i="1" l="1"/>
  <c r="K357" i="1"/>
  <c r="J358" i="1"/>
  <c r="L357" i="1"/>
  <c r="J359" i="1" l="1"/>
  <c r="L358" i="1"/>
  <c r="I359" i="1"/>
  <c r="K358" i="1"/>
  <c r="I360" i="1" l="1"/>
  <c r="K359" i="1"/>
  <c r="J360" i="1"/>
  <c r="L359" i="1"/>
  <c r="J361" i="1" l="1"/>
  <c r="L360" i="1"/>
  <c r="I361" i="1"/>
  <c r="K360" i="1"/>
  <c r="I362" i="1" l="1"/>
  <c r="K361" i="1"/>
  <c r="J362" i="1"/>
  <c r="L361" i="1"/>
  <c r="J363" i="1" l="1"/>
  <c r="L362" i="1"/>
  <c r="I363" i="1"/>
  <c r="K362" i="1"/>
  <c r="I364" i="1" l="1"/>
  <c r="K363" i="1"/>
  <c r="J364" i="1"/>
  <c r="L363" i="1"/>
  <c r="J365" i="1" l="1"/>
  <c r="L364" i="1"/>
  <c r="I365" i="1"/>
  <c r="K364" i="1"/>
  <c r="I366" i="1" l="1"/>
  <c r="K365" i="1"/>
  <c r="J366" i="1"/>
  <c r="L365" i="1"/>
  <c r="I367" i="1" l="1"/>
  <c r="K366" i="1"/>
  <c r="J367" i="1"/>
  <c r="L366" i="1"/>
  <c r="J368" i="1" l="1"/>
  <c r="L367" i="1"/>
  <c r="I368" i="1"/>
  <c r="K367" i="1"/>
  <c r="I369" i="1" l="1"/>
  <c r="K368" i="1"/>
  <c r="J369" i="1"/>
  <c r="L368" i="1"/>
  <c r="J370" i="1" l="1"/>
  <c r="L369" i="1"/>
  <c r="I370" i="1"/>
  <c r="K369" i="1"/>
  <c r="J371" i="1" l="1"/>
  <c r="L370" i="1"/>
  <c r="I371" i="1"/>
  <c r="K370" i="1"/>
  <c r="I372" i="1" l="1"/>
  <c r="K371" i="1"/>
  <c r="J372" i="1"/>
  <c r="L371" i="1"/>
  <c r="J373" i="1" l="1"/>
  <c r="L372" i="1"/>
  <c r="I373" i="1"/>
  <c r="K372" i="1"/>
  <c r="I374" i="1" l="1"/>
  <c r="K373" i="1"/>
  <c r="J374" i="1"/>
  <c r="L373" i="1"/>
  <c r="J375" i="1" l="1"/>
  <c r="L374" i="1"/>
  <c r="I375" i="1"/>
  <c r="K374" i="1"/>
  <c r="I376" i="1" l="1"/>
  <c r="K375" i="1"/>
  <c r="J376" i="1"/>
  <c r="L375" i="1"/>
  <c r="J377" i="1" l="1"/>
  <c r="L376" i="1"/>
  <c r="I377" i="1"/>
  <c r="K376" i="1"/>
  <c r="J378" i="1" l="1"/>
  <c r="L377" i="1"/>
  <c r="I378" i="1"/>
  <c r="K377" i="1"/>
  <c r="I379" i="1" l="1"/>
  <c r="K378" i="1"/>
  <c r="J379" i="1"/>
  <c r="L378" i="1"/>
  <c r="J380" i="1" l="1"/>
  <c r="L379" i="1"/>
  <c r="I380" i="1"/>
  <c r="K379" i="1"/>
  <c r="I381" i="1" l="1"/>
  <c r="K380" i="1"/>
  <c r="J381" i="1"/>
  <c r="L380" i="1"/>
  <c r="J382" i="1" l="1"/>
  <c r="L381" i="1"/>
  <c r="I382" i="1"/>
  <c r="K381" i="1"/>
  <c r="I383" i="1" l="1"/>
  <c r="K382" i="1"/>
  <c r="J383" i="1"/>
  <c r="L382" i="1"/>
  <c r="J384" i="1" l="1"/>
  <c r="L383" i="1"/>
  <c r="I384" i="1"/>
  <c r="K383" i="1"/>
  <c r="I385" i="1" l="1"/>
  <c r="K384" i="1"/>
  <c r="J385" i="1"/>
  <c r="L384" i="1"/>
  <c r="J386" i="1" l="1"/>
  <c r="L385" i="1"/>
  <c r="I386" i="1"/>
  <c r="K385" i="1"/>
  <c r="I387" i="1" l="1"/>
  <c r="K386" i="1"/>
  <c r="J387" i="1"/>
  <c r="L386" i="1"/>
  <c r="J388" i="1" l="1"/>
  <c r="L387" i="1"/>
  <c r="I388" i="1"/>
  <c r="K387" i="1"/>
  <c r="I389" i="1" l="1"/>
  <c r="K388" i="1"/>
  <c r="J389" i="1"/>
  <c r="L388" i="1"/>
  <c r="J390" i="1" l="1"/>
  <c r="L389" i="1"/>
  <c r="I390" i="1"/>
  <c r="K389" i="1"/>
  <c r="I391" i="1" l="1"/>
  <c r="K390" i="1"/>
  <c r="J391" i="1"/>
  <c r="L390" i="1"/>
  <c r="J392" i="1" l="1"/>
  <c r="L391" i="1"/>
  <c r="I392" i="1"/>
  <c r="K391" i="1"/>
  <c r="I393" i="1" l="1"/>
  <c r="K392" i="1"/>
  <c r="J393" i="1"/>
  <c r="L392" i="1"/>
  <c r="J394" i="1" l="1"/>
  <c r="L393" i="1"/>
  <c r="I394" i="1"/>
  <c r="K393" i="1"/>
  <c r="I395" i="1" l="1"/>
  <c r="K394" i="1"/>
  <c r="J395" i="1"/>
  <c r="L394" i="1"/>
  <c r="J396" i="1" l="1"/>
  <c r="L395" i="1"/>
  <c r="I396" i="1"/>
  <c r="K395" i="1"/>
  <c r="I397" i="1" l="1"/>
  <c r="K396" i="1"/>
  <c r="J397" i="1"/>
  <c r="L396" i="1"/>
  <c r="J398" i="1" l="1"/>
  <c r="L397" i="1"/>
  <c r="I398" i="1"/>
  <c r="K397" i="1"/>
  <c r="I399" i="1" l="1"/>
  <c r="K398" i="1"/>
  <c r="J399" i="1"/>
  <c r="L398" i="1"/>
  <c r="J400" i="1" l="1"/>
  <c r="L399" i="1"/>
  <c r="I400" i="1"/>
  <c r="K399" i="1"/>
  <c r="J401" i="1" l="1"/>
  <c r="L400" i="1"/>
  <c r="I401" i="1"/>
  <c r="K400" i="1"/>
  <c r="I402" i="1" l="1"/>
  <c r="K401" i="1"/>
  <c r="J402" i="1"/>
  <c r="L401" i="1"/>
  <c r="J403" i="1" l="1"/>
  <c r="L402" i="1"/>
  <c r="I403" i="1"/>
  <c r="K402" i="1"/>
  <c r="I404" i="1" l="1"/>
  <c r="K403" i="1"/>
  <c r="J404" i="1"/>
  <c r="L403" i="1"/>
  <c r="J405" i="1" l="1"/>
  <c r="L404" i="1"/>
  <c r="I405" i="1"/>
  <c r="K404" i="1"/>
  <c r="I406" i="1" l="1"/>
  <c r="K405" i="1"/>
  <c r="J406" i="1"/>
  <c r="L405" i="1"/>
  <c r="J407" i="1" l="1"/>
  <c r="L406" i="1"/>
  <c r="I407" i="1"/>
  <c r="K406" i="1"/>
  <c r="I408" i="1" l="1"/>
  <c r="K407" i="1"/>
  <c r="J408" i="1"/>
  <c r="L407" i="1"/>
  <c r="J409" i="1" l="1"/>
  <c r="L408" i="1"/>
  <c r="I409" i="1"/>
  <c r="K408" i="1"/>
  <c r="I410" i="1" l="1"/>
  <c r="K409" i="1"/>
  <c r="J410" i="1"/>
  <c r="L409" i="1"/>
  <c r="J411" i="1" l="1"/>
  <c r="L410" i="1"/>
  <c r="I411" i="1"/>
  <c r="K410" i="1"/>
  <c r="I412" i="1" l="1"/>
  <c r="K411" i="1"/>
  <c r="J412" i="1"/>
  <c r="L411" i="1"/>
  <c r="J413" i="1" l="1"/>
  <c r="L412" i="1"/>
  <c r="I413" i="1"/>
  <c r="K412" i="1"/>
  <c r="I414" i="1" l="1"/>
  <c r="K413" i="1"/>
  <c r="J414" i="1"/>
  <c r="L413" i="1"/>
  <c r="J415" i="1" l="1"/>
  <c r="L414" i="1"/>
  <c r="I415" i="1"/>
  <c r="K414" i="1"/>
  <c r="I416" i="1" l="1"/>
  <c r="K415" i="1"/>
  <c r="J416" i="1"/>
  <c r="L415" i="1"/>
  <c r="J417" i="1" l="1"/>
  <c r="L416" i="1"/>
  <c r="I417" i="1"/>
  <c r="K416" i="1"/>
  <c r="I418" i="1" l="1"/>
  <c r="K417" i="1"/>
  <c r="J418" i="1"/>
  <c r="L417" i="1"/>
  <c r="J419" i="1" l="1"/>
  <c r="L418" i="1"/>
  <c r="I419" i="1"/>
  <c r="K418" i="1"/>
  <c r="I420" i="1" l="1"/>
  <c r="K419" i="1"/>
  <c r="J420" i="1"/>
  <c r="L419" i="1"/>
  <c r="J421" i="1" l="1"/>
  <c r="L420" i="1"/>
  <c r="I421" i="1"/>
  <c r="K420" i="1"/>
  <c r="I422" i="1" l="1"/>
  <c r="K421" i="1"/>
  <c r="J422" i="1"/>
  <c r="L421" i="1"/>
  <c r="J423" i="1" l="1"/>
  <c r="L422" i="1"/>
  <c r="I423" i="1"/>
  <c r="K422" i="1"/>
  <c r="I424" i="1" l="1"/>
  <c r="K423" i="1"/>
  <c r="J424" i="1"/>
  <c r="L423" i="1"/>
  <c r="J425" i="1" l="1"/>
  <c r="L424" i="1"/>
  <c r="I425" i="1"/>
  <c r="K424" i="1"/>
  <c r="I426" i="1" l="1"/>
  <c r="K425" i="1"/>
  <c r="J426" i="1"/>
  <c r="L425" i="1"/>
  <c r="J427" i="1" l="1"/>
  <c r="L426" i="1"/>
  <c r="I427" i="1"/>
  <c r="K426" i="1"/>
  <c r="I428" i="1" l="1"/>
  <c r="K427" i="1"/>
  <c r="J428" i="1"/>
  <c r="L427" i="1"/>
  <c r="J429" i="1" l="1"/>
  <c r="L428" i="1"/>
  <c r="I429" i="1"/>
  <c r="K428" i="1"/>
  <c r="I430" i="1" l="1"/>
  <c r="K429" i="1"/>
  <c r="J430" i="1"/>
  <c r="L429" i="1"/>
  <c r="J431" i="1" l="1"/>
  <c r="L430" i="1"/>
  <c r="I431" i="1"/>
  <c r="K430" i="1"/>
  <c r="I432" i="1" l="1"/>
  <c r="K431" i="1"/>
  <c r="J432" i="1"/>
  <c r="L431" i="1"/>
  <c r="J433" i="1" l="1"/>
  <c r="L432" i="1"/>
  <c r="I433" i="1"/>
  <c r="K432" i="1"/>
  <c r="I434" i="1" l="1"/>
  <c r="K433" i="1"/>
  <c r="J434" i="1"/>
  <c r="L433" i="1"/>
  <c r="J435" i="1" l="1"/>
  <c r="L434" i="1"/>
  <c r="I435" i="1"/>
  <c r="K434" i="1"/>
  <c r="I436" i="1" l="1"/>
  <c r="K435" i="1"/>
  <c r="J436" i="1"/>
  <c r="L435" i="1"/>
  <c r="J437" i="1" l="1"/>
  <c r="L436" i="1"/>
  <c r="I437" i="1"/>
  <c r="K436" i="1"/>
  <c r="I438" i="1" l="1"/>
  <c r="K437" i="1"/>
  <c r="J438" i="1"/>
  <c r="L437" i="1"/>
  <c r="J439" i="1" l="1"/>
  <c r="L438" i="1"/>
  <c r="I439" i="1"/>
  <c r="K438" i="1"/>
  <c r="I440" i="1" l="1"/>
  <c r="K439" i="1"/>
  <c r="J440" i="1"/>
  <c r="L439" i="1"/>
  <c r="J441" i="1" l="1"/>
  <c r="L440" i="1"/>
  <c r="I441" i="1"/>
  <c r="K440" i="1"/>
  <c r="I442" i="1" l="1"/>
  <c r="K441" i="1"/>
  <c r="J442" i="1"/>
  <c r="L441" i="1"/>
  <c r="J443" i="1" l="1"/>
  <c r="L442" i="1"/>
  <c r="I443" i="1"/>
  <c r="K442" i="1"/>
  <c r="I444" i="1" l="1"/>
  <c r="K443" i="1"/>
  <c r="J444" i="1"/>
  <c r="L443" i="1"/>
  <c r="J445" i="1" l="1"/>
  <c r="L444" i="1"/>
  <c r="I445" i="1"/>
  <c r="K444" i="1"/>
  <c r="I446" i="1" l="1"/>
  <c r="K445" i="1"/>
  <c r="J446" i="1"/>
  <c r="L445" i="1"/>
  <c r="J447" i="1" l="1"/>
  <c r="L446" i="1"/>
  <c r="I447" i="1"/>
  <c r="K446" i="1"/>
  <c r="I448" i="1" l="1"/>
  <c r="K447" i="1"/>
  <c r="J448" i="1"/>
  <c r="L447" i="1"/>
  <c r="J449" i="1" l="1"/>
  <c r="L448" i="1"/>
  <c r="I449" i="1"/>
  <c r="K448" i="1"/>
  <c r="I450" i="1" l="1"/>
  <c r="K449" i="1"/>
  <c r="J450" i="1"/>
  <c r="L449" i="1"/>
  <c r="J451" i="1" l="1"/>
  <c r="L450" i="1"/>
  <c r="I451" i="1"/>
  <c r="K450" i="1"/>
  <c r="I452" i="1" l="1"/>
  <c r="K451" i="1"/>
  <c r="J452" i="1"/>
  <c r="L451" i="1"/>
  <c r="J453" i="1" l="1"/>
  <c r="L452" i="1"/>
  <c r="I453" i="1"/>
  <c r="K452" i="1"/>
  <c r="I454" i="1" l="1"/>
  <c r="K453" i="1"/>
  <c r="J454" i="1"/>
  <c r="L453" i="1"/>
  <c r="J455" i="1" l="1"/>
  <c r="L454" i="1"/>
  <c r="I455" i="1"/>
  <c r="K454" i="1"/>
  <c r="I456" i="1" l="1"/>
  <c r="K455" i="1"/>
  <c r="J456" i="1"/>
  <c r="L455" i="1"/>
  <c r="J457" i="1" l="1"/>
  <c r="L456" i="1"/>
  <c r="I457" i="1"/>
  <c r="K456" i="1"/>
  <c r="I458" i="1" l="1"/>
  <c r="K457" i="1"/>
  <c r="J458" i="1"/>
  <c r="L457" i="1"/>
  <c r="J459" i="1" l="1"/>
  <c r="L458" i="1"/>
  <c r="I459" i="1"/>
  <c r="K458" i="1"/>
  <c r="I460" i="1" l="1"/>
  <c r="K459" i="1"/>
  <c r="J460" i="1"/>
  <c r="L459" i="1"/>
  <c r="J461" i="1" l="1"/>
  <c r="L460" i="1"/>
  <c r="I461" i="1"/>
  <c r="K460" i="1"/>
  <c r="I462" i="1" l="1"/>
  <c r="K461" i="1"/>
  <c r="J462" i="1"/>
  <c r="L461" i="1"/>
  <c r="J463" i="1" l="1"/>
  <c r="L462" i="1"/>
  <c r="I463" i="1"/>
  <c r="K462" i="1"/>
  <c r="I464" i="1" l="1"/>
  <c r="K463" i="1"/>
  <c r="J464" i="1"/>
  <c r="L463" i="1"/>
  <c r="J465" i="1" l="1"/>
  <c r="L464" i="1"/>
  <c r="I465" i="1"/>
  <c r="K464" i="1"/>
  <c r="I466" i="1" l="1"/>
  <c r="K465" i="1"/>
  <c r="J466" i="1"/>
  <c r="L465" i="1"/>
  <c r="J467" i="1" l="1"/>
  <c r="L466" i="1"/>
  <c r="I467" i="1"/>
  <c r="K466" i="1"/>
  <c r="I468" i="1" l="1"/>
  <c r="K467" i="1"/>
  <c r="J468" i="1"/>
  <c r="L467" i="1"/>
  <c r="J469" i="1" l="1"/>
  <c r="L468" i="1"/>
  <c r="I469" i="1"/>
  <c r="K468" i="1"/>
  <c r="I470" i="1" l="1"/>
  <c r="K469" i="1"/>
  <c r="J470" i="1"/>
  <c r="L469" i="1"/>
  <c r="J471" i="1" l="1"/>
  <c r="L470" i="1"/>
  <c r="I471" i="1"/>
  <c r="K470" i="1"/>
  <c r="I472" i="1" l="1"/>
  <c r="K471" i="1"/>
  <c r="J472" i="1"/>
  <c r="L471" i="1"/>
  <c r="J473" i="1" l="1"/>
  <c r="L472" i="1"/>
  <c r="I473" i="1"/>
  <c r="K472" i="1"/>
  <c r="I474" i="1" l="1"/>
  <c r="K473" i="1"/>
  <c r="J474" i="1"/>
  <c r="L473" i="1"/>
  <c r="J475" i="1" l="1"/>
  <c r="L474" i="1"/>
  <c r="I475" i="1"/>
  <c r="K474" i="1"/>
  <c r="I476" i="1" l="1"/>
  <c r="K475" i="1"/>
  <c r="J476" i="1"/>
  <c r="L475" i="1"/>
  <c r="J477" i="1" l="1"/>
  <c r="L476" i="1"/>
  <c r="I477" i="1"/>
  <c r="K476" i="1"/>
  <c r="I478" i="1" l="1"/>
  <c r="K477" i="1"/>
  <c r="J478" i="1"/>
  <c r="L477" i="1"/>
  <c r="J479" i="1" l="1"/>
  <c r="L478" i="1"/>
  <c r="I479" i="1"/>
  <c r="K478" i="1"/>
  <c r="I480" i="1" l="1"/>
  <c r="K479" i="1"/>
  <c r="J480" i="1"/>
  <c r="L479" i="1"/>
  <c r="J481" i="1" l="1"/>
  <c r="L480" i="1"/>
  <c r="I481" i="1"/>
  <c r="K480" i="1"/>
  <c r="I482" i="1" l="1"/>
  <c r="K481" i="1"/>
  <c r="J482" i="1"/>
  <c r="L481" i="1"/>
  <c r="J483" i="1" l="1"/>
  <c r="L482" i="1"/>
  <c r="I483" i="1"/>
  <c r="K482" i="1"/>
  <c r="I484" i="1" l="1"/>
  <c r="K483" i="1"/>
  <c r="J484" i="1"/>
  <c r="L483" i="1"/>
  <c r="J485" i="1" l="1"/>
  <c r="L484" i="1"/>
  <c r="I485" i="1"/>
  <c r="K484" i="1"/>
  <c r="I486" i="1" l="1"/>
  <c r="K485" i="1"/>
  <c r="J486" i="1"/>
  <c r="L485" i="1"/>
  <c r="J487" i="1" l="1"/>
  <c r="L486" i="1"/>
  <c r="I487" i="1"/>
  <c r="K486" i="1"/>
  <c r="I488" i="1" l="1"/>
  <c r="K487" i="1"/>
  <c r="J488" i="1"/>
  <c r="L487" i="1"/>
  <c r="J489" i="1" l="1"/>
  <c r="L488" i="1"/>
  <c r="I489" i="1"/>
  <c r="K488" i="1"/>
  <c r="I490" i="1" l="1"/>
  <c r="K489" i="1"/>
  <c r="J490" i="1"/>
  <c r="L489" i="1"/>
  <c r="J491" i="1" l="1"/>
  <c r="L490" i="1"/>
  <c r="I491" i="1"/>
  <c r="K490" i="1"/>
  <c r="I492" i="1" l="1"/>
  <c r="K491" i="1"/>
  <c r="J492" i="1"/>
  <c r="L491" i="1"/>
  <c r="J493" i="1" l="1"/>
  <c r="L492" i="1"/>
  <c r="I493" i="1"/>
  <c r="K492" i="1"/>
  <c r="I494" i="1" l="1"/>
  <c r="K493" i="1"/>
  <c r="J494" i="1"/>
  <c r="L493" i="1"/>
  <c r="J495" i="1" l="1"/>
  <c r="L494" i="1"/>
  <c r="I495" i="1"/>
  <c r="K494" i="1"/>
  <c r="I496" i="1" l="1"/>
  <c r="K495" i="1"/>
  <c r="J496" i="1"/>
  <c r="L495" i="1"/>
  <c r="J497" i="1" l="1"/>
  <c r="L496" i="1"/>
  <c r="I497" i="1"/>
  <c r="K496" i="1"/>
  <c r="I498" i="1" l="1"/>
  <c r="K497" i="1"/>
  <c r="J498" i="1"/>
  <c r="L497" i="1"/>
  <c r="J499" i="1" l="1"/>
  <c r="L498" i="1"/>
  <c r="I499" i="1"/>
  <c r="K498" i="1"/>
  <c r="I500" i="1" l="1"/>
  <c r="K499" i="1"/>
  <c r="J500" i="1"/>
  <c r="L499" i="1"/>
  <c r="J501" i="1" l="1"/>
  <c r="L500" i="1"/>
  <c r="I501" i="1"/>
  <c r="K500" i="1"/>
  <c r="I502" i="1" l="1"/>
  <c r="K501" i="1"/>
  <c r="J502" i="1"/>
  <c r="L501" i="1"/>
  <c r="J503" i="1" l="1"/>
  <c r="L502" i="1"/>
  <c r="I503" i="1"/>
  <c r="K502" i="1"/>
  <c r="I504" i="1" l="1"/>
  <c r="K503" i="1"/>
  <c r="J504" i="1"/>
  <c r="L503" i="1"/>
  <c r="J505" i="1" l="1"/>
  <c r="L504" i="1"/>
  <c r="I505" i="1"/>
  <c r="K504" i="1"/>
  <c r="I506" i="1" l="1"/>
  <c r="K505" i="1"/>
  <c r="J506" i="1"/>
  <c r="L505" i="1"/>
  <c r="J507" i="1" l="1"/>
  <c r="L506" i="1"/>
  <c r="I507" i="1"/>
  <c r="K506" i="1"/>
  <c r="I508" i="1" l="1"/>
  <c r="K507" i="1"/>
  <c r="J508" i="1"/>
  <c r="L507" i="1"/>
  <c r="J509" i="1" l="1"/>
  <c r="L508" i="1"/>
  <c r="I509" i="1"/>
  <c r="K508" i="1"/>
  <c r="I510" i="1" l="1"/>
  <c r="K509" i="1"/>
  <c r="J510" i="1"/>
  <c r="L509" i="1"/>
  <c r="J511" i="1" l="1"/>
  <c r="L510" i="1"/>
  <c r="I511" i="1"/>
  <c r="K510" i="1"/>
  <c r="I512" i="1" l="1"/>
  <c r="K511" i="1"/>
  <c r="J512" i="1"/>
  <c r="L511" i="1"/>
  <c r="J513" i="1" l="1"/>
  <c r="L512" i="1"/>
  <c r="I513" i="1"/>
  <c r="K512" i="1"/>
  <c r="I514" i="1" l="1"/>
  <c r="K513" i="1"/>
  <c r="J514" i="1"/>
  <c r="L513" i="1"/>
  <c r="J515" i="1" l="1"/>
  <c r="L514" i="1"/>
  <c r="I515" i="1"/>
  <c r="K514" i="1"/>
  <c r="I516" i="1" l="1"/>
  <c r="K515" i="1"/>
  <c r="J516" i="1"/>
  <c r="L515" i="1"/>
  <c r="J517" i="1" l="1"/>
  <c r="L516" i="1"/>
  <c r="I517" i="1"/>
  <c r="K516" i="1"/>
  <c r="I518" i="1" l="1"/>
  <c r="K517" i="1"/>
  <c r="J518" i="1"/>
  <c r="L517" i="1"/>
  <c r="J519" i="1" l="1"/>
  <c r="L518" i="1"/>
  <c r="I519" i="1"/>
  <c r="K518" i="1"/>
  <c r="I520" i="1" l="1"/>
  <c r="K519" i="1"/>
  <c r="J520" i="1"/>
  <c r="L519" i="1"/>
  <c r="J521" i="1" l="1"/>
  <c r="L520" i="1"/>
  <c r="I521" i="1"/>
  <c r="K520" i="1"/>
  <c r="I522" i="1" l="1"/>
  <c r="K521" i="1"/>
  <c r="J522" i="1"/>
  <c r="L521" i="1"/>
  <c r="J523" i="1" l="1"/>
  <c r="L522" i="1"/>
  <c r="I523" i="1"/>
  <c r="K522" i="1"/>
  <c r="I524" i="1" l="1"/>
  <c r="K523" i="1"/>
  <c r="J524" i="1"/>
  <c r="L523" i="1"/>
  <c r="J525" i="1" l="1"/>
  <c r="L524" i="1"/>
  <c r="I525" i="1"/>
  <c r="K524" i="1"/>
  <c r="I526" i="1" l="1"/>
  <c r="K525" i="1"/>
  <c r="J526" i="1"/>
  <c r="L525" i="1"/>
  <c r="J527" i="1" l="1"/>
  <c r="L526" i="1"/>
  <c r="I527" i="1"/>
  <c r="K526" i="1"/>
  <c r="I528" i="1" l="1"/>
  <c r="K527" i="1"/>
  <c r="J528" i="1"/>
  <c r="L527" i="1"/>
  <c r="J529" i="1" l="1"/>
  <c r="L528" i="1"/>
  <c r="I529" i="1"/>
  <c r="K528" i="1"/>
  <c r="I530" i="1" l="1"/>
  <c r="K529" i="1"/>
  <c r="J530" i="1"/>
  <c r="L529" i="1"/>
  <c r="J531" i="1" l="1"/>
  <c r="L530" i="1"/>
  <c r="I531" i="1"/>
  <c r="K530" i="1"/>
  <c r="I532" i="1" l="1"/>
  <c r="K531" i="1"/>
  <c r="J532" i="1"/>
  <c r="L531" i="1"/>
  <c r="J533" i="1" l="1"/>
  <c r="L532" i="1"/>
  <c r="I533" i="1"/>
  <c r="K532" i="1"/>
  <c r="I534" i="1" l="1"/>
  <c r="K533" i="1"/>
  <c r="J534" i="1"/>
  <c r="L533" i="1"/>
  <c r="J535" i="1" l="1"/>
  <c r="L534" i="1"/>
  <c r="I535" i="1"/>
  <c r="K534" i="1"/>
  <c r="I536" i="1" l="1"/>
  <c r="K535" i="1"/>
  <c r="J536" i="1"/>
  <c r="L535" i="1"/>
  <c r="J537" i="1" l="1"/>
  <c r="L536" i="1"/>
  <c r="I537" i="1"/>
  <c r="K536" i="1"/>
  <c r="I538" i="1" l="1"/>
  <c r="K537" i="1"/>
  <c r="J538" i="1"/>
  <c r="L537" i="1"/>
  <c r="J539" i="1" l="1"/>
  <c r="L538" i="1"/>
  <c r="I539" i="1"/>
  <c r="K538" i="1"/>
  <c r="I540" i="1" l="1"/>
  <c r="K539" i="1"/>
  <c r="J540" i="1"/>
  <c r="L539" i="1"/>
  <c r="J541" i="1" l="1"/>
  <c r="L540" i="1"/>
  <c r="I541" i="1"/>
  <c r="K540" i="1"/>
  <c r="I542" i="1" l="1"/>
  <c r="K541" i="1"/>
  <c r="J542" i="1"/>
  <c r="L541" i="1"/>
  <c r="J543" i="1" l="1"/>
  <c r="L542" i="1"/>
  <c r="I543" i="1"/>
  <c r="K542" i="1"/>
  <c r="I544" i="1" l="1"/>
  <c r="K543" i="1"/>
  <c r="J544" i="1"/>
  <c r="L543" i="1"/>
  <c r="J545" i="1" l="1"/>
  <c r="L544" i="1"/>
  <c r="I545" i="1"/>
  <c r="K544" i="1"/>
  <c r="I546" i="1" l="1"/>
  <c r="K545" i="1"/>
  <c r="J546" i="1"/>
  <c r="L545" i="1"/>
  <c r="J547" i="1" l="1"/>
  <c r="L546" i="1"/>
  <c r="I547" i="1"/>
  <c r="K546" i="1"/>
  <c r="I548" i="1" l="1"/>
  <c r="K547" i="1"/>
  <c r="J548" i="1"/>
  <c r="L547" i="1"/>
  <c r="J549" i="1" l="1"/>
  <c r="L548" i="1"/>
  <c r="I549" i="1"/>
  <c r="K548" i="1"/>
  <c r="I550" i="1" l="1"/>
  <c r="K549" i="1"/>
  <c r="J550" i="1"/>
  <c r="L549" i="1"/>
  <c r="J551" i="1" l="1"/>
  <c r="L550" i="1"/>
  <c r="I551" i="1"/>
  <c r="K550" i="1"/>
  <c r="I552" i="1" l="1"/>
  <c r="K551" i="1"/>
  <c r="J552" i="1"/>
  <c r="L551" i="1"/>
  <c r="J553" i="1" l="1"/>
  <c r="L552" i="1"/>
  <c r="I553" i="1"/>
  <c r="K552" i="1"/>
  <c r="I554" i="1" l="1"/>
  <c r="K553" i="1"/>
  <c r="J554" i="1"/>
  <c r="L553" i="1"/>
  <c r="J555" i="1" l="1"/>
  <c r="L554" i="1"/>
  <c r="I555" i="1"/>
  <c r="K554" i="1"/>
  <c r="I556" i="1" l="1"/>
  <c r="K555" i="1"/>
  <c r="J556" i="1"/>
  <c r="L555" i="1"/>
  <c r="J557" i="1" l="1"/>
  <c r="L556" i="1"/>
  <c r="I557" i="1"/>
  <c r="K556" i="1"/>
  <c r="I558" i="1" l="1"/>
  <c r="K557" i="1"/>
  <c r="J558" i="1"/>
  <c r="L557" i="1"/>
  <c r="J559" i="1" l="1"/>
  <c r="L558" i="1"/>
  <c r="I559" i="1"/>
  <c r="K558" i="1"/>
  <c r="I560" i="1" l="1"/>
  <c r="K559" i="1"/>
  <c r="J560" i="1"/>
  <c r="L559" i="1"/>
  <c r="J561" i="1" l="1"/>
  <c r="L560" i="1"/>
  <c r="I561" i="1"/>
  <c r="K560" i="1"/>
  <c r="I562" i="1" l="1"/>
  <c r="K561" i="1"/>
  <c r="J562" i="1"/>
  <c r="L561" i="1"/>
  <c r="J563" i="1" l="1"/>
  <c r="L562" i="1"/>
  <c r="I563" i="1"/>
  <c r="K562" i="1"/>
  <c r="I564" i="1" l="1"/>
  <c r="K563" i="1"/>
  <c r="J564" i="1"/>
  <c r="L563" i="1"/>
  <c r="J565" i="1" l="1"/>
  <c r="L564" i="1"/>
  <c r="I565" i="1"/>
  <c r="K564" i="1"/>
  <c r="I566" i="1" l="1"/>
  <c r="K565" i="1"/>
  <c r="J566" i="1"/>
  <c r="L565" i="1"/>
  <c r="J567" i="1" l="1"/>
  <c r="L566" i="1"/>
  <c r="I567" i="1"/>
  <c r="K566" i="1"/>
  <c r="I568" i="1" l="1"/>
  <c r="K567" i="1"/>
  <c r="J568" i="1"/>
  <c r="L567" i="1"/>
  <c r="J569" i="1" l="1"/>
  <c r="L568" i="1"/>
  <c r="I569" i="1"/>
  <c r="K568" i="1"/>
  <c r="I570" i="1" l="1"/>
  <c r="K569" i="1"/>
  <c r="J570" i="1"/>
  <c r="L569" i="1"/>
  <c r="J571" i="1" l="1"/>
  <c r="L570" i="1"/>
  <c r="I571" i="1"/>
  <c r="K570" i="1"/>
  <c r="I572" i="1" l="1"/>
  <c r="K571" i="1"/>
  <c r="J572" i="1"/>
  <c r="L571" i="1"/>
  <c r="J573" i="1" l="1"/>
  <c r="L572" i="1"/>
  <c r="I573" i="1"/>
  <c r="K572" i="1"/>
  <c r="I574" i="1" l="1"/>
  <c r="K573" i="1"/>
  <c r="J574" i="1"/>
  <c r="L573" i="1"/>
  <c r="J575" i="1" l="1"/>
  <c r="L574" i="1"/>
  <c r="I575" i="1"/>
  <c r="K574" i="1"/>
  <c r="I576" i="1" l="1"/>
  <c r="K575" i="1"/>
  <c r="J576" i="1"/>
  <c r="L575" i="1"/>
  <c r="J577" i="1" l="1"/>
  <c r="L576" i="1"/>
  <c r="I577" i="1"/>
  <c r="K576" i="1"/>
  <c r="I578" i="1" l="1"/>
  <c r="K577" i="1"/>
  <c r="J578" i="1"/>
  <c r="L577" i="1"/>
  <c r="J579" i="1" l="1"/>
  <c r="L578" i="1"/>
  <c r="I579" i="1"/>
  <c r="K578" i="1"/>
  <c r="I580" i="1" l="1"/>
  <c r="K579" i="1"/>
  <c r="J580" i="1"/>
  <c r="L579" i="1"/>
  <c r="J581" i="1" l="1"/>
  <c r="L580" i="1"/>
  <c r="I581" i="1"/>
  <c r="K580" i="1"/>
  <c r="I582" i="1" l="1"/>
  <c r="K581" i="1"/>
  <c r="J582" i="1"/>
  <c r="L581" i="1"/>
  <c r="J583" i="1" l="1"/>
  <c r="L582" i="1"/>
  <c r="I583" i="1"/>
  <c r="K582" i="1"/>
  <c r="I584" i="1" l="1"/>
  <c r="K583" i="1"/>
  <c r="J584" i="1"/>
  <c r="L583" i="1"/>
  <c r="J585" i="1" l="1"/>
  <c r="L584" i="1"/>
  <c r="I585" i="1"/>
  <c r="K584" i="1"/>
  <c r="I586" i="1" l="1"/>
  <c r="K585" i="1"/>
  <c r="J586" i="1"/>
  <c r="L585" i="1"/>
  <c r="J587" i="1" l="1"/>
  <c r="L586" i="1"/>
  <c r="I587" i="1"/>
  <c r="K586" i="1"/>
  <c r="I588" i="1" l="1"/>
  <c r="K587" i="1"/>
  <c r="J588" i="1"/>
  <c r="L587" i="1"/>
  <c r="J589" i="1" l="1"/>
  <c r="L588" i="1"/>
  <c r="I589" i="1"/>
  <c r="K588" i="1"/>
  <c r="I590" i="1" l="1"/>
  <c r="K589" i="1"/>
  <c r="J590" i="1"/>
  <c r="L589" i="1"/>
  <c r="J591" i="1" l="1"/>
  <c r="L590" i="1"/>
  <c r="I591" i="1"/>
  <c r="K590" i="1"/>
  <c r="I592" i="1" l="1"/>
  <c r="K591" i="1"/>
  <c r="J592" i="1"/>
  <c r="L591" i="1"/>
  <c r="J593" i="1" l="1"/>
  <c r="L592" i="1"/>
  <c r="I593" i="1"/>
  <c r="K592" i="1"/>
  <c r="I594" i="1" l="1"/>
  <c r="K593" i="1"/>
  <c r="J594" i="1"/>
  <c r="L593" i="1"/>
  <c r="J595" i="1" l="1"/>
  <c r="L594" i="1"/>
  <c r="I595" i="1"/>
  <c r="K594" i="1"/>
  <c r="I596" i="1" l="1"/>
  <c r="K595" i="1"/>
  <c r="J596" i="1"/>
  <c r="L595" i="1"/>
  <c r="J597" i="1" l="1"/>
  <c r="L596" i="1"/>
  <c r="I597" i="1"/>
  <c r="K596" i="1"/>
  <c r="I598" i="1" l="1"/>
  <c r="K597" i="1"/>
  <c r="J598" i="1"/>
  <c r="L597" i="1"/>
  <c r="J599" i="1" l="1"/>
  <c r="L598" i="1"/>
  <c r="I599" i="1"/>
  <c r="K598" i="1"/>
  <c r="I600" i="1" l="1"/>
  <c r="K599" i="1"/>
  <c r="J600" i="1"/>
  <c r="L599" i="1"/>
  <c r="J601" i="1" l="1"/>
  <c r="L600" i="1"/>
  <c r="I601" i="1"/>
  <c r="K600" i="1"/>
  <c r="I602" i="1" l="1"/>
  <c r="K601" i="1"/>
  <c r="J602" i="1"/>
  <c r="L601" i="1"/>
  <c r="J603" i="1" l="1"/>
  <c r="L602" i="1"/>
  <c r="I603" i="1"/>
  <c r="K602" i="1"/>
  <c r="I604" i="1" l="1"/>
  <c r="K603" i="1"/>
  <c r="J604" i="1"/>
  <c r="L603" i="1"/>
  <c r="J605" i="1" l="1"/>
  <c r="L604" i="1"/>
  <c r="I605" i="1"/>
  <c r="K604" i="1"/>
  <c r="I606" i="1" l="1"/>
  <c r="K605" i="1"/>
  <c r="J606" i="1"/>
  <c r="L605" i="1"/>
  <c r="J607" i="1" l="1"/>
  <c r="L606" i="1"/>
  <c r="I607" i="1"/>
  <c r="K606" i="1"/>
  <c r="I608" i="1" l="1"/>
  <c r="K607" i="1"/>
  <c r="J608" i="1"/>
  <c r="L607" i="1"/>
  <c r="J609" i="1" l="1"/>
  <c r="L608" i="1"/>
  <c r="I609" i="1"/>
  <c r="K608" i="1"/>
  <c r="I610" i="1" l="1"/>
  <c r="K609" i="1"/>
  <c r="J610" i="1"/>
  <c r="L609" i="1"/>
  <c r="I611" i="1" l="1"/>
  <c r="K610" i="1"/>
  <c r="J611" i="1"/>
  <c r="L610" i="1"/>
  <c r="J612" i="1" l="1"/>
  <c r="L611" i="1"/>
  <c r="I612" i="1"/>
  <c r="K611" i="1"/>
  <c r="I613" i="1" l="1"/>
  <c r="K612" i="1"/>
  <c r="J613" i="1"/>
  <c r="L612" i="1"/>
  <c r="J614" i="1" l="1"/>
  <c r="L613" i="1"/>
  <c r="I614" i="1"/>
  <c r="K613" i="1"/>
  <c r="I615" i="1" l="1"/>
  <c r="K614" i="1"/>
  <c r="J615" i="1"/>
  <c r="L614" i="1"/>
  <c r="J616" i="1" l="1"/>
  <c r="L615" i="1"/>
  <c r="I616" i="1"/>
  <c r="K615" i="1"/>
  <c r="I617" i="1" l="1"/>
  <c r="K616" i="1"/>
  <c r="J617" i="1"/>
  <c r="L616" i="1"/>
  <c r="J618" i="1" l="1"/>
  <c r="L617" i="1"/>
  <c r="I618" i="1"/>
  <c r="K617" i="1"/>
  <c r="I619" i="1" l="1"/>
  <c r="K618" i="1"/>
  <c r="J619" i="1"/>
  <c r="L618" i="1"/>
  <c r="J620" i="1" l="1"/>
  <c r="L619" i="1"/>
  <c r="I620" i="1"/>
  <c r="K619" i="1"/>
  <c r="I621" i="1" l="1"/>
  <c r="K620" i="1"/>
  <c r="J621" i="1"/>
  <c r="L620" i="1"/>
  <c r="J622" i="1" l="1"/>
  <c r="L621" i="1"/>
  <c r="I622" i="1"/>
  <c r="K621" i="1"/>
  <c r="I623" i="1" l="1"/>
  <c r="K622" i="1"/>
  <c r="J623" i="1"/>
  <c r="L622" i="1"/>
  <c r="J624" i="1" l="1"/>
  <c r="L623" i="1"/>
  <c r="I624" i="1"/>
  <c r="K623" i="1"/>
  <c r="I625" i="1" l="1"/>
  <c r="K624" i="1"/>
  <c r="J625" i="1"/>
  <c r="L624" i="1"/>
  <c r="J626" i="1" l="1"/>
  <c r="L625" i="1"/>
  <c r="I626" i="1"/>
  <c r="K625" i="1"/>
  <c r="J627" i="1" l="1"/>
  <c r="L626" i="1"/>
  <c r="I627" i="1"/>
  <c r="K626" i="1"/>
  <c r="I628" i="1" l="1"/>
  <c r="K627" i="1"/>
  <c r="J628" i="1"/>
  <c r="L627" i="1"/>
  <c r="J629" i="1" l="1"/>
  <c r="L628" i="1"/>
  <c r="I629" i="1"/>
  <c r="K628" i="1"/>
  <c r="I630" i="1" l="1"/>
  <c r="K629" i="1"/>
  <c r="J630" i="1"/>
  <c r="L629" i="1"/>
  <c r="J631" i="1" l="1"/>
  <c r="L630" i="1"/>
  <c r="I631" i="1"/>
  <c r="K630" i="1"/>
  <c r="I632" i="1" l="1"/>
  <c r="K631" i="1"/>
  <c r="J632" i="1"/>
  <c r="L631" i="1"/>
  <c r="J633" i="1" l="1"/>
  <c r="L632" i="1"/>
  <c r="I633" i="1"/>
  <c r="K632" i="1"/>
  <c r="I634" i="1" l="1"/>
  <c r="K633" i="1"/>
  <c r="J634" i="1"/>
  <c r="L633" i="1"/>
  <c r="J635" i="1" l="1"/>
  <c r="L634" i="1"/>
  <c r="I635" i="1"/>
  <c r="K634" i="1"/>
  <c r="I636" i="1" l="1"/>
  <c r="K635" i="1"/>
  <c r="J636" i="1"/>
  <c r="L635" i="1"/>
  <c r="J637" i="1" l="1"/>
  <c r="L636" i="1"/>
  <c r="I637" i="1"/>
  <c r="K636" i="1"/>
  <c r="I638" i="1" l="1"/>
  <c r="K637" i="1"/>
  <c r="J638" i="1"/>
  <c r="L637" i="1"/>
  <c r="J639" i="1" l="1"/>
  <c r="L638" i="1"/>
  <c r="I639" i="1"/>
  <c r="K638" i="1"/>
  <c r="I640" i="1" l="1"/>
  <c r="K639" i="1"/>
  <c r="J640" i="1"/>
  <c r="L639" i="1"/>
  <c r="J641" i="1" l="1"/>
  <c r="L640" i="1"/>
  <c r="I641" i="1"/>
  <c r="K640" i="1"/>
  <c r="I642" i="1" l="1"/>
  <c r="K641" i="1"/>
  <c r="J642" i="1"/>
  <c r="L641" i="1"/>
  <c r="J643" i="1" l="1"/>
  <c r="L642" i="1"/>
  <c r="I643" i="1"/>
  <c r="K642" i="1"/>
  <c r="I644" i="1" l="1"/>
  <c r="K643" i="1"/>
  <c r="J644" i="1"/>
  <c r="L643" i="1"/>
  <c r="J645" i="1" l="1"/>
  <c r="L644" i="1"/>
  <c r="I645" i="1"/>
  <c r="K644" i="1"/>
  <c r="I646" i="1" l="1"/>
  <c r="K645" i="1"/>
  <c r="J646" i="1"/>
  <c r="L645" i="1"/>
  <c r="J647" i="1" l="1"/>
  <c r="L646" i="1"/>
  <c r="I647" i="1"/>
  <c r="K646" i="1"/>
  <c r="I648" i="1" l="1"/>
  <c r="K647" i="1"/>
  <c r="J648" i="1"/>
  <c r="L647" i="1"/>
  <c r="J649" i="1" l="1"/>
  <c r="L648" i="1"/>
  <c r="I649" i="1"/>
  <c r="K648" i="1"/>
  <c r="I650" i="1" l="1"/>
  <c r="K649" i="1"/>
  <c r="J650" i="1"/>
  <c r="L649" i="1"/>
  <c r="J651" i="1" l="1"/>
  <c r="L650" i="1"/>
  <c r="I651" i="1"/>
  <c r="K650" i="1"/>
  <c r="I652" i="1" l="1"/>
  <c r="K651" i="1"/>
  <c r="J652" i="1"/>
  <c r="L651" i="1"/>
  <c r="J653" i="1" l="1"/>
  <c r="L652" i="1"/>
  <c r="I653" i="1"/>
  <c r="K652" i="1"/>
  <c r="I654" i="1" l="1"/>
  <c r="K653" i="1"/>
  <c r="J654" i="1"/>
  <c r="L653" i="1"/>
  <c r="J655" i="1" l="1"/>
  <c r="L654" i="1"/>
  <c r="I655" i="1"/>
  <c r="K654" i="1"/>
  <c r="I656" i="1" l="1"/>
  <c r="K655" i="1"/>
  <c r="J656" i="1"/>
  <c r="L655" i="1"/>
  <c r="J657" i="1" l="1"/>
  <c r="L656" i="1"/>
  <c r="I657" i="1"/>
  <c r="K656" i="1"/>
  <c r="I658" i="1" l="1"/>
  <c r="K657" i="1"/>
  <c r="J658" i="1"/>
  <c r="L657" i="1"/>
  <c r="J659" i="1" l="1"/>
  <c r="L658" i="1"/>
  <c r="I659" i="1"/>
  <c r="K658" i="1"/>
  <c r="I660" i="1" l="1"/>
  <c r="K659" i="1"/>
  <c r="J660" i="1"/>
  <c r="L659" i="1"/>
  <c r="J661" i="1" l="1"/>
  <c r="L660" i="1"/>
  <c r="I661" i="1"/>
  <c r="K660" i="1"/>
  <c r="I662" i="1" l="1"/>
  <c r="K661" i="1"/>
  <c r="J662" i="1"/>
  <c r="L661" i="1"/>
  <c r="J663" i="1" l="1"/>
  <c r="L662" i="1"/>
  <c r="I663" i="1"/>
  <c r="K662" i="1"/>
  <c r="I664" i="1" l="1"/>
  <c r="K663" i="1"/>
  <c r="J664" i="1"/>
  <c r="L663" i="1"/>
  <c r="J665" i="1" l="1"/>
  <c r="L664" i="1"/>
  <c r="I665" i="1"/>
  <c r="K664" i="1"/>
  <c r="I666" i="1" l="1"/>
  <c r="K665" i="1"/>
  <c r="J666" i="1"/>
  <c r="L665" i="1"/>
  <c r="J667" i="1" l="1"/>
  <c r="L666" i="1"/>
  <c r="I667" i="1"/>
  <c r="K666" i="1"/>
  <c r="I668" i="1" l="1"/>
  <c r="K667" i="1"/>
  <c r="J668" i="1"/>
  <c r="L667" i="1"/>
  <c r="J669" i="1" l="1"/>
  <c r="L668" i="1"/>
  <c r="I669" i="1"/>
  <c r="K668" i="1"/>
  <c r="I670" i="1" l="1"/>
  <c r="K669" i="1"/>
  <c r="J670" i="1"/>
  <c r="L669" i="1"/>
  <c r="J671" i="1" l="1"/>
  <c r="L670" i="1"/>
  <c r="I671" i="1"/>
  <c r="K670" i="1"/>
  <c r="I672" i="1" l="1"/>
  <c r="K671" i="1"/>
  <c r="J672" i="1"/>
  <c r="L671" i="1"/>
  <c r="J673" i="1" l="1"/>
  <c r="L672" i="1"/>
  <c r="I673" i="1"/>
  <c r="K672" i="1"/>
  <c r="I674" i="1" l="1"/>
  <c r="K673" i="1"/>
  <c r="J674" i="1"/>
  <c r="L673" i="1"/>
  <c r="J675" i="1" l="1"/>
  <c r="L674" i="1"/>
  <c r="I675" i="1"/>
  <c r="K674" i="1"/>
  <c r="I676" i="1" l="1"/>
  <c r="K675" i="1"/>
  <c r="J676" i="1"/>
  <c r="L675" i="1"/>
  <c r="J677" i="1" l="1"/>
  <c r="L676" i="1"/>
  <c r="I677" i="1"/>
  <c r="K676" i="1"/>
  <c r="I678" i="1" l="1"/>
  <c r="K677" i="1"/>
  <c r="J678" i="1"/>
  <c r="L677" i="1"/>
  <c r="J679" i="1" l="1"/>
  <c r="L678" i="1"/>
  <c r="I679" i="1"/>
  <c r="K678" i="1"/>
  <c r="I680" i="1" l="1"/>
  <c r="K679" i="1"/>
  <c r="J680" i="1"/>
  <c r="L679" i="1"/>
  <c r="J681" i="1" l="1"/>
  <c r="L680" i="1"/>
  <c r="I681" i="1"/>
  <c r="K680" i="1"/>
  <c r="I682" i="1" l="1"/>
  <c r="K681" i="1"/>
  <c r="J682" i="1"/>
  <c r="L681" i="1"/>
  <c r="J683" i="1" l="1"/>
  <c r="L682" i="1"/>
  <c r="I683" i="1"/>
  <c r="K682" i="1"/>
  <c r="I684" i="1" l="1"/>
  <c r="K683" i="1"/>
  <c r="J684" i="1"/>
  <c r="L683" i="1"/>
  <c r="J685" i="1" l="1"/>
  <c r="L684" i="1"/>
  <c r="I685" i="1"/>
  <c r="K684" i="1"/>
  <c r="I686" i="1" l="1"/>
  <c r="K685" i="1"/>
  <c r="J686" i="1"/>
  <c r="L685" i="1"/>
  <c r="J687" i="1" l="1"/>
  <c r="L686" i="1"/>
  <c r="I687" i="1"/>
  <c r="K686" i="1"/>
  <c r="I688" i="1" l="1"/>
  <c r="K687" i="1"/>
  <c r="J688" i="1"/>
  <c r="L687" i="1"/>
  <c r="J689" i="1" l="1"/>
  <c r="L688" i="1"/>
  <c r="I689" i="1"/>
  <c r="K688" i="1"/>
  <c r="I690" i="1" l="1"/>
  <c r="K689" i="1"/>
  <c r="J690" i="1"/>
  <c r="L689" i="1"/>
  <c r="J691" i="1" l="1"/>
  <c r="L690" i="1"/>
  <c r="I691" i="1"/>
  <c r="K690" i="1"/>
  <c r="I692" i="1" l="1"/>
  <c r="K691" i="1"/>
  <c r="J692" i="1"/>
  <c r="L691" i="1"/>
  <c r="J693" i="1" l="1"/>
  <c r="L692" i="1"/>
  <c r="I693" i="1"/>
  <c r="K692" i="1"/>
  <c r="I694" i="1" l="1"/>
  <c r="K693" i="1"/>
  <c r="J694" i="1"/>
  <c r="L693" i="1"/>
  <c r="J695" i="1" l="1"/>
  <c r="L694" i="1"/>
  <c r="I695" i="1"/>
  <c r="K694" i="1"/>
  <c r="I696" i="1" l="1"/>
  <c r="K695" i="1"/>
  <c r="J696" i="1"/>
  <c r="L695" i="1"/>
  <c r="J697" i="1" l="1"/>
  <c r="L696" i="1"/>
  <c r="I697" i="1"/>
  <c r="K696" i="1"/>
  <c r="I698" i="1" l="1"/>
  <c r="K697" i="1"/>
  <c r="J698" i="1"/>
  <c r="L697" i="1"/>
  <c r="J699" i="1" l="1"/>
  <c r="L698" i="1"/>
  <c r="I699" i="1"/>
  <c r="K698" i="1"/>
  <c r="I700" i="1" l="1"/>
  <c r="K699" i="1"/>
  <c r="J700" i="1"/>
  <c r="L699" i="1"/>
  <c r="J701" i="1" l="1"/>
  <c r="L700" i="1"/>
  <c r="I701" i="1"/>
  <c r="K700" i="1"/>
  <c r="I702" i="1" l="1"/>
  <c r="K701" i="1"/>
  <c r="J702" i="1"/>
  <c r="L701" i="1"/>
  <c r="J703" i="1" l="1"/>
  <c r="L702" i="1"/>
  <c r="I703" i="1"/>
  <c r="K702" i="1"/>
  <c r="I704" i="1" l="1"/>
  <c r="K703" i="1"/>
  <c r="J704" i="1"/>
  <c r="L703" i="1"/>
  <c r="J705" i="1" l="1"/>
  <c r="L704" i="1"/>
  <c r="I705" i="1"/>
  <c r="K704" i="1"/>
  <c r="I706" i="1" l="1"/>
  <c r="K705" i="1"/>
  <c r="J706" i="1"/>
  <c r="L705" i="1"/>
  <c r="J707" i="1" l="1"/>
  <c r="L706" i="1"/>
  <c r="I707" i="1"/>
  <c r="K706" i="1"/>
  <c r="I708" i="1" l="1"/>
  <c r="K707" i="1"/>
  <c r="J708" i="1"/>
  <c r="L707" i="1"/>
  <c r="J709" i="1" l="1"/>
  <c r="L708" i="1"/>
  <c r="I709" i="1"/>
  <c r="K708" i="1"/>
  <c r="I710" i="1" l="1"/>
  <c r="K709" i="1"/>
  <c r="J710" i="1"/>
  <c r="L709" i="1"/>
  <c r="J711" i="1" l="1"/>
  <c r="L710" i="1"/>
  <c r="I711" i="1"/>
  <c r="K710" i="1"/>
  <c r="I712" i="1" l="1"/>
  <c r="K711" i="1"/>
  <c r="J712" i="1"/>
  <c r="L711" i="1"/>
  <c r="J713" i="1" l="1"/>
  <c r="L712" i="1"/>
  <c r="I713" i="1"/>
  <c r="K712" i="1"/>
  <c r="I714" i="1" l="1"/>
  <c r="K713" i="1"/>
  <c r="J714" i="1"/>
  <c r="L713" i="1"/>
  <c r="J715" i="1" l="1"/>
  <c r="L714" i="1"/>
  <c r="I715" i="1"/>
  <c r="K714" i="1"/>
  <c r="I716" i="1" l="1"/>
  <c r="K715" i="1"/>
  <c r="J716" i="1"/>
  <c r="L715" i="1"/>
  <c r="J717" i="1" l="1"/>
  <c r="L716" i="1"/>
  <c r="I717" i="1"/>
  <c r="K716" i="1"/>
  <c r="I718" i="1" l="1"/>
  <c r="K717" i="1"/>
  <c r="J718" i="1"/>
  <c r="L717" i="1"/>
  <c r="J719" i="1" l="1"/>
  <c r="L718" i="1"/>
  <c r="I719" i="1"/>
  <c r="K718" i="1"/>
  <c r="I720" i="1" l="1"/>
  <c r="K719" i="1"/>
  <c r="J720" i="1"/>
  <c r="L719" i="1"/>
  <c r="J721" i="1" l="1"/>
  <c r="L720" i="1"/>
  <c r="I721" i="1"/>
  <c r="K720" i="1"/>
  <c r="I722" i="1" l="1"/>
  <c r="K721" i="1"/>
  <c r="J722" i="1"/>
  <c r="L721" i="1"/>
  <c r="J723" i="1" l="1"/>
  <c r="L722" i="1"/>
  <c r="I723" i="1"/>
  <c r="K722" i="1"/>
  <c r="I724" i="1" l="1"/>
  <c r="K723" i="1"/>
  <c r="J724" i="1"/>
  <c r="L723" i="1"/>
  <c r="J725" i="1" l="1"/>
  <c r="L724" i="1"/>
  <c r="I725" i="1"/>
  <c r="K724" i="1"/>
  <c r="I726" i="1" l="1"/>
  <c r="K725" i="1"/>
  <c r="J726" i="1"/>
  <c r="L725" i="1"/>
  <c r="J727" i="1" l="1"/>
  <c r="L726" i="1"/>
  <c r="I727" i="1"/>
  <c r="K726" i="1"/>
  <c r="I728" i="1" l="1"/>
  <c r="K727" i="1"/>
  <c r="J728" i="1"/>
  <c r="L727" i="1"/>
  <c r="J729" i="1" l="1"/>
  <c r="L728" i="1"/>
  <c r="I729" i="1"/>
  <c r="K728" i="1"/>
  <c r="I730" i="1" l="1"/>
  <c r="K729" i="1"/>
  <c r="J730" i="1"/>
  <c r="L729" i="1"/>
  <c r="J731" i="1" l="1"/>
  <c r="L730" i="1"/>
  <c r="I731" i="1"/>
  <c r="K730" i="1"/>
  <c r="I732" i="1" l="1"/>
  <c r="K731" i="1"/>
  <c r="J732" i="1"/>
  <c r="L731" i="1"/>
  <c r="J733" i="1" l="1"/>
  <c r="L732" i="1"/>
  <c r="I733" i="1"/>
  <c r="K732" i="1"/>
  <c r="I734" i="1" l="1"/>
  <c r="K733" i="1"/>
  <c r="J734" i="1"/>
  <c r="L733" i="1"/>
  <c r="J735" i="1" l="1"/>
  <c r="L734" i="1"/>
  <c r="I735" i="1"/>
  <c r="K734" i="1"/>
  <c r="I736" i="1" l="1"/>
  <c r="K735" i="1"/>
  <c r="J736" i="1"/>
  <c r="L735" i="1"/>
  <c r="J737" i="1" l="1"/>
  <c r="L736" i="1"/>
  <c r="I737" i="1"/>
  <c r="K736" i="1"/>
  <c r="I738" i="1" l="1"/>
  <c r="K737" i="1"/>
  <c r="J738" i="1"/>
  <c r="L737" i="1"/>
  <c r="J739" i="1" l="1"/>
  <c r="L738" i="1"/>
  <c r="I739" i="1"/>
  <c r="K738" i="1"/>
  <c r="I740" i="1" l="1"/>
  <c r="K739" i="1"/>
  <c r="J740" i="1"/>
  <c r="L739" i="1"/>
  <c r="J741" i="1" l="1"/>
  <c r="L740" i="1"/>
  <c r="I741" i="1"/>
  <c r="K740" i="1"/>
  <c r="I742" i="1" l="1"/>
  <c r="K741" i="1"/>
  <c r="J742" i="1"/>
  <c r="L741" i="1"/>
  <c r="J743" i="1" l="1"/>
  <c r="L742" i="1"/>
  <c r="I743" i="1"/>
  <c r="K742" i="1"/>
  <c r="I744" i="1" l="1"/>
  <c r="K743" i="1"/>
  <c r="J744" i="1"/>
  <c r="L743" i="1"/>
  <c r="J745" i="1" l="1"/>
  <c r="L744" i="1"/>
  <c r="I745" i="1"/>
  <c r="K744" i="1"/>
  <c r="I746" i="1" l="1"/>
  <c r="K745" i="1"/>
  <c r="J746" i="1"/>
  <c r="L745" i="1"/>
  <c r="J747" i="1" l="1"/>
  <c r="L746" i="1"/>
  <c r="I747" i="1"/>
  <c r="K746" i="1"/>
  <c r="I748" i="1" l="1"/>
  <c r="K747" i="1"/>
  <c r="J748" i="1"/>
  <c r="L747" i="1"/>
  <c r="J749" i="1" l="1"/>
  <c r="L748" i="1"/>
  <c r="I749" i="1"/>
  <c r="K748" i="1"/>
  <c r="I750" i="1" l="1"/>
  <c r="K749" i="1"/>
  <c r="J750" i="1"/>
  <c r="L749" i="1"/>
  <c r="J751" i="1" l="1"/>
  <c r="L750" i="1"/>
  <c r="I751" i="1"/>
  <c r="K750" i="1"/>
  <c r="I752" i="1" l="1"/>
  <c r="K751" i="1"/>
  <c r="J752" i="1"/>
  <c r="L751" i="1"/>
  <c r="J753" i="1" l="1"/>
  <c r="L752" i="1"/>
  <c r="I753" i="1"/>
  <c r="K752" i="1"/>
  <c r="I754" i="1" l="1"/>
  <c r="K753" i="1"/>
  <c r="J754" i="1"/>
  <c r="L753" i="1"/>
  <c r="J755" i="1" l="1"/>
  <c r="L754" i="1"/>
  <c r="I755" i="1"/>
  <c r="K754" i="1"/>
  <c r="I756" i="1" l="1"/>
  <c r="K755" i="1"/>
  <c r="J756" i="1"/>
  <c r="L755" i="1"/>
  <c r="J757" i="1" l="1"/>
  <c r="L756" i="1"/>
  <c r="I757" i="1"/>
  <c r="K756" i="1"/>
  <c r="I758" i="1" l="1"/>
  <c r="K757" i="1"/>
  <c r="J758" i="1"/>
  <c r="L757" i="1"/>
  <c r="J759" i="1" l="1"/>
  <c r="L758" i="1"/>
  <c r="I759" i="1"/>
  <c r="K758" i="1"/>
  <c r="I760" i="1" l="1"/>
  <c r="K759" i="1"/>
  <c r="J760" i="1"/>
  <c r="L759" i="1"/>
  <c r="J761" i="1" l="1"/>
  <c r="L760" i="1"/>
  <c r="I761" i="1"/>
  <c r="K760" i="1"/>
  <c r="I762" i="1" l="1"/>
  <c r="K761" i="1"/>
  <c r="J762" i="1"/>
  <c r="L761" i="1"/>
  <c r="J763" i="1" l="1"/>
  <c r="L762" i="1"/>
  <c r="I763" i="1"/>
  <c r="K762" i="1"/>
  <c r="I764" i="1" l="1"/>
  <c r="K763" i="1"/>
  <c r="J764" i="1"/>
  <c r="L763" i="1"/>
  <c r="J765" i="1" l="1"/>
  <c r="L764" i="1"/>
  <c r="I765" i="1"/>
  <c r="K764" i="1"/>
  <c r="I766" i="1" l="1"/>
  <c r="K765" i="1"/>
  <c r="J766" i="1"/>
  <c r="L765" i="1"/>
  <c r="J767" i="1" l="1"/>
  <c r="L766" i="1"/>
  <c r="I767" i="1"/>
  <c r="K766" i="1"/>
  <c r="I768" i="1" l="1"/>
  <c r="K767" i="1"/>
  <c r="J768" i="1"/>
  <c r="L767" i="1"/>
  <c r="J769" i="1" l="1"/>
  <c r="L768" i="1"/>
  <c r="I769" i="1"/>
  <c r="K768" i="1"/>
  <c r="I770" i="1" l="1"/>
  <c r="K769" i="1"/>
  <c r="J770" i="1"/>
  <c r="L769" i="1"/>
  <c r="J771" i="1" l="1"/>
  <c r="L770" i="1"/>
  <c r="I771" i="1"/>
  <c r="K770" i="1"/>
  <c r="I772" i="1" l="1"/>
  <c r="K771" i="1"/>
  <c r="J772" i="1"/>
  <c r="L771" i="1"/>
  <c r="J773" i="1" l="1"/>
  <c r="L772" i="1"/>
  <c r="I773" i="1"/>
  <c r="K772" i="1"/>
  <c r="I774" i="1" l="1"/>
  <c r="K773" i="1"/>
  <c r="J774" i="1"/>
  <c r="L773" i="1"/>
  <c r="J775" i="1" l="1"/>
  <c r="L774" i="1"/>
  <c r="I775" i="1"/>
  <c r="K774" i="1"/>
  <c r="I776" i="1" l="1"/>
  <c r="K775" i="1"/>
  <c r="J776" i="1"/>
  <c r="L775" i="1"/>
  <c r="J777" i="1" l="1"/>
  <c r="L776" i="1"/>
  <c r="I777" i="1"/>
  <c r="K776" i="1"/>
  <c r="I778" i="1" l="1"/>
  <c r="K777" i="1"/>
  <c r="J778" i="1"/>
  <c r="L777" i="1"/>
  <c r="J779" i="1" l="1"/>
  <c r="L778" i="1"/>
  <c r="I779" i="1"/>
  <c r="K778" i="1"/>
  <c r="I780" i="1" l="1"/>
  <c r="K779" i="1"/>
  <c r="J780" i="1"/>
  <c r="L779" i="1"/>
  <c r="J781" i="1" l="1"/>
  <c r="L780" i="1"/>
  <c r="I781" i="1"/>
  <c r="K780" i="1"/>
  <c r="I782" i="1" l="1"/>
  <c r="K781" i="1"/>
  <c r="J782" i="1"/>
  <c r="L781" i="1"/>
  <c r="J783" i="1" l="1"/>
  <c r="L782" i="1"/>
  <c r="I783" i="1"/>
  <c r="K782" i="1"/>
  <c r="I784" i="1" l="1"/>
  <c r="K783" i="1"/>
  <c r="J784" i="1"/>
  <c r="L783" i="1"/>
  <c r="J785" i="1" l="1"/>
  <c r="L784" i="1"/>
  <c r="I785" i="1"/>
  <c r="K784" i="1"/>
  <c r="I786" i="1" l="1"/>
  <c r="K785" i="1"/>
  <c r="J786" i="1"/>
  <c r="L785" i="1"/>
  <c r="J787" i="1" l="1"/>
  <c r="L786" i="1"/>
  <c r="I787" i="1"/>
  <c r="K786" i="1"/>
  <c r="I788" i="1" l="1"/>
  <c r="K787" i="1"/>
  <c r="J788" i="1"/>
  <c r="L787" i="1"/>
  <c r="J789" i="1" l="1"/>
  <c r="L788" i="1"/>
  <c r="I789" i="1"/>
  <c r="K788" i="1"/>
  <c r="I790" i="1" l="1"/>
  <c r="K789" i="1"/>
  <c r="J790" i="1"/>
  <c r="L789" i="1"/>
  <c r="J791" i="1" l="1"/>
  <c r="L790" i="1"/>
  <c r="I791" i="1"/>
  <c r="K790" i="1"/>
  <c r="I792" i="1" l="1"/>
  <c r="K791" i="1"/>
  <c r="J792" i="1"/>
  <c r="L791" i="1"/>
  <c r="J793" i="1" l="1"/>
  <c r="L792" i="1"/>
  <c r="I793" i="1"/>
  <c r="K792" i="1"/>
  <c r="I794" i="1" l="1"/>
  <c r="K793" i="1"/>
  <c r="J794" i="1"/>
  <c r="L793" i="1"/>
  <c r="J795" i="1" l="1"/>
  <c r="L794" i="1"/>
  <c r="I795" i="1"/>
  <c r="K794" i="1"/>
  <c r="I796" i="1" l="1"/>
  <c r="K795" i="1"/>
  <c r="J796" i="1"/>
  <c r="L795" i="1"/>
  <c r="J797" i="1" l="1"/>
  <c r="L796" i="1"/>
  <c r="I797" i="1"/>
  <c r="K796" i="1"/>
  <c r="I798" i="1" l="1"/>
  <c r="K797" i="1"/>
  <c r="J798" i="1"/>
  <c r="L797" i="1"/>
  <c r="J799" i="1" l="1"/>
  <c r="L798" i="1"/>
  <c r="I799" i="1"/>
  <c r="K798" i="1"/>
  <c r="I800" i="1" l="1"/>
  <c r="K799" i="1"/>
  <c r="J800" i="1"/>
  <c r="L799" i="1"/>
  <c r="J801" i="1" l="1"/>
  <c r="L800" i="1"/>
  <c r="I801" i="1"/>
  <c r="K800" i="1"/>
  <c r="I802" i="1" l="1"/>
  <c r="K801" i="1"/>
  <c r="J802" i="1"/>
  <c r="L801" i="1"/>
  <c r="J803" i="1" l="1"/>
  <c r="L802" i="1"/>
  <c r="I803" i="1"/>
  <c r="K802" i="1"/>
  <c r="I804" i="1" l="1"/>
  <c r="K803" i="1"/>
  <c r="J804" i="1"/>
  <c r="L803" i="1"/>
  <c r="J805" i="1" l="1"/>
  <c r="L804" i="1"/>
  <c r="I805" i="1"/>
  <c r="K804" i="1"/>
  <c r="I806" i="1" l="1"/>
  <c r="K805" i="1"/>
  <c r="J806" i="1"/>
  <c r="L805" i="1"/>
  <c r="J807" i="1" l="1"/>
  <c r="L806" i="1"/>
  <c r="I807" i="1"/>
  <c r="K806" i="1"/>
  <c r="I808" i="1" l="1"/>
  <c r="K807" i="1"/>
  <c r="J808" i="1"/>
  <c r="L807" i="1"/>
  <c r="J809" i="1" l="1"/>
  <c r="L808" i="1"/>
  <c r="I809" i="1"/>
  <c r="K808" i="1"/>
  <c r="I810" i="1" l="1"/>
  <c r="K809" i="1"/>
  <c r="J810" i="1"/>
  <c r="L809" i="1"/>
  <c r="J811" i="1" l="1"/>
  <c r="L810" i="1"/>
  <c r="I811" i="1"/>
  <c r="K810" i="1"/>
  <c r="I812" i="1" l="1"/>
  <c r="K811" i="1"/>
  <c r="J812" i="1"/>
  <c r="L811" i="1"/>
  <c r="J813" i="1" l="1"/>
  <c r="L812" i="1"/>
  <c r="I813" i="1"/>
  <c r="K812" i="1"/>
  <c r="I814" i="1" l="1"/>
  <c r="K813" i="1"/>
  <c r="J814" i="1"/>
  <c r="L813" i="1"/>
  <c r="J815" i="1" l="1"/>
  <c r="L814" i="1"/>
  <c r="I815" i="1"/>
  <c r="K814" i="1"/>
  <c r="I816" i="1" l="1"/>
  <c r="K815" i="1"/>
  <c r="J816" i="1"/>
  <c r="L815" i="1"/>
  <c r="J817" i="1" l="1"/>
  <c r="L816" i="1"/>
  <c r="I817" i="1"/>
  <c r="K816" i="1"/>
  <c r="I818" i="1" l="1"/>
  <c r="K817" i="1"/>
  <c r="J818" i="1"/>
  <c r="L817" i="1"/>
  <c r="J819" i="1" l="1"/>
  <c r="L818" i="1"/>
  <c r="I819" i="1"/>
  <c r="K818" i="1"/>
  <c r="I820" i="1" l="1"/>
  <c r="K819" i="1"/>
  <c r="J820" i="1"/>
  <c r="L819" i="1"/>
  <c r="J821" i="1" l="1"/>
  <c r="L820" i="1"/>
  <c r="I821" i="1"/>
  <c r="K820" i="1"/>
  <c r="I822" i="1" l="1"/>
  <c r="K821" i="1"/>
  <c r="J822" i="1"/>
  <c r="L821" i="1"/>
  <c r="J823" i="1" l="1"/>
  <c r="L822" i="1"/>
  <c r="I823" i="1"/>
  <c r="K822" i="1"/>
  <c r="I824" i="1" l="1"/>
  <c r="K823" i="1"/>
  <c r="J824" i="1"/>
  <c r="L823" i="1"/>
  <c r="J825" i="1" l="1"/>
  <c r="L824" i="1"/>
  <c r="I825" i="1"/>
  <c r="K824" i="1"/>
  <c r="I826" i="1" l="1"/>
  <c r="K825" i="1"/>
  <c r="J826" i="1"/>
  <c r="L825" i="1"/>
  <c r="J827" i="1" l="1"/>
  <c r="L826" i="1"/>
  <c r="I827" i="1"/>
  <c r="K826" i="1"/>
  <c r="I828" i="1" l="1"/>
  <c r="K827" i="1"/>
  <c r="J828" i="1"/>
  <c r="L827" i="1"/>
  <c r="J829" i="1" l="1"/>
  <c r="L828" i="1"/>
  <c r="I829" i="1"/>
  <c r="K828" i="1"/>
  <c r="I830" i="1" l="1"/>
  <c r="K829" i="1"/>
  <c r="J830" i="1"/>
  <c r="L829" i="1"/>
  <c r="J831" i="1" l="1"/>
  <c r="L830" i="1"/>
  <c r="I831" i="1"/>
  <c r="K830" i="1"/>
  <c r="I832" i="1" l="1"/>
  <c r="K831" i="1"/>
  <c r="J832" i="1"/>
  <c r="L831" i="1"/>
  <c r="J833" i="1" l="1"/>
  <c r="L832" i="1"/>
  <c r="I833" i="1"/>
  <c r="K832" i="1"/>
  <c r="I834" i="1" l="1"/>
  <c r="K833" i="1"/>
  <c r="J834" i="1"/>
  <c r="L833" i="1"/>
  <c r="J835" i="1" l="1"/>
  <c r="L834" i="1"/>
  <c r="I835" i="1"/>
  <c r="K834" i="1"/>
  <c r="I836" i="1" l="1"/>
  <c r="K835" i="1"/>
  <c r="J836" i="1"/>
  <c r="L835" i="1"/>
  <c r="J837" i="1" l="1"/>
  <c r="L836" i="1"/>
  <c r="I837" i="1"/>
  <c r="K836" i="1"/>
  <c r="I838" i="1" l="1"/>
  <c r="K837" i="1"/>
  <c r="J838" i="1"/>
  <c r="L837" i="1"/>
  <c r="J839" i="1" l="1"/>
  <c r="L838" i="1"/>
  <c r="I839" i="1"/>
  <c r="K838" i="1"/>
  <c r="I840" i="1" l="1"/>
  <c r="K839" i="1"/>
  <c r="J840" i="1"/>
  <c r="L839" i="1"/>
  <c r="J841" i="1" l="1"/>
  <c r="L840" i="1"/>
  <c r="I841" i="1"/>
  <c r="K840" i="1"/>
  <c r="I842" i="1" l="1"/>
  <c r="K841" i="1"/>
  <c r="J842" i="1"/>
  <c r="L841" i="1"/>
  <c r="J843" i="1" l="1"/>
  <c r="L842" i="1"/>
  <c r="I843" i="1"/>
  <c r="K842" i="1"/>
  <c r="I844" i="1" l="1"/>
  <c r="K843" i="1"/>
  <c r="J844" i="1"/>
  <c r="L843" i="1"/>
  <c r="J845" i="1" l="1"/>
  <c r="L844" i="1"/>
  <c r="I845" i="1"/>
  <c r="K844" i="1"/>
  <c r="I846" i="1" l="1"/>
  <c r="K845" i="1"/>
  <c r="J846" i="1"/>
  <c r="L845" i="1"/>
  <c r="J847" i="1" l="1"/>
  <c r="L846" i="1"/>
  <c r="I847" i="1"/>
  <c r="K846" i="1"/>
  <c r="I848" i="1" l="1"/>
  <c r="K847" i="1"/>
  <c r="J848" i="1"/>
  <c r="L847" i="1"/>
  <c r="J849" i="1" l="1"/>
  <c r="L848" i="1"/>
  <c r="I849" i="1"/>
  <c r="K848" i="1"/>
  <c r="I850" i="1" l="1"/>
  <c r="K849" i="1"/>
  <c r="J850" i="1"/>
  <c r="L849" i="1"/>
  <c r="J851" i="1" l="1"/>
  <c r="L850" i="1"/>
  <c r="I851" i="1"/>
  <c r="K850" i="1"/>
  <c r="I852" i="1" l="1"/>
  <c r="K851" i="1"/>
  <c r="J852" i="1"/>
  <c r="L851" i="1"/>
  <c r="J853" i="1" l="1"/>
  <c r="L852" i="1"/>
  <c r="I853" i="1"/>
  <c r="K852" i="1"/>
  <c r="I854" i="1" l="1"/>
  <c r="K853" i="1"/>
  <c r="J854" i="1"/>
  <c r="L853" i="1"/>
  <c r="J855" i="1" l="1"/>
  <c r="L854" i="1"/>
  <c r="I855" i="1"/>
  <c r="K854" i="1"/>
  <c r="I856" i="1" l="1"/>
  <c r="K855" i="1"/>
  <c r="J856" i="1"/>
  <c r="L855" i="1"/>
  <c r="J857" i="1" l="1"/>
  <c r="L856" i="1"/>
  <c r="I857" i="1"/>
  <c r="K856" i="1"/>
  <c r="I858" i="1" l="1"/>
  <c r="K857" i="1"/>
  <c r="J858" i="1"/>
  <c r="L857" i="1"/>
  <c r="J859" i="1" l="1"/>
  <c r="L858" i="1"/>
  <c r="I859" i="1"/>
  <c r="K858" i="1"/>
  <c r="I860" i="1" l="1"/>
  <c r="K859" i="1"/>
  <c r="J860" i="1"/>
  <c r="L859" i="1"/>
  <c r="J861" i="1" l="1"/>
  <c r="L860" i="1"/>
  <c r="I861" i="1"/>
  <c r="K860" i="1"/>
  <c r="I862" i="1" l="1"/>
  <c r="K861" i="1"/>
  <c r="J862" i="1"/>
  <c r="L861" i="1"/>
  <c r="J863" i="1" l="1"/>
  <c r="L862" i="1"/>
  <c r="I863" i="1"/>
  <c r="K862" i="1"/>
  <c r="I864" i="1" l="1"/>
  <c r="K863" i="1"/>
  <c r="J864" i="1"/>
  <c r="L863" i="1"/>
  <c r="J865" i="1" l="1"/>
  <c r="L864" i="1"/>
  <c r="I865" i="1"/>
  <c r="K864" i="1"/>
  <c r="I866" i="1" l="1"/>
  <c r="K865" i="1"/>
  <c r="J866" i="1"/>
  <c r="L865" i="1"/>
  <c r="J867" i="1" l="1"/>
  <c r="L866" i="1"/>
  <c r="I867" i="1"/>
  <c r="K866" i="1"/>
  <c r="I868" i="1" l="1"/>
  <c r="K867" i="1"/>
  <c r="J868" i="1"/>
  <c r="L867" i="1"/>
  <c r="J869" i="1" l="1"/>
  <c r="L868" i="1"/>
  <c r="I869" i="1"/>
  <c r="K868" i="1"/>
  <c r="I870" i="1" l="1"/>
  <c r="K869" i="1"/>
  <c r="J870" i="1"/>
  <c r="L869" i="1"/>
  <c r="J871" i="1" l="1"/>
  <c r="L870" i="1"/>
  <c r="I871" i="1"/>
  <c r="K870" i="1"/>
  <c r="I872" i="1" l="1"/>
  <c r="K871" i="1"/>
  <c r="J872" i="1"/>
  <c r="L871" i="1"/>
  <c r="J873" i="1" l="1"/>
  <c r="L872" i="1"/>
  <c r="I873" i="1"/>
  <c r="K872" i="1"/>
  <c r="I874" i="1" l="1"/>
  <c r="K873" i="1"/>
  <c r="J874" i="1"/>
  <c r="L873" i="1"/>
  <c r="J875" i="1" l="1"/>
  <c r="L874" i="1"/>
  <c r="I875" i="1"/>
  <c r="K874" i="1"/>
  <c r="I876" i="1" l="1"/>
  <c r="K875" i="1"/>
  <c r="J876" i="1"/>
  <c r="L875" i="1"/>
  <c r="J877" i="1" l="1"/>
  <c r="L876" i="1"/>
  <c r="I877" i="1"/>
  <c r="K876" i="1"/>
  <c r="I878" i="1" l="1"/>
  <c r="K877" i="1"/>
  <c r="J878" i="1"/>
  <c r="L877" i="1"/>
  <c r="J879" i="1" l="1"/>
  <c r="L878" i="1"/>
  <c r="I879" i="1"/>
  <c r="K878" i="1"/>
  <c r="I880" i="1" l="1"/>
  <c r="K879" i="1"/>
  <c r="J880" i="1"/>
  <c r="L879" i="1"/>
  <c r="J881" i="1" l="1"/>
  <c r="L880" i="1"/>
  <c r="I881" i="1"/>
  <c r="K880" i="1"/>
  <c r="I882" i="1" l="1"/>
  <c r="K881" i="1"/>
  <c r="J882" i="1"/>
  <c r="L881" i="1"/>
  <c r="J883" i="1" l="1"/>
  <c r="L882" i="1"/>
  <c r="I883" i="1"/>
  <c r="K882" i="1"/>
  <c r="I884" i="1" l="1"/>
  <c r="K883" i="1"/>
  <c r="J884" i="1"/>
  <c r="L883" i="1"/>
  <c r="J885" i="1" l="1"/>
  <c r="L884" i="1"/>
  <c r="I885" i="1"/>
  <c r="K884" i="1"/>
  <c r="I886" i="1" l="1"/>
  <c r="K885" i="1"/>
  <c r="J886" i="1"/>
  <c r="L885" i="1"/>
  <c r="J887" i="1" l="1"/>
  <c r="L886" i="1"/>
  <c r="I887" i="1"/>
  <c r="K886" i="1"/>
  <c r="I888" i="1" l="1"/>
  <c r="K887" i="1"/>
  <c r="J888" i="1"/>
  <c r="L887" i="1"/>
  <c r="J889" i="1" l="1"/>
  <c r="L888" i="1"/>
  <c r="I889" i="1"/>
  <c r="K888" i="1"/>
  <c r="I890" i="1" l="1"/>
  <c r="K889" i="1"/>
  <c r="J890" i="1"/>
  <c r="L889" i="1"/>
  <c r="J891" i="1" l="1"/>
  <c r="L890" i="1"/>
  <c r="I891" i="1"/>
  <c r="K890" i="1"/>
  <c r="I892" i="1" l="1"/>
  <c r="K891" i="1"/>
  <c r="J892" i="1"/>
  <c r="L891" i="1"/>
  <c r="J893" i="1" l="1"/>
  <c r="L892" i="1"/>
  <c r="I893" i="1"/>
  <c r="K892" i="1"/>
  <c r="I894" i="1" l="1"/>
  <c r="K893" i="1"/>
  <c r="J894" i="1"/>
  <c r="L893" i="1"/>
  <c r="J895" i="1" l="1"/>
  <c r="L894" i="1"/>
  <c r="I895" i="1"/>
  <c r="K894" i="1"/>
  <c r="I896" i="1" l="1"/>
  <c r="K895" i="1"/>
  <c r="J896" i="1"/>
  <c r="L895" i="1"/>
  <c r="J897" i="1" l="1"/>
  <c r="L896" i="1"/>
  <c r="I897" i="1"/>
  <c r="K896" i="1"/>
  <c r="I898" i="1" l="1"/>
  <c r="K897" i="1"/>
  <c r="J898" i="1"/>
  <c r="L897" i="1"/>
  <c r="J899" i="1" l="1"/>
  <c r="L898" i="1"/>
  <c r="I899" i="1"/>
  <c r="K898" i="1"/>
  <c r="I900" i="1" l="1"/>
  <c r="K899" i="1"/>
  <c r="J900" i="1"/>
  <c r="L899" i="1"/>
  <c r="J901" i="1" l="1"/>
  <c r="L900" i="1"/>
  <c r="I901" i="1"/>
  <c r="K900" i="1"/>
  <c r="I902" i="1" l="1"/>
  <c r="K901" i="1"/>
  <c r="J902" i="1"/>
  <c r="L901" i="1"/>
  <c r="J903" i="1" l="1"/>
  <c r="L902" i="1"/>
  <c r="I903" i="1"/>
  <c r="K902" i="1"/>
  <c r="I904" i="1" l="1"/>
  <c r="K903" i="1"/>
  <c r="J904" i="1"/>
  <c r="L903" i="1"/>
  <c r="J905" i="1" l="1"/>
  <c r="L904" i="1"/>
  <c r="I905" i="1"/>
  <c r="K904" i="1"/>
  <c r="I906" i="1" l="1"/>
  <c r="K905" i="1"/>
  <c r="J906" i="1"/>
  <c r="L905" i="1"/>
  <c r="J907" i="1" l="1"/>
  <c r="L906" i="1"/>
  <c r="I907" i="1"/>
  <c r="K906" i="1"/>
  <c r="I908" i="1" l="1"/>
  <c r="K907" i="1"/>
  <c r="J908" i="1"/>
  <c r="L907" i="1"/>
  <c r="J909" i="1" l="1"/>
  <c r="L908" i="1"/>
  <c r="I909" i="1"/>
  <c r="K908" i="1"/>
  <c r="I910" i="1" l="1"/>
  <c r="K909" i="1"/>
  <c r="J910" i="1"/>
  <c r="L909" i="1"/>
  <c r="J911" i="1" l="1"/>
  <c r="L910" i="1"/>
  <c r="I911" i="1"/>
  <c r="K910" i="1"/>
  <c r="I912" i="1" l="1"/>
  <c r="K911" i="1"/>
  <c r="J912" i="1"/>
  <c r="L911" i="1"/>
  <c r="J913" i="1" l="1"/>
  <c r="L912" i="1"/>
  <c r="I913" i="1"/>
  <c r="K912" i="1"/>
  <c r="I914" i="1" l="1"/>
  <c r="K913" i="1"/>
  <c r="J914" i="1"/>
  <c r="L913" i="1"/>
  <c r="J915" i="1" l="1"/>
  <c r="L914" i="1"/>
  <c r="I915" i="1"/>
  <c r="K914" i="1"/>
  <c r="I916" i="1" l="1"/>
  <c r="K915" i="1"/>
  <c r="J916" i="1"/>
  <c r="L915" i="1"/>
  <c r="J917" i="1" l="1"/>
  <c r="L916" i="1"/>
  <c r="I917" i="1"/>
  <c r="K916" i="1"/>
  <c r="I918" i="1" l="1"/>
  <c r="K917" i="1"/>
  <c r="J918" i="1"/>
  <c r="L917" i="1"/>
  <c r="J919" i="1" l="1"/>
  <c r="L918" i="1"/>
  <c r="I919" i="1"/>
  <c r="K918" i="1"/>
  <c r="I920" i="1" l="1"/>
  <c r="K919" i="1"/>
  <c r="J920" i="1"/>
  <c r="L919" i="1"/>
  <c r="J921" i="1" l="1"/>
  <c r="L920" i="1"/>
  <c r="I921" i="1"/>
  <c r="K920" i="1"/>
  <c r="I922" i="1" l="1"/>
  <c r="K921" i="1"/>
  <c r="J922" i="1"/>
  <c r="L921" i="1"/>
  <c r="J923" i="1" l="1"/>
  <c r="L922" i="1"/>
  <c r="I923" i="1"/>
  <c r="K922" i="1"/>
  <c r="I924" i="1" l="1"/>
  <c r="K923" i="1"/>
  <c r="J924" i="1"/>
  <c r="L923" i="1"/>
  <c r="J925" i="1" l="1"/>
  <c r="L924" i="1"/>
  <c r="I925" i="1"/>
  <c r="K924" i="1"/>
  <c r="I926" i="1" l="1"/>
  <c r="K925" i="1"/>
  <c r="J926" i="1"/>
  <c r="L925" i="1"/>
  <c r="J927" i="1" l="1"/>
  <c r="L926" i="1"/>
  <c r="I927" i="1"/>
  <c r="K926" i="1"/>
  <c r="I928" i="1" l="1"/>
  <c r="K927" i="1"/>
  <c r="J928" i="1"/>
  <c r="L927" i="1"/>
  <c r="J929" i="1" l="1"/>
  <c r="L928" i="1"/>
  <c r="I929" i="1"/>
  <c r="K928" i="1"/>
  <c r="I930" i="1" l="1"/>
  <c r="K929" i="1"/>
  <c r="J930" i="1"/>
  <c r="L929" i="1"/>
  <c r="I931" i="1" l="1"/>
  <c r="K930" i="1"/>
  <c r="J931" i="1"/>
  <c r="L930" i="1"/>
  <c r="J932" i="1" l="1"/>
  <c r="L931" i="1"/>
  <c r="I932" i="1"/>
  <c r="K931" i="1"/>
  <c r="I933" i="1" l="1"/>
  <c r="K932" i="1"/>
  <c r="J933" i="1"/>
  <c r="L932" i="1"/>
  <c r="J934" i="1" l="1"/>
  <c r="L933" i="1"/>
  <c r="I934" i="1"/>
  <c r="K933" i="1"/>
  <c r="I935" i="1" l="1"/>
  <c r="K934" i="1"/>
  <c r="J935" i="1"/>
  <c r="L934" i="1"/>
  <c r="J936" i="1" l="1"/>
  <c r="L935" i="1"/>
  <c r="I936" i="1"/>
  <c r="K935" i="1"/>
  <c r="I937" i="1" l="1"/>
  <c r="K936" i="1"/>
  <c r="J937" i="1"/>
  <c r="L936" i="1"/>
  <c r="J938" i="1" l="1"/>
  <c r="L937" i="1"/>
  <c r="I938" i="1"/>
  <c r="K937" i="1"/>
  <c r="I939" i="1" l="1"/>
  <c r="K938" i="1"/>
  <c r="J939" i="1"/>
  <c r="L938" i="1"/>
  <c r="J940" i="1" l="1"/>
  <c r="L939" i="1"/>
  <c r="I940" i="1"/>
  <c r="K939" i="1"/>
  <c r="I941" i="1" l="1"/>
  <c r="K940" i="1"/>
  <c r="J941" i="1"/>
  <c r="L940" i="1"/>
  <c r="J942" i="1" l="1"/>
  <c r="L941" i="1"/>
  <c r="I942" i="1"/>
  <c r="K941" i="1"/>
  <c r="I943" i="1" l="1"/>
  <c r="K942" i="1"/>
  <c r="J943" i="1"/>
  <c r="L942" i="1"/>
  <c r="J944" i="1" l="1"/>
  <c r="L943" i="1"/>
  <c r="I944" i="1"/>
  <c r="K943" i="1"/>
  <c r="I945" i="1" l="1"/>
  <c r="K944" i="1"/>
  <c r="J945" i="1"/>
  <c r="L944" i="1"/>
  <c r="J946" i="1" l="1"/>
  <c r="L945" i="1"/>
  <c r="I946" i="1"/>
  <c r="K945" i="1"/>
  <c r="I947" i="1" l="1"/>
  <c r="K946" i="1"/>
  <c r="J947" i="1"/>
  <c r="L946" i="1"/>
  <c r="J948" i="1" l="1"/>
  <c r="L947" i="1"/>
  <c r="I948" i="1"/>
  <c r="K947" i="1"/>
  <c r="I949" i="1" l="1"/>
  <c r="K948" i="1"/>
  <c r="J949" i="1"/>
  <c r="L948" i="1"/>
  <c r="J950" i="1" l="1"/>
  <c r="L949" i="1"/>
  <c r="I950" i="1"/>
  <c r="K949" i="1"/>
  <c r="I951" i="1" l="1"/>
  <c r="K950" i="1"/>
  <c r="J951" i="1"/>
  <c r="L950" i="1"/>
  <c r="J952" i="1" l="1"/>
  <c r="L951" i="1"/>
  <c r="I952" i="1"/>
  <c r="K951" i="1"/>
  <c r="I953" i="1" l="1"/>
  <c r="K952" i="1"/>
  <c r="J953" i="1"/>
  <c r="L952" i="1"/>
  <c r="J954" i="1" l="1"/>
  <c r="L953" i="1"/>
  <c r="I954" i="1"/>
  <c r="K953" i="1"/>
  <c r="I955" i="1" l="1"/>
  <c r="K954" i="1"/>
  <c r="J955" i="1"/>
  <c r="L954" i="1"/>
  <c r="J956" i="1" l="1"/>
  <c r="L955" i="1"/>
  <c r="I956" i="1"/>
  <c r="K955" i="1"/>
  <c r="I957" i="1" l="1"/>
  <c r="K956" i="1"/>
  <c r="J957" i="1"/>
  <c r="L956" i="1"/>
  <c r="J958" i="1" l="1"/>
  <c r="L957" i="1"/>
  <c r="I958" i="1"/>
  <c r="K957" i="1"/>
  <c r="I959" i="1" l="1"/>
  <c r="K958" i="1"/>
  <c r="J959" i="1"/>
  <c r="L958" i="1"/>
  <c r="J960" i="1" l="1"/>
  <c r="L959" i="1"/>
  <c r="I960" i="1"/>
  <c r="K959" i="1"/>
  <c r="I961" i="1" l="1"/>
  <c r="K960" i="1"/>
  <c r="J961" i="1"/>
  <c r="L960" i="1"/>
  <c r="J962" i="1" l="1"/>
  <c r="L961" i="1"/>
  <c r="I962" i="1"/>
  <c r="K961" i="1"/>
  <c r="I963" i="1" l="1"/>
  <c r="K962" i="1"/>
  <c r="J963" i="1"/>
  <c r="L962" i="1"/>
  <c r="J964" i="1" l="1"/>
  <c r="L963" i="1"/>
  <c r="I964" i="1"/>
  <c r="K963" i="1"/>
  <c r="I965" i="1" l="1"/>
  <c r="K964" i="1"/>
  <c r="J965" i="1"/>
  <c r="L964" i="1"/>
  <c r="J966" i="1" l="1"/>
  <c r="L965" i="1"/>
  <c r="I966" i="1"/>
  <c r="K965" i="1"/>
  <c r="I967" i="1" l="1"/>
  <c r="K966" i="1"/>
  <c r="J967" i="1"/>
  <c r="L966" i="1"/>
  <c r="J968" i="1" l="1"/>
  <c r="L967" i="1"/>
  <c r="I968" i="1"/>
  <c r="K967" i="1"/>
  <c r="I969" i="1" l="1"/>
  <c r="K968" i="1"/>
  <c r="J969" i="1"/>
  <c r="L968" i="1"/>
  <c r="J970" i="1" l="1"/>
  <c r="L969" i="1"/>
  <c r="I970" i="1"/>
  <c r="K969" i="1"/>
  <c r="I971" i="1" l="1"/>
  <c r="K970" i="1"/>
  <c r="J971" i="1"/>
  <c r="L970" i="1"/>
  <c r="J972" i="1" l="1"/>
  <c r="L971" i="1"/>
  <c r="I972" i="1"/>
  <c r="K971" i="1"/>
  <c r="I973" i="1" l="1"/>
  <c r="K972" i="1"/>
  <c r="J973" i="1"/>
  <c r="L972" i="1"/>
  <c r="J974" i="1" l="1"/>
  <c r="L973" i="1"/>
  <c r="I974" i="1"/>
  <c r="K973" i="1"/>
  <c r="I975" i="1" l="1"/>
  <c r="K974" i="1"/>
  <c r="J975" i="1"/>
  <c r="L974" i="1"/>
  <c r="J976" i="1" l="1"/>
  <c r="L975" i="1"/>
  <c r="I976" i="1"/>
  <c r="K975" i="1"/>
  <c r="I977" i="1" l="1"/>
  <c r="K976" i="1"/>
  <c r="J977" i="1"/>
  <c r="L976" i="1"/>
  <c r="J978" i="1" l="1"/>
  <c r="L977" i="1"/>
  <c r="I978" i="1"/>
  <c r="K977" i="1"/>
  <c r="I979" i="1" l="1"/>
  <c r="K978" i="1"/>
  <c r="J979" i="1"/>
  <c r="L978" i="1"/>
  <c r="J980" i="1" l="1"/>
  <c r="L979" i="1"/>
  <c r="I980" i="1"/>
  <c r="K979" i="1"/>
  <c r="I981" i="1" l="1"/>
  <c r="K980" i="1"/>
  <c r="J981" i="1"/>
  <c r="L980" i="1"/>
  <c r="J982" i="1" l="1"/>
  <c r="L981" i="1"/>
  <c r="I982" i="1"/>
  <c r="K981" i="1"/>
  <c r="I983" i="1" l="1"/>
  <c r="K982" i="1"/>
  <c r="J983" i="1"/>
  <c r="L982" i="1"/>
  <c r="J984" i="1" l="1"/>
  <c r="L983" i="1"/>
  <c r="I984" i="1"/>
  <c r="K983" i="1"/>
  <c r="I985" i="1" l="1"/>
  <c r="K984" i="1"/>
  <c r="J985" i="1"/>
  <c r="L984" i="1"/>
  <c r="J986" i="1" l="1"/>
  <c r="L985" i="1"/>
  <c r="I986" i="1"/>
  <c r="K985" i="1"/>
  <c r="I987" i="1" l="1"/>
  <c r="K986" i="1"/>
  <c r="J987" i="1"/>
  <c r="L986" i="1"/>
  <c r="J988" i="1" l="1"/>
  <c r="L987" i="1"/>
  <c r="I988" i="1"/>
  <c r="K987" i="1"/>
  <c r="I989" i="1" l="1"/>
  <c r="K988" i="1"/>
  <c r="J989" i="1"/>
  <c r="L988" i="1"/>
  <c r="J990" i="1" l="1"/>
  <c r="L989" i="1"/>
  <c r="I990" i="1"/>
  <c r="K989" i="1"/>
  <c r="I991" i="1" l="1"/>
  <c r="K990" i="1"/>
  <c r="J991" i="1"/>
  <c r="L990" i="1"/>
  <c r="J992" i="1" l="1"/>
  <c r="L991" i="1"/>
  <c r="I992" i="1"/>
  <c r="K991" i="1"/>
  <c r="I993" i="1" l="1"/>
  <c r="K992" i="1"/>
  <c r="J993" i="1"/>
  <c r="L992" i="1"/>
  <c r="J994" i="1" l="1"/>
  <c r="L993" i="1"/>
  <c r="I994" i="1"/>
  <c r="K993" i="1"/>
  <c r="I995" i="1" l="1"/>
  <c r="K994" i="1"/>
  <c r="J995" i="1"/>
  <c r="L994" i="1"/>
  <c r="J996" i="1" l="1"/>
  <c r="L995" i="1"/>
  <c r="I996" i="1"/>
  <c r="K995" i="1"/>
  <c r="I997" i="1" l="1"/>
  <c r="K996" i="1"/>
  <c r="J997" i="1"/>
  <c r="L996" i="1"/>
  <c r="J998" i="1" l="1"/>
  <c r="L997" i="1"/>
  <c r="I998" i="1"/>
  <c r="K997" i="1"/>
  <c r="I999" i="1" l="1"/>
  <c r="K998" i="1"/>
  <c r="J999" i="1"/>
  <c r="L998" i="1"/>
  <c r="J1000" i="1" l="1"/>
  <c r="L999" i="1"/>
  <c r="I1000" i="1"/>
  <c r="K999" i="1"/>
  <c r="I1001" i="1" l="1"/>
  <c r="K1000" i="1"/>
  <c r="J1001" i="1"/>
  <c r="L1000" i="1"/>
  <c r="J1002" i="1" l="1"/>
  <c r="L1001" i="1"/>
  <c r="I1002" i="1"/>
  <c r="K1001" i="1"/>
  <c r="I1003" i="1" l="1"/>
  <c r="K1002" i="1"/>
  <c r="J1003" i="1"/>
  <c r="L1002" i="1"/>
  <c r="J1004" i="1" l="1"/>
  <c r="L1003" i="1"/>
  <c r="I1004" i="1"/>
  <c r="K1003" i="1"/>
  <c r="I1005" i="1" l="1"/>
  <c r="K1004" i="1"/>
  <c r="J1005" i="1"/>
  <c r="L1004" i="1"/>
  <c r="J1006" i="1" l="1"/>
  <c r="L1005" i="1"/>
  <c r="I1006" i="1"/>
  <c r="K1005" i="1"/>
  <c r="I1007" i="1" l="1"/>
  <c r="K1006" i="1"/>
  <c r="J1007" i="1"/>
  <c r="L1006" i="1"/>
  <c r="J1008" i="1" l="1"/>
  <c r="L1007" i="1"/>
  <c r="I1008" i="1"/>
  <c r="K1007" i="1"/>
  <c r="I1009" i="1" l="1"/>
  <c r="K1008" i="1"/>
  <c r="J1009" i="1"/>
  <c r="L1008" i="1"/>
  <c r="J1010" i="1" l="1"/>
  <c r="L1009" i="1"/>
  <c r="I1010" i="1"/>
  <c r="K1009" i="1"/>
  <c r="I1011" i="1" l="1"/>
  <c r="K1010" i="1"/>
  <c r="J1011" i="1"/>
  <c r="L1010" i="1"/>
  <c r="J1012" i="1" l="1"/>
  <c r="L1011" i="1"/>
  <c r="I1012" i="1"/>
  <c r="K1011" i="1"/>
  <c r="I1013" i="1" l="1"/>
  <c r="K1012" i="1"/>
  <c r="J1013" i="1"/>
  <c r="L1012" i="1"/>
  <c r="J1014" i="1" l="1"/>
  <c r="L1013" i="1"/>
  <c r="I1014" i="1"/>
  <c r="K1013" i="1"/>
  <c r="I1015" i="1" l="1"/>
  <c r="K1014" i="1"/>
  <c r="J1015" i="1"/>
  <c r="L1014" i="1"/>
  <c r="J1016" i="1" l="1"/>
  <c r="L1015" i="1"/>
  <c r="I1016" i="1"/>
  <c r="K1015" i="1"/>
  <c r="I1017" i="1" l="1"/>
  <c r="K1016" i="1"/>
  <c r="J1017" i="1"/>
  <c r="L1016" i="1"/>
  <c r="J1018" i="1" l="1"/>
  <c r="L1017" i="1"/>
  <c r="I1018" i="1"/>
  <c r="K1017" i="1"/>
  <c r="I1019" i="1" l="1"/>
  <c r="K1018" i="1"/>
  <c r="J1019" i="1"/>
  <c r="L1018" i="1"/>
  <c r="J1020" i="1" l="1"/>
  <c r="L1019" i="1"/>
  <c r="I1020" i="1"/>
  <c r="K1019" i="1"/>
  <c r="I1021" i="1" l="1"/>
  <c r="K1020" i="1"/>
  <c r="J1021" i="1"/>
  <c r="L1020" i="1"/>
  <c r="J1022" i="1" l="1"/>
  <c r="L1021" i="1"/>
  <c r="I1022" i="1"/>
  <c r="K1021" i="1"/>
  <c r="I1023" i="1" l="1"/>
  <c r="K1022" i="1"/>
  <c r="J1023" i="1"/>
  <c r="L1022" i="1"/>
  <c r="J1024" i="1" l="1"/>
  <c r="L1023" i="1"/>
  <c r="I1024" i="1"/>
  <c r="K1023" i="1"/>
  <c r="I1025" i="1" l="1"/>
  <c r="K1024" i="1"/>
  <c r="J1025" i="1"/>
  <c r="L1024" i="1"/>
  <c r="J1026" i="1" l="1"/>
  <c r="L1025" i="1"/>
  <c r="I1026" i="1"/>
  <c r="K1025" i="1"/>
  <c r="I1027" i="1" l="1"/>
  <c r="K1026" i="1"/>
  <c r="J1027" i="1"/>
  <c r="L1026" i="1"/>
  <c r="J1028" i="1" l="1"/>
  <c r="L1027" i="1"/>
  <c r="I1028" i="1"/>
  <c r="K1027" i="1"/>
  <c r="I1029" i="1" l="1"/>
  <c r="K1028" i="1"/>
  <c r="J1029" i="1"/>
  <c r="L1028" i="1"/>
  <c r="J1030" i="1" l="1"/>
  <c r="L1029" i="1"/>
  <c r="I1030" i="1"/>
  <c r="K1029" i="1"/>
  <c r="I1031" i="1" l="1"/>
  <c r="K1030" i="1"/>
  <c r="J1031" i="1"/>
  <c r="L1030" i="1"/>
  <c r="J1032" i="1" l="1"/>
  <c r="L1031" i="1"/>
  <c r="I1032" i="1"/>
  <c r="K1031" i="1"/>
  <c r="I1033" i="1" l="1"/>
  <c r="K1032" i="1"/>
  <c r="J1033" i="1"/>
  <c r="L1032" i="1"/>
  <c r="J1034" i="1" l="1"/>
  <c r="L1033" i="1"/>
  <c r="I1034" i="1"/>
  <c r="K1033" i="1"/>
  <c r="I1035" i="1" l="1"/>
  <c r="K1034" i="1"/>
  <c r="J1035" i="1"/>
  <c r="L1034" i="1"/>
  <c r="J1036" i="1" l="1"/>
  <c r="L1035" i="1"/>
  <c r="I1036" i="1"/>
  <c r="K1035" i="1"/>
  <c r="I1037" i="1" l="1"/>
  <c r="K1036" i="1"/>
  <c r="J1037" i="1"/>
  <c r="L1036" i="1"/>
  <c r="J1038" i="1" l="1"/>
  <c r="L1037" i="1"/>
  <c r="I1038" i="1"/>
  <c r="K1037" i="1"/>
  <c r="I1039" i="1" l="1"/>
  <c r="K1038" i="1"/>
  <c r="J1039" i="1"/>
  <c r="L1038" i="1"/>
  <c r="J1040" i="1" l="1"/>
  <c r="L1039" i="1"/>
  <c r="I1040" i="1"/>
  <c r="K1039" i="1"/>
  <c r="I1041" i="1" l="1"/>
  <c r="K1040" i="1"/>
  <c r="J1041" i="1"/>
  <c r="L1040" i="1"/>
  <c r="J1042" i="1" l="1"/>
  <c r="L1041" i="1"/>
  <c r="I1042" i="1"/>
  <c r="K1041" i="1"/>
  <c r="I1043" i="1" l="1"/>
  <c r="K1042" i="1"/>
  <c r="J1043" i="1"/>
  <c r="L1042" i="1"/>
  <c r="J1044" i="1" l="1"/>
  <c r="L1043" i="1"/>
  <c r="I1044" i="1"/>
  <c r="K1043" i="1"/>
  <c r="I1045" i="1" l="1"/>
  <c r="K1044" i="1"/>
  <c r="J1045" i="1"/>
  <c r="L1044" i="1"/>
  <c r="J1046" i="1" l="1"/>
  <c r="L1045" i="1"/>
  <c r="I1046" i="1"/>
  <c r="K1045" i="1"/>
  <c r="I1047" i="1" l="1"/>
  <c r="K1046" i="1"/>
  <c r="J1047" i="1"/>
  <c r="L1046" i="1"/>
  <c r="J1048" i="1" l="1"/>
  <c r="L1047" i="1"/>
  <c r="I1048" i="1"/>
  <c r="K1047" i="1"/>
  <c r="I1049" i="1" l="1"/>
  <c r="K1048" i="1"/>
  <c r="J1049" i="1"/>
  <c r="L1048" i="1"/>
  <c r="J1050" i="1" l="1"/>
  <c r="L1049" i="1"/>
  <c r="I1050" i="1"/>
  <c r="K1049" i="1"/>
  <c r="I1051" i="1" l="1"/>
  <c r="K1050" i="1"/>
  <c r="J1051" i="1"/>
  <c r="L1050" i="1"/>
  <c r="J1052" i="1" l="1"/>
  <c r="L1051" i="1"/>
  <c r="I1052" i="1"/>
  <c r="K1051" i="1"/>
  <c r="I1053" i="1" l="1"/>
  <c r="K1052" i="1"/>
  <c r="J1053" i="1"/>
  <c r="L1052" i="1"/>
  <c r="J1054" i="1" l="1"/>
  <c r="L1053" i="1"/>
  <c r="I1054" i="1"/>
  <c r="K1053" i="1"/>
  <c r="I1055" i="1" l="1"/>
  <c r="K1054" i="1"/>
  <c r="J1055" i="1"/>
  <c r="L1054" i="1"/>
  <c r="J1056" i="1" l="1"/>
  <c r="L1055" i="1"/>
  <c r="I1056" i="1"/>
  <c r="K1055" i="1"/>
  <c r="I1057" i="1" l="1"/>
  <c r="K1056" i="1"/>
  <c r="J1057" i="1"/>
  <c r="L1056" i="1"/>
  <c r="J1058" i="1" l="1"/>
  <c r="L1057" i="1"/>
  <c r="I1058" i="1"/>
  <c r="K1057" i="1"/>
  <c r="I1059" i="1" l="1"/>
  <c r="K1058" i="1"/>
  <c r="J1059" i="1"/>
  <c r="L1058" i="1"/>
  <c r="J1060" i="1" l="1"/>
  <c r="L1059" i="1"/>
  <c r="I1060" i="1"/>
  <c r="K1059" i="1"/>
  <c r="I1061" i="1" l="1"/>
  <c r="K1060" i="1"/>
  <c r="J1061" i="1"/>
  <c r="L1060" i="1"/>
  <c r="J1062" i="1" l="1"/>
  <c r="L1061" i="1"/>
  <c r="I1062" i="1"/>
  <c r="K1061" i="1"/>
  <c r="I1063" i="1" l="1"/>
  <c r="K1062" i="1"/>
  <c r="J1063" i="1"/>
  <c r="L1062" i="1"/>
  <c r="J1064" i="1" l="1"/>
  <c r="L1063" i="1"/>
  <c r="I1064" i="1"/>
  <c r="K1063" i="1"/>
  <c r="I1065" i="1" l="1"/>
  <c r="K1064" i="1"/>
  <c r="J1065" i="1"/>
  <c r="L1064" i="1"/>
  <c r="J1066" i="1" l="1"/>
  <c r="L1065" i="1"/>
  <c r="I1066" i="1"/>
  <c r="K1065" i="1"/>
  <c r="I1067" i="1" l="1"/>
  <c r="K1066" i="1"/>
  <c r="J1067" i="1"/>
  <c r="L1066" i="1"/>
  <c r="J1068" i="1" l="1"/>
  <c r="L1067" i="1"/>
  <c r="I1068" i="1"/>
  <c r="K1067" i="1"/>
  <c r="I1069" i="1" l="1"/>
  <c r="K1068" i="1"/>
  <c r="J1069" i="1"/>
  <c r="L1068" i="1"/>
  <c r="J1070" i="1" l="1"/>
  <c r="L1069" i="1"/>
  <c r="I1070" i="1"/>
  <c r="K1069" i="1"/>
  <c r="I1071" i="1" l="1"/>
  <c r="K1070" i="1"/>
  <c r="J1071" i="1"/>
  <c r="L1070" i="1"/>
  <c r="J1072" i="1" l="1"/>
  <c r="L1071" i="1"/>
  <c r="I1072" i="1"/>
  <c r="K1071" i="1"/>
  <c r="I1073" i="1" l="1"/>
  <c r="K1072" i="1"/>
  <c r="J1073" i="1"/>
  <c r="L1072" i="1"/>
  <c r="J1074" i="1" l="1"/>
  <c r="L1073" i="1"/>
  <c r="I1074" i="1"/>
  <c r="K1073" i="1"/>
  <c r="I1075" i="1" l="1"/>
  <c r="K1074" i="1"/>
  <c r="J1075" i="1"/>
  <c r="L1074" i="1"/>
  <c r="J1076" i="1" l="1"/>
  <c r="L1075" i="1"/>
  <c r="I1076" i="1"/>
  <c r="K1075" i="1"/>
  <c r="I1077" i="1" l="1"/>
  <c r="K1076" i="1"/>
  <c r="J1077" i="1"/>
  <c r="L1076" i="1"/>
  <c r="J1078" i="1" l="1"/>
  <c r="L1077" i="1"/>
  <c r="I1078" i="1"/>
  <c r="K1077" i="1"/>
  <c r="I1079" i="1" l="1"/>
  <c r="K1078" i="1"/>
  <c r="J1079" i="1"/>
  <c r="L1078" i="1"/>
  <c r="J1080" i="1" l="1"/>
  <c r="L1079" i="1"/>
  <c r="I1080" i="1"/>
  <c r="K1079" i="1"/>
  <c r="I1081" i="1" l="1"/>
  <c r="K1080" i="1"/>
  <c r="J1081" i="1"/>
  <c r="L1080" i="1"/>
  <c r="J1082" i="1" l="1"/>
  <c r="L1081" i="1"/>
  <c r="I1082" i="1"/>
  <c r="K1081" i="1"/>
  <c r="I1083" i="1" l="1"/>
  <c r="K1082" i="1"/>
  <c r="J1083" i="1"/>
  <c r="L1082" i="1"/>
  <c r="J1084" i="1" l="1"/>
  <c r="L1083" i="1"/>
  <c r="I1084" i="1"/>
  <c r="K1083" i="1"/>
  <c r="I1085" i="1" l="1"/>
  <c r="K1084" i="1"/>
  <c r="J1085" i="1"/>
  <c r="L1084" i="1"/>
  <c r="J1086" i="1" l="1"/>
  <c r="L1085" i="1"/>
  <c r="I1086" i="1"/>
  <c r="K1085" i="1"/>
  <c r="I1087" i="1" l="1"/>
  <c r="K1086" i="1"/>
  <c r="J1087" i="1"/>
  <c r="L1086" i="1"/>
  <c r="J1088" i="1" l="1"/>
  <c r="L1087" i="1"/>
  <c r="I1088" i="1"/>
  <c r="K1087" i="1"/>
  <c r="I1089" i="1" l="1"/>
  <c r="K1088" i="1"/>
  <c r="J1089" i="1"/>
  <c r="L1088" i="1"/>
  <c r="J1090" i="1" l="1"/>
  <c r="L1089" i="1"/>
  <c r="I1090" i="1"/>
  <c r="K1089" i="1"/>
  <c r="I1091" i="1" l="1"/>
  <c r="K1090" i="1"/>
  <c r="J1091" i="1"/>
  <c r="L1090" i="1"/>
  <c r="J1092" i="1" l="1"/>
  <c r="L1091" i="1"/>
  <c r="I1092" i="1"/>
  <c r="K1091" i="1"/>
  <c r="I1093" i="1" l="1"/>
  <c r="K1092" i="1"/>
  <c r="J1093" i="1"/>
  <c r="L1092" i="1"/>
  <c r="J1094" i="1" l="1"/>
  <c r="L1093" i="1"/>
  <c r="I1094" i="1"/>
  <c r="K1093" i="1"/>
  <c r="I1095" i="1" l="1"/>
  <c r="K1094" i="1"/>
  <c r="J1095" i="1"/>
  <c r="L1094" i="1"/>
  <c r="J1096" i="1" l="1"/>
  <c r="L1095" i="1"/>
  <c r="I1096" i="1"/>
  <c r="K1095" i="1"/>
  <c r="I1097" i="1" l="1"/>
  <c r="K1096" i="1"/>
  <c r="J1097" i="1"/>
  <c r="L1096" i="1"/>
  <c r="J1098" i="1" l="1"/>
  <c r="L1097" i="1"/>
  <c r="I1098" i="1"/>
  <c r="K1097" i="1"/>
  <c r="I1099" i="1" l="1"/>
  <c r="K1098" i="1"/>
  <c r="J1099" i="1"/>
  <c r="L1098" i="1"/>
  <c r="J1100" i="1" l="1"/>
  <c r="L1099" i="1"/>
  <c r="I1100" i="1"/>
  <c r="K1099" i="1"/>
  <c r="I1101" i="1" l="1"/>
  <c r="K1100" i="1"/>
  <c r="J1101" i="1"/>
  <c r="L1100" i="1"/>
  <c r="J1102" i="1" l="1"/>
  <c r="L1101" i="1"/>
  <c r="I1102" i="1"/>
  <c r="K1101" i="1"/>
  <c r="I1103" i="1" l="1"/>
  <c r="K1102" i="1"/>
  <c r="J1103" i="1"/>
  <c r="L1102" i="1"/>
  <c r="J1104" i="1" l="1"/>
  <c r="L1103" i="1"/>
  <c r="I1104" i="1"/>
  <c r="K1103" i="1"/>
  <c r="I1105" i="1" l="1"/>
  <c r="K1104" i="1"/>
  <c r="J1105" i="1"/>
  <c r="L1104" i="1"/>
  <c r="J1106" i="1" l="1"/>
  <c r="L1105" i="1"/>
  <c r="I1106" i="1"/>
  <c r="K1105" i="1"/>
  <c r="I1107" i="1" l="1"/>
  <c r="K1106" i="1"/>
  <c r="J1107" i="1"/>
  <c r="L1106" i="1"/>
  <c r="J1108" i="1" l="1"/>
  <c r="L1107" i="1"/>
  <c r="I1108" i="1"/>
  <c r="K1107" i="1"/>
  <c r="I1109" i="1" l="1"/>
  <c r="K1108" i="1"/>
  <c r="J1109" i="1"/>
  <c r="L1108" i="1"/>
  <c r="J1110" i="1" l="1"/>
  <c r="L1109" i="1"/>
  <c r="I1110" i="1"/>
  <c r="K1109" i="1"/>
  <c r="I1111" i="1" l="1"/>
  <c r="K1110" i="1"/>
  <c r="J1111" i="1"/>
  <c r="L1110" i="1"/>
  <c r="J1112" i="1" l="1"/>
  <c r="L1111" i="1"/>
  <c r="I1112" i="1"/>
  <c r="K1111" i="1"/>
  <c r="I1113" i="1" l="1"/>
  <c r="K1112" i="1"/>
  <c r="J1113" i="1"/>
  <c r="L1112" i="1"/>
  <c r="J1114" i="1" l="1"/>
  <c r="L1113" i="1"/>
  <c r="I1114" i="1"/>
  <c r="K1113" i="1"/>
  <c r="I1115" i="1" l="1"/>
  <c r="K1114" i="1"/>
  <c r="J1115" i="1"/>
  <c r="L1114" i="1"/>
  <c r="J1116" i="1" l="1"/>
  <c r="L1115" i="1"/>
  <c r="I1116" i="1"/>
  <c r="K1115" i="1"/>
  <c r="I1117" i="1" l="1"/>
  <c r="K1116" i="1"/>
  <c r="J1117" i="1"/>
  <c r="L1116" i="1"/>
  <c r="J1118" i="1" l="1"/>
  <c r="L1117" i="1"/>
  <c r="I1118" i="1"/>
  <c r="K1117" i="1"/>
  <c r="I1119" i="1" l="1"/>
  <c r="K1118" i="1"/>
  <c r="J1119" i="1"/>
  <c r="L1118" i="1"/>
  <c r="J1120" i="1" l="1"/>
  <c r="L1119" i="1"/>
  <c r="I1120" i="1"/>
  <c r="K1119" i="1"/>
  <c r="I1121" i="1" l="1"/>
  <c r="K1120" i="1"/>
  <c r="J1121" i="1"/>
  <c r="L1120" i="1"/>
  <c r="J1122" i="1" l="1"/>
  <c r="L1121" i="1"/>
  <c r="I1122" i="1"/>
  <c r="K1121" i="1"/>
  <c r="I1123" i="1" l="1"/>
  <c r="K1122" i="1"/>
  <c r="J1123" i="1"/>
  <c r="L1122" i="1"/>
  <c r="J1124" i="1" l="1"/>
  <c r="L1123" i="1"/>
  <c r="I1124" i="1"/>
  <c r="K1123" i="1"/>
  <c r="I1125" i="1" l="1"/>
  <c r="K1124" i="1"/>
  <c r="J1125" i="1"/>
  <c r="L1124" i="1"/>
  <c r="J1126" i="1" l="1"/>
  <c r="L1125" i="1"/>
  <c r="I1126" i="1"/>
  <c r="K1125" i="1"/>
  <c r="I1127" i="1" l="1"/>
  <c r="K1126" i="1"/>
  <c r="J1127" i="1"/>
  <c r="L1126" i="1"/>
  <c r="J1128" i="1" l="1"/>
  <c r="L1127" i="1"/>
  <c r="I1128" i="1"/>
  <c r="K1127" i="1"/>
  <c r="J1129" i="1" l="1"/>
  <c r="L1128" i="1"/>
  <c r="I1129" i="1"/>
  <c r="K1128" i="1"/>
  <c r="I1130" i="1" l="1"/>
  <c r="K1129" i="1"/>
  <c r="J1130" i="1"/>
  <c r="L1129" i="1"/>
  <c r="J1131" i="1" l="1"/>
  <c r="L1130" i="1"/>
  <c r="I1131" i="1"/>
  <c r="K1130" i="1"/>
  <c r="I1132" i="1" l="1"/>
  <c r="K1131" i="1"/>
  <c r="J1132" i="1"/>
  <c r="L1131" i="1"/>
  <c r="J1133" i="1" l="1"/>
  <c r="L1132" i="1"/>
  <c r="I1133" i="1"/>
  <c r="K1132" i="1"/>
  <c r="I1134" i="1" l="1"/>
  <c r="K1133" i="1"/>
  <c r="J1134" i="1"/>
  <c r="L1133" i="1"/>
  <c r="J1135" i="1" l="1"/>
  <c r="L1134" i="1"/>
  <c r="I1135" i="1"/>
  <c r="K1134" i="1"/>
  <c r="I1136" i="1" l="1"/>
  <c r="K1135" i="1"/>
  <c r="J1136" i="1"/>
  <c r="L1135" i="1"/>
  <c r="J1137" i="1" l="1"/>
  <c r="L1136" i="1"/>
  <c r="I1137" i="1"/>
  <c r="K1136" i="1"/>
  <c r="I1138" i="1" l="1"/>
  <c r="K1137" i="1"/>
  <c r="J1138" i="1"/>
  <c r="L1137" i="1"/>
  <c r="J1139" i="1" l="1"/>
  <c r="L1138" i="1"/>
  <c r="I1139" i="1"/>
  <c r="K1138" i="1"/>
  <c r="I1140" i="1" l="1"/>
  <c r="K1139" i="1"/>
  <c r="J1140" i="1"/>
  <c r="L1139" i="1"/>
  <c r="J1141" i="1" l="1"/>
  <c r="L1140" i="1"/>
  <c r="I1141" i="1"/>
  <c r="K1140" i="1"/>
  <c r="I1142" i="1" l="1"/>
  <c r="K1141" i="1"/>
  <c r="J1142" i="1"/>
  <c r="L1141" i="1"/>
  <c r="J1143" i="1" l="1"/>
  <c r="L1142" i="1"/>
  <c r="I1143" i="1"/>
  <c r="K1142" i="1"/>
  <c r="I1144" i="1" l="1"/>
  <c r="K1143" i="1"/>
  <c r="J1144" i="1"/>
  <c r="L1143" i="1"/>
  <c r="J1145" i="1" l="1"/>
  <c r="L1144" i="1"/>
  <c r="I1145" i="1"/>
  <c r="K1144" i="1"/>
  <c r="I1146" i="1" l="1"/>
  <c r="K1145" i="1"/>
  <c r="J1146" i="1"/>
  <c r="L1145" i="1"/>
  <c r="J1147" i="1" l="1"/>
  <c r="L1146" i="1"/>
  <c r="I1147" i="1"/>
  <c r="K1146" i="1"/>
  <c r="I1148" i="1" l="1"/>
  <c r="K1147" i="1"/>
  <c r="J1148" i="1"/>
  <c r="L1147" i="1"/>
  <c r="J1149" i="1" l="1"/>
  <c r="L1148" i="1"/>
  <c r="I1149" i="1"/>
  <c r="K1148" i="1"/>
  <c r="I1150" i="1" l="1"/>
  <c r="K1149" i="1"/>
  <c r="J1150" i="1"/>
  <c r="L1149" i="1"/>
  <c r="J1151" i="1" l="1"/>
  <c r="L1150" i="1"/>
  <c r="I1151" i="1"/>
  <c r="K1150" i="1"/>
  <c r="I1152" i="1" l="1"/>
  <c r="K1151" i="1"/>
  <c r="J1152" i="1"/>
  <c r="L1151" i="1"/>
  <c r="J1153" i="1" l="1"/>
  <c r="L1152" i="1"/>
  <c r="I1153" i="1"/>
  <c r="K1152" i="1"/>
  <c r="I1154" i="1" l="1"/>
  <c r="K1153" i="1"/>
  <c r="J1154" i="1"/>
  <c r="L1153" i="1"/>
  <c r="J1155" i="1" l="1"/>
  <c r="L1154" i="1"/>
  <c r="I1155" i="1"/>
  <c r="K1154" i="1"/>
  <c r="I1156" i="1" l="1"/>
  <c r="K1155" i="1"/>
  <c r="J1156" i="1"/>
  <c r="L1155" i="1"/>
  <c r="J1157" i="1" l="1"/>
  <c r="L1156" i="1"/>
  <c r="I1157" i="1"/>
  <c r="K1156" i="1"/>
  <c r="I1158" i="1" l="1"/>
  <c r="K1157" i="1"/>
  <c r="J1158" i="1"/>
  <c r="L1157" i="1"/>
  <c r="J1159" i="1" l="1"/>
  <c r="L1158" i="1"/>
  <c r="I1159" i="1"/>
  <c r="K1158" i="1"/>
  <c r="I1160" i="1" l="1"/>
  <c r="K1159" i="1"/>
  <c r="J1160" i="1"/>
  <c r="L1159" i="1"/>
  <c r="J1161" i="1" l="1"/>
  <c r="L1160" i="1"/>
  <c r="I1161" i="1"/>
  <c r="K1160" i="1"/>
  <c r="I1162" i="1" l="1"/>
  <c r="K1161" i="1"/>
  <c r="J1162" i="1"/>
  <c r="L1161" i="1"/>
  <c r="J1163" i="1" l="1"/>
  <c r="L1162" i="1"/>
  <c r="I1163" i="1"/>
  <c r="K1162" i="1"/>
  <c r="I1164" i="1" l="1"/>
  <c r="K1163" i="1"/>
  <c r="J1164" i="1"/>
  <c r="L1163" i="1"/>
  <c r="J1165" i="1" l="1"/>
  <c r="L1164" i="1"/>
  <c r="I1165" i="1"/>
  <c r="K1164" i="1"/>
  <c r="I1166" i="1" l="1"/>
  <c r="K1165" i="1"/>
  <c r="J1166" i="1"/>
  <c r="L1165" i="1"/>
  <c r="J1167" i="1" l="1"/>
  <c r="L1166" i="1"/>
  <c r="I1167" i="1"/>
  <c r="K1166" i="1"/>
  <c r="I1168" i="1" l="1"/>
  <c r="K1167" i="1"/>
  <c r="J1168" i="1"/>
  <c r="L1167" i="1"/>
  <c r="J1169" i="1" l="1"/>
  <c r="L1168" i="1"/>
  <c r="I1169" i="1"/>
  <c r="K1168" i="1"/>
  <c r="I1170" i="1" l="1"/>
  <c r="K1169" i="1"/>
  <c r="J1170" i="1"/>
  <c r="L1169" i="1"/>
  <c r="J1171" i="1" l="1"/>
  <c r="L1170" i="1"/>
  <c r="I1171" i="1"/>
  <c r="K1170" i="1"/>
  <c r="I1172" i="1" l="1"/>
  <c r="K1171" i="1"/>
  <c r="J1172" i="1"/>
  <c r="L1171" i="1"/>
  <c r="J1173" i="1" l="1"/>
  <c r="L1172" i="1"/>
  <c r="I1173" i="1"/>
  <c r="K1172" i="1"/>
  <c r="I1174" i="1" l="1"/>
  <c r="K1173" i="1"/>
  <c r="J1174" i="1"/>
  <c r="L1173" i="1"/>
  <c r="J1175" i="1" l="1"/>
  <c r="L1174" i="1"/>
  <c r="I1175" i="1"/>
  <c r="K1174" i="1"/>
  <c r="I1176" i="1" l="1"/>
  <c r="K1175" i="1"/>
  <c r="J1176" i="1"/>
  <c r="L1175" i="1"/>
  <c r="J1177" i="1" l="1"/>
  <c r="L1176" i="1"/>
  <c r="I1177" i="1"/>
  <c r="K1176" i="1"/>
  <c r="I1178" i="1" l="1"/>
  <c r="K1177" i="1"/>
  <c r="J1178" i="1"/>
  <c r="L1177" i="1"/>
  <c r="J1179" i="1" l="1"/>
  <c r="L1178" i="1"/>
  <c r="I1179" i="1"/>
  <c r="K1178" i="1"/>
  <c r="I1180" i="1" l="1"/>
  <c r="K1179" i="1"/>
  <c r="J1180" i="1"/>
  <c r="L1179" i="1"/>
  <c r="J1181" i="1" l="1"/>
  <c r="L1180" i="1"/>
  <c r="I1181" i="1"/>
  <c r="K1180" i="1"/>
  <c r="I1182" i="1" l="1"/>
  <c r="K1181" i="1"/>
  <c r="J1182" i="1"/>
  <c r="L1181" i="1"/>
  <c r="J1183" i="1" l="1"/>
  <c r="L1182" i="1"/>
  <c r="I1183" i="1"/>
  <c r="K1182" i="1"/>
  <c r="I1184" i="1" l="1"/>
  <c r="K1183" i="1"/>
  <c r="J1184" i="1"/>
  <c r="L1183" i="1"/>
  <c r="J1185" i="1" l="1"/>
  <c r="L1184" i="1"/>
  <c r="I1185" i="1"/>
  <c r="K1184" i="1"/>
  <c r="I1186" i="1" l="1"/>
  <c r="K1185" i="1"/>
  <c r="J1186" i="1"/>
  <c r="L1185" i="1"/>
  <c r="J1187" i="1" l="1"/>
  <c r="L1186" i="1"/>
  <c r="I1187" i="1"/>
  <c r="K1186" i="1"/>
  <c r="I1188" i="1" l="1"/>
  <c r="K1187" i="1"/>
  <c r="J1188" i="1"/>
  <c r="L1187" i="1"/>
  <c r="J1189" i="1" l="1"/>
  <c r="L1188" i="1"/>
  <c r="I1189" i="1"/>
  <c r="K1188" i="1"/>
  <c r="I1190" i="1" l="1"/>
  <c r="K1189" i="1"/>
  <c r="J1190" i="1"/>
  <c r="L1189" i="1"/>
  <c r="J1191" i="1" l="1"/>
  <c r="L1190" i="1"/>
  <c r="I1191" i="1"/>
  <c r="K1190" i="1"/>
  <c r="I1192" i="1" l="1"/>
  <c r="K1191" i="1"/>
  <c r="J1192" i="1"/>
  <c r="L1191" i="1"/>
  <c r="J1193" i="1" l="1"/>
  <c r="L1192" i="1"/>
  <c r="I1193" i="1"/>
  <c r="K1192" i="1"/>
  <c r="I1194" i="1" l="1"/>
  <c r="K1193" i="1"/>
  <c r="J1194" i="1"/>
  <c r="L1193" i="1"/>
  <c r="J1195" i="1" l="1"/>
  <c r="L1194" i="1"/>
  <c r="I1195" i="1"/>
  <c r="K1194" i="1"/>
  <c r="I1196" i="1" l="1"/>
  <c r="K1195" i="1"/>
  <c r="J1196" i="1"/>
  <c r="L1195" i="1"/>
  <c r="J1197" i="1" l="1"/>
  <c r="L1196" i="1"/>
  <c r="I1197" i="1"/>
  <c r="K1196" i="1"/>
  <c r="I1198" i="1" l="1"/>
  <c r="K1197" i="1"/>
  <c r="J1198" i="1"/>
  <c r="L1197" i="1"/>
  <c r="J1199" i="1" l="1"/>
  <c r="L1198" i="1"/>
  <c r="I1199" i="1"/>
  <c r="K1198" i="1"/>
  <c r="I1200" i="1" l="1"/>
  <c r="K1199" i="1"/>
  <c r="J1200" i="1"/>
  <c r="L1199" i="1"/>
  <c r="J1201" i="1" l="1"/>
  <c r="L1200" i="1"/>
  <c r="I1201" i="1"/>
  <c r="K1200" i="1"/>
  <c r="I1202" i="1" l="1"/>
  <c r="K1201" i="1"/>
  <c r="J1202" i="1"/>
  <c r="L1201" i="1"/>
  <c r="J1203" i="1" l="1"/>
  <c r="L1202" i="1"/>
  <c r="I1203" i="1"/>
  <c r="K1202" i="1"/>
  <c r="I1204" i="1" l="1"/>
  <c r="K1203" i="1"/>
  <c r="J1204" i="1"/>
  <c r="L1203" i="1"/>
  <c r="J1205" i="1" l="1"/>
  <c r="L1204" i="1"/>
  <c r="I1205" i="1"/>
  <c r="K1204" i="1"/>
  <c r="I1206" i="1" l="1"/>
  <c r="K1205" i="1"/>
  <c r="J1206" i="1"/>
  <c r="L1205" i="1"/>
  <c r="J1207" i="1" l="1"/>
  <c r="L1206" i="1"/>
  <c r="I1207" i="1"/>
  <c r="K1206" i="1"/>
  <c r="I1208" i="1" l="1"/>
  <c r="K1207" i="1"/>
  <c r="J1208" i="1"/>
  <c r="L1207" i="1"/>
  <c r="J1209" i="1" l="1"/>
  <c r="L1208" i="1"/>
  <c r="I1209" i="1"/>
  <c r="K1208" i="1"/>
  <c r="I1210" i="1" l="1"/>
  <c r="K1209" i="1"/>
  <c r="J1210" i="1"/>
  <c r="L1209" i="1"/>
  <c r="J1211" i="1" l="1"/>
  <c r="L1210" i="1"/>
  <c r="I1211" i="1"/>
  <c r="K1210" i="1"/>
  <c r="I1212" i="1" l="1"/>
  <c r="K1211" i="1"/>
  <c r="J1212" i="1"/>
  <c r="L1211" i="1"/>
  <c r="J1213" i="1" l="1"/>
  <c r="L1212" i="1"/>
  <c r="I1213" i="1"/>
  <c r="K1212" i="1"/>
  <c r="I1214" i="1" l="1"/>
  <c r="K1213" i="1"/>
  <c r="J1214" i="1"/>
  <c r="L1213" i="1"/>
  <c r="J1215" i="1" l="1"/>
  <c r="L1214" i="1"/>
  <c r="I1215" i="1"/>
  <c r="K1214" i="1"/>
  <c r="I1216" i="1" l="1"/>
  <c r="K1215" i="1"/>
  <c r="J1216" i="1"/>
  <c r="L1215" i="1"/>
  <c r="J1217" i="1" l="1"/>
  <c r="L1216" i="1"/>
  <c r="I1217" i="1"/>
  <c r="K1216" i="1"/>
  <c r="I1218" i="1" l="1"/>
  <c r="K1217" i="1"/>
  <c r="J1218" i="1"/>
  <c r="L1217" i="1"/>
  <c r="J1219" i="1" l="1"/>
  <c r="L1218" i="1"/>
  <c r="I1219" i="1"/>
  <c r="K1218" i="1"/>
  <c r="I1220" i="1" l="1"/>
  <c r="K1219" i="1"/>
  <c r="J1220" i="1"/>
  <c r="L1219" i="1"/>
  <c r="J1221" i="1" l="1"/>
  <c r="L1220" i="1"/>
  <c r="I1221" i="1"/>
  <c r="K1220" i="1"/>
  <c r="I1222" i="1" l="1"/>
  <c r="K1221" i="1"/>
  <c r="J1222" i="1"/>
  <c r="L1221" i="1"/>
  <c r="J1223" i="1" l="1"/>
  <c r="L1222" i="1"/>
  <c r="I1223" i="1"/>
  <c r="K1222" i="1"/>
  <c r="I1224" i="1" l="1"/>
  <c r="K1223" i="1"/>
  <c r="J1224" i="1"/>
  <c r="L1223" i="1"/>
  <c r="J1225" i="1" l="1"/>
  <c r="L1224" i="1"/>
  <c r="I1225" i="1"/>
  <c r="K1224" i="1"/>
  <c r="I1226" i="1" l="1"/>
  <c r="K1225" i="1"/>
  <c r="J1226" i="1"/>
  <c r="L1225" i="1"/>
  <c r="J1227" i="1" l="1"/>
  <c r="L1226" i="1"/>
  <c r="I1227" i="1"/>
  <c r="K1226" i="1"/>
  <c r="I1228" i="1" l="1"/>
  <c r="K1227" i="1"/>
  <c r="J1228" i="1"/>
  <c r="L1227" i="1"/>
  <c r="J1229" i="1" l="1"/>
  <c r="L1228" i="1"/>
  <c r="I1229" i="1"/>
  <c r="K1228" i="1"/>
  <c r="I1230" i="1" l="1"/>
  <c r="K1229" i="1"/>
  <c r="J1230" i="1"/>
  <c r="L1229" i="1"/>
  <c r="J1231" i="1" l="1"/>
  <c r="L1230" i="1"/>
  <c r="I1231" i="1"/>
  <c r="K1230" i="1"/>
  <c r="I1232" i="1" l="1"/>
  <c r="K1231" i="1"/>
  <c r="J1232" i="1"/>
  <c r="L1231" i="1"/>
  <c r="J1233" i="1" l="1"/>
  <c r="L1232" i="1"/>
  <c r="I1233" i="1"/>
  <c r="K1232" i="1"/>
  <c r="I1234" i="1" l="1"/>
  <c r="K1233" i="1"/>
  <c r="J1234" i="1"/>
  <c r="L1233" i="1"/>
  <c r="J1235" i="1" l="1"/>
  <c r="L1234" i="1"/>
  <c r="I1235" i="1"/>
  <c r="K1234" i="1"/>
  <c r="I1236" i="1" l="1"/>
  <c r="K1235" i="1"/>
  <c r="J1236" i="1"/>
  <c r="L1235" i="1"/>
  <c r="J1237" i="1" l="1"/>
  <c r="L1236" i="1"/>
  <c r="I1237" i="1"/>
  <c r="K1236" i="1"/>
  <c r="I1238" i="1" l="1"/>
  <c r="K1237" i="1"/>
  <c r="J1238" i="1"/>
  <c r="L1237" i="1"/>
  <c r="J1239" i="1" l="1"/>
  <c r="L1238" i="1"/>
  <c r="I1239" i="1"/>
  <c r="K1238" i="1"/>
  <c r="I1240" i="1" l="1"/>
  <c r="K1239" i="1"/>
  <c r="J1240" i="1"/>
  <c r="L1239" i="1"/>
  <c r="J1241" i="1" l="1"/>
  <c r="L1240" i="1"/>
  <c r="I1241" i="1"/>
  <c r="K1240" i="1"/>
  <c r="Q5" i="1" l="1"/>
  <c r="K1241" i="1"/>
  <c r="R5" i="1"/>
  <c r="R9" i="1" s="1"/>
  <c r="L1241" i="1"/>
  <c r="R8" i="1" l="1"/>
  <c r="R6" i="1"/>
  <c r="R7" i="1"/>
  <c r="Q8" i="1"/>
  <c r="Q6" i="1"/>
  <c r="Q7" i="1"/>
</calcChain>
</file>

<file path=xl/sharedStrings.xml><?xml version="1.0" encoding="utf-8"?>
<sst xmlns="http://schemas.openxmlformats.org/spreadsheetml/2006/main" count="30" uniqueCount="27">
  <si>
    <t>Date</t>
  </si>
  <si>
    <t>Benchmark</t>
  </si>
  <si>
    <t>IITR AIF</t>
  </si>
  <si>
    <t>Cashflow</t>
  </si>
  <si>
    <t>Absolute</t>
  </si>
  <si>
    <t>CAGR</t>
  </si>
  <si>
    <t>XIRR CF - Bench</t>
  </si>
  <si>
    <t>XIRR CF - AIF</t>
  </si>
  <si>
    <t>XIRR</t>
  </si>
  <si>
    <t>TWRR - Bench</t>
  </si>
  <si>
    <t>TWRR - AIF</t>
  </si>
  <si>
    <t>TWRR Series - Bench</t>
  </si>
  <si>
    <t>TWRR Series - AIF</t>
  </si>
  <si>
    <t>TWRR</t>
  </si>
  <si>
    <t>Rolling - Bench 1Y</t>
  </si>
  <si>
    <t>Rolling - AIF 1Y</t>
  </si>
  <si>
    <t>Mean Rolling</t>
  </si>
  <si>
    <t>Min</t>
  </si>
  <si>
    <t>Max</t>
  </si>
  <si>
    <t>Active</t>
  </si>
  <si>
    <t>Active Rolling</t>
  </si>
  <si>
    <t>Stdv</t>
  </si>
  <si>
    <t>Sharpe</t>
  </si>
  <si>
    <t>Beta</t>
  </si>
  <si>
    <t>CAPM Exp Return</t>
  </si>
  <si>
    <t>Risk Free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</si>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</sst>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15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4" fontId="1" fillId="0" borderId="0" xfId="0" applyNumberFormat="1" applyFont="1" applyAlignment="1">
      <alignment horizontal="right"/>
    </xf>
    <xf numFmtId="3" fontId="0" fillId="0" borderId="0" xfId="0" applyNumberFormat="1"/>
    <xf numFmtId="0" fontId="1" fillId="0" borderId="0" xfId="0" applyFont="1"/>
    <xf numFmtId="10" fontId="0" fillId="0" borderId="0" xfId="1" applyNumberFormat="1" applyFont="1"/>
    <xf numFmtId="9" fontId="0" fillId="0" borderId="0" xfId="0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72FB0-49B2-420B-B833-A4EDA0F9D532}">
  <dimension ref="A1:U5897"/>
  <sheetViews>
    <sheetView tabSelected="1" zoomScale="150" zoomScaleNormal="150" workbookViewId="0"/>
  </sheetViews>
  <sheetFormatPr defaultColWidth="15.77734375" defaultRowHeight="14.4" x14ac:dyDescent="0.3"/>
  <cols>
    <col min="4" max="4" width="15.77734375" style="2"/>
    <col min="5" max="5" width="0" style="2" hidden="1" customWidth="1"/>
    <col min="6" max="6" width="0" hidden="1" customWidth="1"/>
    <col min="9" max="9" width="18.6640625" bestFit="1" customWidth="1"/>
    <col min="11" max="11" width="16.33203125" customWidth="1"/>
    <col min="12" max="12" width="15.77734375" customWidth="1"/>
    <col min="16" max="16" width="15.77734375" style="6"/>
  </cols>
  <sheetData>
    <row r="1" spans="1:21" s="3" customForma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6</v>
      </c>
      <c r="F1" s="4" t="s">
        <v>7</v>
      </c>
      <c r="G1" s="4" t="s">
        <v>9</v>
      </c>
      <c r="H1" s="4" t="s">
        <v>10</v>
      </c>
      <c r="I1" s="3" t="s">
        <v>11</v>
      </c>
      <c r="J1" s="3" t="s">
        <v>12</v>
      </c>
      <c r="K1" s="3" t="s">
        <v>14</v>
      </c>
      <c r="L1" s="3" t="s">
        <v>15</v>
      </c>
      <c r="M1" s="3" t="s">
        <v>20</v>
      </c>
      <c r="Q1" s="3" t="s">
        <v>1</v>
      </c>
      <c r="R1" s="3" t="s">
        <v>2</v>
      </c>
    </row>
    <row r="2" spans="1:21" x14ac:dyDescent="0.3">
      <c r="A2" s="1">
        <v>44197</v>
      </c>
      <c r="B2" s="5">
        <v>10000000</v>
      </c>
      <c r="C2" s="5">
        <f>D2</f>
        <v>10000000</v>
      </c>
      <c r="D2" s="5">
        <v>10000000</v>
      </c>
      <c r="E2" s="5">
        <f>$D2*-1</f>
        <v>-10000000</v>
      </c>
      <c r="F2" s="5">
        <f>$D2*-1</f>
        <v>-10000000</v>
      </c>
      <c r="G2" s="5"/>
      <c r="H2" s="5"/>
      <c r="I2" s="5">
        <f>$D$2</f>
        <v>10000000</v>
      </c>
      <c r="J2" s="5">
        <f>$D$2</f>
        <v>10000000</v>
      </c>
      <c r="K2" s="5"/>
      <c r="L2" s="5"/>
      <c r="P2" s="6" t="s">
        <v>4</v>
      </c>
      <c r="Q2" s="7">
        <f>(B1241-B2)/B2</f>
        <v>2.5985648431904176</v>
      </c>
      <c r="R2" s="7">
        <f>(C1241-C2)/C2</f>
        <v>3.0592846295814784</v>
      </c>
      <c r="T2" s="6" t="s">
        <v>25</v>
      </c>
      <c r="U2" s="9">
        <v>6.5000000000000002E-2</v>
      </c>
    </row>
    <row r="3" spans="1:21" x14ac:dyDescent="0.3">
      <c r="A3" s="1">
        <v>44200</v>
      </c>
      <c r="B3" s="5">
        <v>10157395.116894139</v>
      </c>
      <c r="C3" s="5">
        <v>10000000</v>
      </c>
      <c r="D3" s="5">
        <v>0</v>
      </c>
      <c r="E3" s="5">
        <f t="shared" ref="E3:F66" si="0">$D3*-1</f>
        <v>0</v>
      </c>
      <c r="F3" s="5">
        <f t="shared" si="0"/>
        <v>0</v>
      </c>
      <c r="G3" s="9">
        <f>((B3-$D3)/B2-1)</f>
        <v>1.5739511689413899E-2</v>
      </c>
      <c r="H3" s="9">
        <f>((C3-$D3)/C2-1)</f>
        <v>0</v>
      </c>
      <c r="I3" s="5">
        <f>I2*(1+G3)</f>
        <v>10157395.116894139</v>
      </c>
      <c r="J3" s="5">
        <f>J2*(1+H3)</f>
        <v>10000000</v>
      </c>
      <c r="K3" s="5"/>
      <c r="L3" s="5"/>
      <c r="P3" s="6" t="s">
        <v>5</v>
      </c>
      <c r="Q3" s="9">
        <f>(B1241/B2)^(1/5)-1</f>
        <v>0.29189098163627225</v>
      </c>
      <c r="R3" s="9">
        <f>(C1241/C2)^(1/5)-1</f>
        <v>0.32339625359200008</v>
      </c>
    </row>
    <row r="4" spans="1:21" x14ac:dyDescent="0.3">
      <c r="A4" s="1">
        <v>44201</v>
      </c>
      <c r="B4" s="5">
        <v>10321315.483209969</v>
      </c>
      <c r="C4" s="5">
        <v>10081679.01589703</v>
      </c>
      <c r="D4" s="5">
        <v>0</v>
      </c>
      <c r="E4" s="5">
        <f t="shared" si="0"/>
        <v>0</v>
      </c>
      <c r="F4" s="5">
        <f t="shared" si="0"/>
        <v>0</v>
      </c>
      <c r="G4" s="9">
        <f t="shared" ref="G4:H67" si="1">((B4-$D4)/B3-1)</f>
        <v>1.6138031890006177E-2</v>
      </c>
      <c r="H4" s="9">
        <f t="shared" si="1"/>
        <v>8.1679015897029306E-3</v>
      </c>
      <c r="I4" s="5">
        <f t="shared" ref="I4:I67" si="2">I3*(1+G4)</f>
        <v>10321315.483209969</v>
      </c>
      <c r="J4" s="5">
        <f t="shared" ref="J4:J67" si="3">J3*(1+H4)</f>
        <v>10081679.01589703</v>
      </c>
      <c r="K4" s="5"/>
      <c r="L4" s="5"/>
      <c r="P4" s="6" t="s">
        <v>8</v>
      </c>
      <c r="Q4" s="9">
        <f>XIRR(E$2:E$1241,$A$2:$A$1241)</f>
        <v>0.16738621592521671</v>
      </c>
      <c r="R4" s="9">
        <f>XIRR(F$2:F$1241,$A$2:$A$1241)</f>
        <v>0.20178996920585635</v>
      </c>
    </row>
    <row r="5" spans="1:21" x14ac:dyDescent="0.3">
      <c r="A5" s="1">
        <v>44202</v>
      </c>
      <c r="B5" s="5">
        <v>10302009.409887122</v>
      </c>
      <c r="C5" s="5">
        <v>10139403.8366482</v>
      </c>
      <c r="D5" s="5">
        <v>0</v>
      </c>
      <c r="E5" s="5">
        <f t="shared" si="0"/>
        <v>0</v>
      </c>
      <c r="F5" s="5">
        <f t="shared" si="0"/>
        <v>0</v>
      </c>
      <c r="G5" s="9">
        <f t="shared" si="1"/>
        <v>-1.8705051070527778E-3</v>
      </c>
      <c r="H5" s="9">
        <f t="shared" si="1"/>
        <v>5.725714998478626E-3</v>
      </c>
      <c r="I5" s="5">
        <f t="shared" si="2"/>
        <v>10302009.409887122</v>
      </c>
      <c r="J5" s="5">
        <f t="shared" si="3"/>
        <v>10139403.8366482</v>
      </c>
      <c r="K5" s="5"/>
      <c r="L5" s="5"/>
      <c r="P5" s="6" t="s">
        <v>13</v>
      </c>
      <c r="Q5" s="9">
        <f>(I1241/I2)^(1/5)-1</f>
        <v>0.17115549541380859</v>
      </c>
      <c r="R5" s="9">
        <f>(J1241/J2)^(1/5)-1</f>
        <v>0.1960275245830021</v>
      </c>
    </row>
    <row r="6" spans="1:21" x14ac:dyDescent="0.3">
      <c r="A6" s="1">
        <v>44203</v>
      </c>
      <c r="B6" s="5">
        <v>10342865.16363411</v>
      </c>
      <c r="C6" s="5">
        <v>10331550.001411272</v>
      </c>
      <c r="D6" s="5">
        <v>0</v>
      </c>
      <c r="E6" s="5">
        <f t="shared" si="0"/>
        <v>0</v>
      </c>
      <c r="F6" s="5">
        <f t="shared" si="0"/>
        <v>0</v>
      </c>
      <c r="G6" s="9">
        <f t="shared" si="1"/>
        <v>3.9658043515062857E-3</v>
      </c>
      <c r="H6" s="9">
        <f t="shared" si="1"/>
        <v>1.8950440071098917E-2</v>
      </c>
      <c r="I6" s="5">
        <f t="shared" si="2"/>
        <v>10342865.16363411</v>
      </c>
      <c r="J6" s="5">
        <f t="shared" si="3"/>
        <v>10331550.001411272</v>
      </c>
      <c r="K6" s="5"/>
      <c r="L6" s="5"/>
      <c r="P6" s="6" t="s">
        <v>16</v>
      </c>
      <c r="Q6" s="9">
        <f>AVERAGE(K254:K1241)</f>
        <v>0.1821978250410545</v>
      </c>
      <c r="R6" s="9">
        <f>AVERAGE(L254:L1241)</f>
        <v>0.172155250724086</v>
      </c>
    </row>
    <row r="7" spans="1:21" x14ac:dyDescent="0.3">
      <c r="A7" s="1">
        <v>44204</v>
      </c>
      <c r="B7" s="5">
        <v>10477662.846640058</v>
      </c>
      <c r="C7" s="5">
        <v>10372635.430219125</v>
      </c>
      <c r="D7" s="5">
        <v>0</v>
      </c>
      <c r="E7" s="5">
        <f t="shared" si="0"/>
        <v>0</v>
      </c>
      <c r="F7" s="5">
        <f t="shared" si="0"/>
        <v>0</v>
      </c>
      <c r="G7" s="9">
        <f t="shared" si="1"/>
        <v>1.3032915045620097E-2</v>
      </c>
      <c r="H7" s="9">
        <f t="shared" si="1"/>
        <v>3.9766955396083326E-3</v>
      </c>
      <c r="I7" s="5">
        <f t="shared" si="2"/>
        <v>10477662.846640058</v>
      </c>
      <c r="J7" s="5">
        <f t="shared" si="3"/>
        <v>10372635.430219125</v>
      </c>
      <c r="K7" s="5"/>
      <c r="L7" s="5"/>
      <c r="P7" s="6" t="s">
        <v>17</v>
      </c>
      <c r="Q7" s="9">
        <f>MIN(K254:K1241)</f>
        <v>-0.11684903922192003</v>
      </c>
      <c r="R7" s="9">
        <f>MIN(L254:L1241)</f>
        <v>-0.10818939228016256</v>
      </c>
    </row>
    <row r="8" spans="1:21" x14ac:dyDescent="0.3">
      <c r="A8" s="1">
        <v>44207</v>
      </c>
      <c r="B8" s="5">
        <v>10516599.929486632</v>
      </c>
      <c r="C8" s="5">
        <v>10331335.402349886</v>
      </c>
      <c r="D8" s="5">
        <v>0</v>
      </c>
      <c r="E8" s="5">
        <f t="shared" si="0"/>
        <v>0</v>
      </c>
      <c r="F8" s="5">
        <f t="shared" si="0"/>
        <v>0</v>
      </c>
      <c r="G8" s="9">
        <f t="shared" si="1"/>
        <v>3.7161992532581678E-3</v>
      </c>
      <c r="H8" s="9">
        <f t="shared" si="1"/>
        <v>-3.9816330330976202E-3</v>
      </c>
      <c r="I8" s="5">
        <f t="shared" si="2"/>
        <v>10516599.929486632</v>
      </c>
      <c r="J8" s="5">
        <f t="shared" si="3"/>
        <v>10331335.402349886</v>
      </c>
      <c r="K8" s="5"/>
      <c r="L8" s="5"/>
      <c r="P8" s="6" t="s">
        <v>18</v>
      </c>
      <c r="Q8" s="9">
        <f>MAX(K254:K1241)</f>
        <v>0.73433642836277602</v>
      </c>
      <c r="R8" s="9">
        <f>MAX(L254:L1241)</f>
        <v>0.4399365054044091</v>
      </c>
    </row>
    <row r="9" spans="1:21" x14ac:dyDescent="0.3">
      <c r="A9" s="1">
        <v>44208</v>
      </c>
      <c r="B9" s="5">
        <v>10487479.456627093</v>
      </c>
      <c r="C9" s="5">
        <v>10301901.145434575</v>
      </c>
      <c r="D9" s="5">
        <v>0</v>
      </c>
      <c r="E9" s="5">
        <f t="shared" si="0"/>
        <v>0</v>
      </c>
      <c r="F9" s="5">
        <f t="shared" si="0"/>
        <v>0</v>
      </c>
      <c r="G9" s="9">
        <f t="shared" si="1"/>
        <v>-2.7690007278768913E-3</v>
      </c>
      <c r="H9" s="9">
        <f t="shared" si="1"/>
        <v>-2.8490273298663604E-3</v>
      </c>
      <c r="I9" s="5">
        <f t="shared" si="2"/>
        <v>10487479.456627093</v>
      </c>
      <c r="J9" s="5">
        <f t="shared" si="3"/>
        <v>10301901.145434575</v>
      </c>
      <c r="K9" s="5"/>
      <c r="L9" s="5"/>
      <c r="P9" s="6" t="s">
        <v>19</v>
      </c>
      <c r="R9" s="9">
        <f>R5-Q5</f>
        <v>2.487202916919351E-2</v>
      </c>
    </row>
    <row r="10" spans="1:21" x14ac:dyDescent="0.3">
      <c r="A10" s="1">
        <v>44209</v>
      </c>
      <c r="B10" s="5">
        <v>10424238.472225135</v>
      </c>
      <c r="C10" s="5">
        <v>10298749.993579034</v>
      </c>
      <c r="D10" s="5">
        <v>0</v>
      </c>
      <c r="E10" s="5">
        <f t="shared" si="0"/>
        <v>0</v>
      </c>
      <c r="F10" s="5">
        <f t="shared" si="0"/>
        <v>0</v>
      </c>
      <c r="G10" s="9">
        <f t="shared" si="1"/>
        <v>-6.03014143326841E-3</v>
      </c>
      <c r="H10" s="9">
        <f t="shared" si="1"/>
        <v>-3.0588061475800288E-4</v>
      </c>
      <c r="I10" s="5">
        <f t="shared" si="2"/>
        <v>10424238.472225135</v>
      </c>
      <c r="J10" s="5">
        <f t="shared" si="3"/>
        <v>10298749.993579034</v>
      </c>
      <c r="K10" s="5"/>
      <c r="L10" s="5"/>
      <c r="P10" s="6" t="s">
        <v>20</v>
      </c>
      <c r="R10" s="9">
        <f>AVERAGE(M254:M1241)</f>
        <v>-1.004257431696832E-2</v>
      </c>
    </row>
    <row r="11" spans="1:21" x14ac:dyDescent="0.3">
      <c r="A11" s="1">
        <v>44210</v>
      </c>
      <c r="B11" s="5">
        <v>10473821.083938532</v>
      </c>
      <c r="C11" s="5">
        <v>10266898.230807038</v>
      </c>
      <c r="D11" s="5">
        <v>0</v>
      </c>
      <c r="E11" s="5">
        <f t="shared" si="0"/>
        <v>0</v>
      </c>
      <c r="F11" s="5">
        <f t="shared" si="0"/>
        <v>0</v>
      </c>
      <c r="G11" s="9">
        <f t="shared" si="1"/>
        <v>4.7564732757703343E-3</v>
      </c>
      <c r="H11" s="9">
        <f t="shared" si="1"/>
        <v>-3.0927794918659268E-3</v>
      </c>
      <c r="I11" s="5">
        <f t="shared" si="2"/>
        <v>10473821.083938532</v>
      </c>
      <c r="J11" s="5">
        <f t="shared" si="3"/>
        <v>10266898.230807038</v>
      </c>
      <c r="K11" s="5"/>
      <c r="L11" s="5"/>
      <c r="P11" s="6" t="s">
        <v>21</v>
      </c>
      <c r="Q11" s="9">
        <f>_xlfn.STDEV.S(G3:G1241)*SQRT(252)</f>
        <v>0.17381943061035079</v>
      </c>
      <c r="R11" s="9">
        <f>_xlfn.STDEV.S(H3:H1241)*SQRT(252)</f>
        <v>0.16928845473815965</v>
      </c>
    </row>
    <row r="12" spans="1:21" x14ac:dyDescent="0.3">
      <c r="A12" s="1">
        <v>44211</v>
      </c>
      <c r="B12" s="5">
        <v>10309779.142853666</v>
      </c>
      <c r="C12" s="5">
        <v>10189031.883138267</v>
      </c>
      <c r="D12" s="5">
        <v>0</v>
      </c>
      <c r="E12" s="5">
        <f t="shared" si="0"/>
        <v>0</v>
      </c>
      <c r="F12" s="5">
        <f t="shared" si="0"/>
        <v>0</v>
      </c>
      <c r="G12" s="9">
        <f t="shared" si="1"/>
        <v>-1.5662091205321582E-2</v>
      </c>
      <c r="H12" s="9">
        <f t="shared" si="1"/>
        <v>-7.5842134516462822E-3</v>
      </c>
      <c r="I12" s="5">
        <f t="shared" si="2"/>
        <v>10309779.142853666</v>
      </c>
      <c r="J12" s="5">
        <f t="shared" si="3"/>
        <v>10189031.883138267</v>
      </c>
      <c r="K12" s="5"/>
      <c r="L12" s="5"/>
      <c r="P12" s="6" t="s">
        <v>22</v>
      </c>
      <c r="Q12" s="2">
        <f>(Q5-0.065)/Q11</f>
        <v>0.61072283484679135</v>
      </c>
      <c r="R12" s="2">
        <f>(R5-0.065)/R11</f>
        <v>0.77398972532216592</v>
      </c>
    </row>
    <row r="13" spans="1:21" x14ac:dyDescent="0.3">
      <c r="A13" s="1">
        <v>44214</v>
      </c>
      <c r="B13" s="5">
        <v>10120157.870363714</v>
      </c>
      <c r="C13" s="5">
        <v>10289192.728624921</v>
      </c>
      <c r="D13" s="5">
        <v>0</v>
      </c>
      <c r="E13" s="5">
        <f t="shared" si="0"/>
        <v>0</v>
      </c>
      <c r="F13" s="5">
        <f t="shared" si="0"/>
        <v>0</v>
      </c>
      <c r="G13" s="9">
        <f t="shared" si="1"/>
        <v>-1.8392369988002089E-2</v>
      </c>
      <c r="H13" s="9">
        <f t="shared" si="1"/>
        <v>9.8302612687284352E-3</v>
      </c>
      <c r="I13" s="5">
        <f t="shared" si="2"/>
        <v>10120157.870363714</v>
      </c>
      <c r="J13" s="5">
        <f t="shared" si="3"/>
        <v>10289192.728624921</v>
      </c>
      <c r="K13" s="5"/>
      <c r="L13" s="5"/>
      <c r="P13" s="6" t="s">
        <v>23</v>
      </c>
      <c r="Q13" s="2">
        <f>SLOPE($G$3:$G$1241,G3:G1241)</f>
        <v>1</v>
      </c>
      <c r="R13" s="2">
        <f>SLOPE($G$3:$G$1241,H3:H1241)</f>
        <v>8.8311040583255743E-2</v>
      </c>
    </row>
    <row r="14" spans="1:21" x14ac:dyDescent="0.3">
      <c r="A14" s="1">
        <v>44215</v>
      </c>
      <c r="B14" s="5">
        <v>10292763.096089376</v>
      </c>
      <c r="C14" s="5">
        <v>10289192.728624921</v>
      </c>
      <c r="D14" s="5">
        <v>0</v>
      </c>
      <c r="E14" s="5">
        <f t="shared" si="0"/>
        <v>0</v>
      </c>
      <c r="F14" s="5">
        <f t="shared" si="0"/>
        <v>0</v>
      </c>
      <c r="G14" s="9">
        <f t="shared" si="1"/>
        <v>1.7055586280044777E-2</v>
      </c>
      <c r="H14" s="9">
        <f t="shared" si="1"/>
        <v>0</v>
      </c>
      <c r="I14" s="5">
        <f t="shared" si="2"/>
        <v>10292763.096089376</v>
      </c>
      <c r="J14" s="5">
        <f t="shared" si="3"/>
        <v>10289192.728624921</v>
      </c>
      <c r="K14" s="5"/>
      <c r="L14" s="5"/>
      <c r="P14" s="6" t="s">
        <v>24</v>
      </c>
      <c r="R14" s="9">
        <f>U2+R13*(Q5-U2)</f>
        <v>7.437470226362447E-2</v>
      </c>
    </row>
    <row r="15" spans="1:21" x14ac:dyDescent="0.3">
      <c r="A15" s="1">
        <v>44216</v>
      </c>
      <c r="B15" s="5">
        <v>10351421.816923866</v>
      </c>
      <c r="C15" s="5">
        <v>10345870.864379428</v>
      </c>
      <c r="D15" s="5">
        <v>0</v>
      </c>
      <c r="E15" s="5">
        <f t="shared" si="0"/>
        <v>0</v>
      </c>
      <c r="F15" s="5">
        <f t="shared" si="0"/>
        <v>0</v>
      </c>
      <c r="G15" s="9">
        <f t="shared" si="1"/>
        <v>5.6990256442195353E-3</v>
      </c>
      <c r="H15" s="9">
        <f t="shared" si="1"/>
        <v>5.5085114303308202E-3</v>
      </c>
      <c r="I15" s="5">
        <f t="shared" si="2"/>
        <v>10351421.816923866</v>
      </c>
      <c r="J15" s="5">
        <f t="shared" si="3"/>
        <v>10345870.864379428</v>
      </c>
      <c r="K15" s="5"/>
      <c r="L15" s="5"/>
      <c r="P15" s="6" t="s">
        <v>26</v>
      </c>
      <c r="R15" s="9">
        <f>R5-R14</f>
        <v>0.12165282231937763</v>
      </c>
    </row>
    <row r="16" spans="1:21" x14ac:dyDescent="0.3">
      <c r="A16" s="1">
        <v>44217</v>
      </c>
      <c r="B16" s="5">
        <v>10258991.835701641</v>
      </c>
      <c r="C16" s="5">
        <v>10402548.821152233</v>
      </c>
      <c r="D16" s="5">
        <v>0</v>
      </c>
      <c r="E16" s="5">
        <f t="shared" si="0"/>
        <v>0</v>
      </c>
      <c r="F16" s="5">
        <f t="shared" si="0"/>
        <v>0</v>
      </c>
      <c r="G16" s="9">
        <f t="shared" si="1"/>
        <v>-8.9292063309707181E-3</v>
      </c>
      <c r="H16" s="9">
        <f t="shared" si="1"/>
        <v>5.4783166652452309E-3</v>
      </c>
      <c r="I16" s="5">
        <f t="shared" si="2"/>
        <v>10258991.835701641</v>
      </c>
      <c r="J16" s="5">
        <f t="shared" si="3"/>
        <v>10402548.821152233</v>
      </c>
      <c r="K16" s="5"/>
      <c r="L16" s="5"/>
    </row>
    <row r="17" spans="1:12" x14ac:dyDescent="0.3">
      <c r="A17" s="1">
        <v>44218</v>
      </c>
      <c r="B17" s="5">
        <v>10174937.250840792</v>
      </c>
      <c r="C17" s="5">
        <v>10374168.945446791</v>
      </c>
      <c r="D17" s="5">
        <v>0</v>
      </c>
      <c r="E17" s="5">
        <f t="shared" si="0"/>
        <v>0</v>
      </c>
      <c r="F17" s="5">
        <f t="shared" si="0"/>
        <v>0</v>
      </c>
      <c r="G17" s="9">
        <f t="shared" si="1"/>
        <v>-8.1932597478375779E-3</v>
      </c>
      <c r="H17" s="9">
        <f t="shared" si="1"/>
        <v>-2.7281655864699328E-3</v>
      </c>
      <c r="I17" s="5">
        <f t="shared" si="2"/>
        <v>10174937.250840792</v>
      </c>
      <c r="J17" s="5">
        <f t="shared" si="3"/>
        <v>10374168.945446791</v>
      </c>
      <c r="K17" s="5"/>
      <c r="L17" s="5"/>
    </row>
    <row r="18" spans="1:12" x14ac:dyDescent="0.3">
      <c r="A18" s="1">
        <v>44221</v>
      </c>
      <c r="B18" s="5">
        <v>10095993.227180133</v>
      </c>
      <c r="C18" s="5">
        <v>10415963.141796842</v>
      </c>
      <c r="D18" s="5">
        <v>0</v>
      </c>
      <c r="E18" s="5">
        <f t="shared" si="0"/>
        <v>0</v>
      </c>
      <c r="F18" s="5">
        <f t="shared" si="0"/>
        <v>0</v>
      </c>
      <c r="G18" s="9">
        <f t="shared" si="1"/>
        <v>-7.7586742516899676E-3</v>
      </c>
      <c r="H18" s="9">
        <f t="shared" si="1"/>
        <v>4.0286789785117794E-3</v>
      </c>
      <c r="I18" s="5">
        <f t="shared" si="2"/>
        <v>10095993.227180133</v>
      </c>
      <c r="J18" s="5">
        <f t="shared" si="3"/>
        <v>10415963.141796842</v>
      </c>
      <c r="K18" s="5"/>
      <c r="L18" s="5"/>
    </row>
    <row r="19" spans="1:12" x14ac:dyDescent="0.3">
      <c r="A19" s="1">
        <v>44223</v>
      </c>
      <c r="B19" s="5">
        <v>9963030.217961451</v>
      </c>
      <c r="C19" s="5">
        <v>10139022.784603417</v>
      </c>
      <c r="D19" s="5">
        <v>0</v>
      </c>
      <c r="E19" s="5">
        <f t="shared" si="0"/>
        <v>0</v>
      </c>
      <c r="F19" s="5">
        <f t="shared" si="0"/>
        <v>0</v>
      </c>
      <c r="G19" s="9">
        <f t="shared" si="1"/>
        <v>-1.316987900315969E-2</v>
      </c>
      <c r="H19" s="9">
        <f t="shared" si="1"/>
        <v>-2.6588070005943876E-2</v>
      </c>
      <c r="I19" s="5">
        <f t="shared" si="2"/>
        <v>9963030.217961451</v>
      </c>
      <c r="J19" s="5">
        <f t="shared" si="3"/>
        <v>10139022.784603417</v>
      </c>
      <c r="K19" s="5"/>
      <c r="L19" s="5"/>
    </row>
    <row r="20" spans="1:12" x14ac:dyDescent="0.3">
      <c r="A20" s="1">
        <v>44224</v>
      </c>
      <c r="B20" s="5">
        <v>9924433.5444681756</v>
      </c>
      <c r="C20" s="5">
        <v>10219394.339163134</v>
      </c>
      <c r="D20" s="5">
        <v>0</v>
      </c>
      <c r="E20" s="5">
        <f t="shared" si="0"/>
        <v>0</v>
      </c>
      <c r="F20" s="5">
        <f t="shared" si="0"/>
        <v>0</v>
      </c>
      <c r="G20" s="9">
        <f t="shared" si="1"/>
        <v>-3.8739894037150835E-3</v>
      </c>
      <c r="H20" s="9">
        <f t="shared" si="1"/>
        <v>7.9269527514786997E-3</v>
      </c>
      <c r="I20" s="5">
        <f t="shared" si="2"/>
        <v>9924433.5444681756</v>
      </c>
      <c r="J20" s="5">
        <f t="shared" si="3"/>
        <v>10219394.339163134</v>
      </c>
      <c r="K20" s="5"/>
      <c r="L20" s="5"/>
    </row>
    <row r="21" spans="1:12" x14ac:dyDescent="0.3">
      <c r="A21" s="1">
        <v>44225</v>
      </c>
      <c r="B21" s="5">
        <v>9689341.0979085751</v>
      </c>
      <c r="C21" s="5">
        <v>10013753.669952696</v>
      </c>
      <c r="D21" s="5">
        <v>0</v>
      </c>
      <c r="E21" s="5">
        <f t="shared" si="0"/>
        <v>0</v>
      </c>
      <c r="F21" s="5">
        <f t="shared" si="0"/>
        <v>0</v>
      </c>
      <c r="G21" s="9">
        <f t="shared" si="1"/>
        <v>-2.3688248352535912E-2</v>
      </c>
      <c r="H21" s="9">
        <f t="shared" si="1"/>
        <v>-2.0122588715690726E-2</v>
      </c>
      <c r="I21" s="5">
        <f t="shared" si="2"/>
        <v>9689341.0979085751</v>
      </c>
      <c r="J21" s="5">
        <f t="shared" si="3"/>
        <v>10013753.669952696</v>
      </c>
      <c r="K21" s="5"/>
      <c r="L21" s="5"/>
    </row>
    <row r="22" spans="1:12" x14ac:dyDescent="0.3">
      <c r="A22" s="1">
        <v>44228</v>
      </c>
      <c r="B22" s="5">
        <v>9969643.8853969835</v>
      </c>
      <c r="C22" s="5">
        <v>10212214.488164326</v>
      </c>
      <c r="D22" s="5">
        <v>0</v>
      </c>
      <c r="E22" s="5">
        <f t="shared" si="0"/>
        <v>0</v>
      </c>
      <c r="F22" s="5">
        <f t="shared" si="0"/>
        <v>0</v>
      </c>
      <c r="G22" s="9">
        <f t="shared" si="1"/>
        <v>2.8928983370077876E-2</v>
      </c>
      <c r="H22" s="9">
        <f t="shared" si="1"/>
        <v>1.9818823665208818E-2</v>
      </c>
      <c r="I22" s="5">
        <f t="shared" si="2"/>
        <v>9969643.8853969835</v>
      </c>
      <c r="J22" s="5">
        <f t="shared" si="3"/>
        <v>10212214.488164326</v>
      </c>
      <c r="K22" s="5"/>
      <c r="L22" s="5"/>
    </row>
    <row r="23" spans="1:12" x14ac:dyDescent="0.3">
      <c r="A23" s="1">
        <v>44229</v>
      </c>
      <c r="B23" s="5">
        <v>10172799.745356111</v>
      </c>
      <c r="C23" s="5">
        <v>10331609.065373123</v>
      </c>
      <c r="D23" s="5">
        <v>0</v>
      </c>
      <c r="E23" s="5">
        <f t="shared" si="0"/>
        <v>0</v>
      </c>
      <c r="F23" s="5">
        <f t="shared" si="0"/>
        <v>0</v>
      </c>
      <c r="G23" s="9">
        <f t="shared" si="1"/>
        <v>2.0377443998446099E-2</v>
      </c>
      <c r="H23" s="9">
        <f t="shared" si="1"/>
        <v>1.1691350328292716E-2</v>
      </c>
      <c r="I23" s="5">
        <f t="shared" si="2"/>
        <v>10172799.745356111</v>
      </c>
      <c r="J23" s="5">
        <f t="shared" si="3"/>
        <v>10331609.065373123</v>
      </c>
      <c r="K23" s="5"/>
      <c r="L23" s="5"/>
    </row>
    <row r="24" spans="1:12" x14ac:dyDescent="0.3">
      <c r="A24" s="1">
        <v>44230</v>
      </c>
      <c r="B24" s="5">
        <v>10221336.814055802</v>
      </c>
      <c r="C24" s="5">
        <v>10326433.630461456</v>
      </c>
      <c r="D24" s="5">
        <v>0</v>
      </c>
      <c r="E24" s="5">
        <f t="shared" si="0"/>
        <v>0</v>
      </c>
      <c r="F24" s="5">
        <f t="shared" si="0"/>
        <v>0</v>
      </c>
      <c r="G24" s="9">
        <f t="shared" si="1"/>
        <v>4.7712596251439088E-3</v>
      </c>
      <c r="H24" s="9">
        <f t="shared" si="1"/>
        <v>-5.0093212769852791E-4</v>
      </c>
      <c r="I24" s="5">
        <f t="shared" si="2"/>
        <v>10221336.814055802</v>
      </c>
      <c r="J24" s="5">
        <f t="shared" si="3"/>
        <v>10326433.630461456</v>
      </c>
      <c r="K24" s="5"/>
      <c r="L24" s="5"/>
    </row>
    <row r="25" spans="1:12" x14ac:dyDescent="0.3">
      <c r="A25" s="1">
        <v>44231</v>
      </c>
      <c r="B25" s="5">
        <v>10385513.59261178</v>
      </c>
      <c r="C25" s="5">
        <v>10452455.005208103</v>
      </c>
      <c r="D25" s="5">
        <v>0</v>
      </c>
      <c r="E25" s="5">
        <f t="shared" si="0"/>
        <v>0</v>
      </c>
      <c r="F25" s="5">
        <f t="shared" si="0"/>
        <v>0</v>
      </c>
      <c r="G25" s="9">
        <f t="shared" si="1"/>
        <v>1.6062163055835521E-2</v>
      </c>
      <c r="H25" s="9">
        <f t="shared" si="1"/>
        <v>1.2203765526067167E-2</v>
      </c>
      <c r="I25" s="5">
        <f t="shared" si="2"/>
        <v>10385513.59261178</v>
      </c>
      <c r="J25" s="5">
        <f t="shared" si="3"/>
        <v>10452455.005208103</v>
      </c>
      <c r="K25" s="5"/>
      <c r="L25" s="5"/>
    </row>
    <row r="26" spans="1:12" x14ac:dyDescent="0.3">
      <c r="A26" s="1">
        <v>44232</v>
      </c>
      <c r="B26" s="5">
        <v>10314352.564619742</v>
      </c>
      <c r="C26" s="5">
        <v>10482778.62220351</v>
      </c>
      <c r="D26" s="5">
        <v>0</v>
      </c>
      <c r="E26" s="5">
        <f t="shared" si="0"/>
        <v>0</v>
      </c>
      <c r="F26" s="5">
        <f t="shared" si="0"/>
        <v>0</v>
      </c>
      <c r="G26" s="9">
        <f t="shared" si="1"/>
        <v>-6.8519507829311044E-3</v>
      </c>
      <c r="H26" s="9">
        <f t="shared" si="1"/>
        <v>2.9010999789329528E-3</v>
      </c>
      <c r="I26" s="5">
        <f t="shared" si="2"/>
        <v>10314352.564619742</v>
      </c>
      <c r="J26" s="5">
        <f t="shared" si="3"/>
        <v>10482778.62220351</v>
      </c>
      <c r="K26" s="5"/>
      <c r="L26" s="5"/>
    </row>
    <row r="27" spans="1:12" x14ac:dyDescent="0.3">
      <c r="A27" s="1">
        <v>44235</v>
      </c>
      <c r="B27" s="5">
        <v>10428635.057963524</v>
      </c>
      <c r="C27" s="5">
        <v>10567816.408731069</v>
      </c>
      <c r="D27" s="5">
        <v>0</v>
      </c>
      <c r="E27" s="5">
        <f t="shared" si="0"/>
        <v>0</v>
      </c>
      <c r="F27" s="5">
        <f t="shared" si="0"/>
        <v>0</v>
      </c>
      <c r="G27" s="9">
        <f t="shared" si="1"/>
        <v>1.1079948317434196E-2</v>
      </c>
      <c r="H27" s="9">
        <f t="shared" si="1"/>
        <v>8.1121417891474312E-3</v>
      </c>
      <c r="I27" s="5">
        <f t="shared" si="2"/>
        <v>10428635.057963524</v>
      </c>
      <c r="J27" s="5">
        <f t="shared" si="3"/>
        <v>10567816.408731069</v>
      </c>
      <c r="K27" s="5"/>
      <c r="L27" s="5"/>
    </row>
    <row r="28" spans="1:12" x14ac:dyDescent="0.3">
      <c r="A28" s="1">
        <v>44236</v>
      </c>
      <c r="B28" s="5">
        <v>10423157.562005885</v>
      </c>
      <c r="C28" s="5">
        <v>10547723.027891457</v>
      </c>
      <c r="D28" s="5">
        <v>0</v>
      </c>
      <c r="E28" s="5">
        <f t="shared" si="0"/>
        <v>0</v>
      </c>
      <c r="F28" s="5">
        <f t="shared" si="0"/>
        <v>0</v>
      </c>
      <c r="G28" s="9">
        <f t="shared" si="1"/>
        <v>-5.2523613370247801E-4</v>
      </c>
      <c r="H28" s="9">
        <f t="shared" si="1"/>
        <v>-1.901374897373409E-3</v>
      </c>
      <c r="I28" s="5">
        <f t="shared" si="2"/>
        <v>10423157.562005885</v>
      </c>
      <c r="J28" s="5">
        <f t="shared" si="3"/>
        <v>10547723.027891457</v>
      </c>
      <c r="K28" s="5"/>
      <c r="L28" s="5"/>
    </row>
    <row r="29" spans="1:12" x14ac:dyDescent="0.3">
      <c r="A29" s="1">
        <v>44237</v>
      </c>
      <c r="B29" s="5">
        <v>10465008.018408621</v>
      </c>
      <c r="C29" s="5">
        <v>10542899.113043647</v>
      </c>
      <c r="D29" s="5">
        <v>0</v>
      </c>
      <c r="E29" s="5">
        <f t="shared" si="0"/>
        <v>0</v>
      </c>
      <c r="F29" s="5">
        <f t="shared" si="0"/>
        <v>0</v>
      </c>
      <c r="G29" s="9">
        <f t="shared" si="1"/>
        <v>4.0151418755567381E-3</v>
      </c>
      <c r="H29" s="9">
        <f t="shared" si="1"/>
        <v>-4.5734182013068558E-4</v>
      </c>
      <c r="I29" s="5">
        <f t="shared" si="2"/>
        <v>10465008.018408621</v>
      </c>
      <c r="J29" s="5">
        <f t="shared" si="3"/>
        <v>10542899.113043647</v>
      </c>
      <c r="K29" s="5"/>
      <c r="L29" s="5"/>
    </row>
    <row r="30" spans="1:12" x14ac:dyDescent="0.3">
      <c r="A30" s="1">
        <v>44238</v>
      </c>
      <c r="B30" s="5">
        <v>10545386.624343902</v>
      </c>
      <c r="C30" s="5">
        <v>10543697.013473727</v>
      </c>
      <c r="D30" s="5">
        <v>0</v>
      </c>
      <c r="E30" s="5">
        <f t="shared" si="0"/>
        <v>0</v>
      </c>
      <c r="F30" s="5">
        <f t="shared" si="0"/>
        <v>0</v>
      </c>
      <c r="G30" s="9">
        <f t="shared" si="1"/>
        <v>7.6807018010773831E-3</v>
      </c>
      <c r="H30" s="9">
        <f t="shared" si="1"/>
        <v>7.5681311328512635E-5</v>
      </c>
      <c r="I30" s="5">
        <f t="shared" si="2"/>
        <v>10545386.624343902</v>
      </c>
      <c r="J30" s="5">
        <f t="shared" si="3"/>
        <v>10543697.013473727</v>
      </c>
      <c r="K30" s="5"/>
      <c r="L30" s="5"/>
    </row>
    <row r="31" spans="1:12" x14ac:dyDescent="0.3">
      <c r="A31" s="1">
        <v>44239</v>
      </c>
      <c r="B31" s="5">
        <v>10571531.831037587</v>
      </c>
      <c r="C31" s="5">
        <v>10580799.562454173</v>
      </c>
      <c r="D31" s="5">
        <v>0</v>
      </c>
      <c r="E31" s="5">
        <f t="shared" si="0"/>
        <v>0</v>
      </c>
      <c r="F31" s="5">
        <f t="shared" si="0"/>
        <v>0</v>
      </c>
      <c r="G31" s="9">
        <f t="shared" si="1"/>
        <v>2.4793028103236026E-3</v>
      </c>
      <c r="H31" s="9">
        <f t="shared" si="1"/>
        <v>3.5189316359369727E-3</v>
      </c>
      <c r="I31" s="5">
        <f t="shared" si="2"/>
        <v>10571531.831037587</v>
      </c>
      <c r="J31" s="5">
        <f t="shared" si="3"/>
        <v>10580799.562454173</v>
      </c>
      <c r="K31" s="5"/>
      <c r="L31" s="5"/>
    </row>
    <row r="32" spans="1:12" x14ac:dyDescent="0.3">
      <c r="A32" s="1">
        <v>44242</v>
      </c>
      <c r="B32" s="5">
        <v>10684660.469300702</v>
      </c>
      <c r="C32" s="5">
        <v>10613958.607581777</v>
      </c>
      <c r="D32" s="5">
        <v>0</v>
      </c>
      <c r="E32" s="5">
        <f t="shared" si="0"/>
        <v>0</v>
      </c>
      <c r="F32" s="5">
        <f t="shared" si="0"/>
        <v>0</v>
      </c>
      <c r="G32" s="9">
        <f t="shared" si="1"/>
        <v>1.0701253145828371E-2</v>
      </c>
      <c r="H32" s="9">
        <f t="shared" si="1"/>
        <v>3.1338884109730625E-3</v>
      </c>
      <c r="I32" s="5">
        <f t="shared" si="2"/>
        <v>10684660.469300702</v>
      </c>
      <c r="J32" s="5">
        <f t="shared" si="3"/>
        <v>10613958.607581777</v>
      </c>
      <c r="K32" s="5"/>
      <c r="L32" s="5"/>
    </row>
    <row r="33" spans="1:12" x14ac:dyDescent="0.3">
      <c r="A33" s="1">
        <v>44243</v>
      </c>
      <c r="B33" s="5">
        <v>10727229.322065922</v>
      </c>
      <c r="C33" s="5">
        <v>10613958.607581777</v>
      </c>
      <c r="D33" s="5">
        <v>0</v>
      </c>
      <c r="E33" s="5">
        <f t="shared" si="0"/>
        <v>0</v>
      </c>
      <c r="F33" s="5">
        <f t="shared" si="0"/>
        <v>0</v>
      </c>
      <c r="G33" s="9">
        <f t="shared" si="1"/>
        <v>3.9841090774506149E-3</v>
      </c>
      <c r="H33" s="9">
        <f t="shared" si="1"/>
        <v>0</v>
      </c>
      <c r="I33" s="5">
        <f t="shared" si="2"/>
        <v>10727229.322065922</v>
      </c>
      <c r="J33" s="5">
        <f t="shared" si="3"/>
        <v>10613958.607581777</v>
      </c>
      <c r="K33" s="5"/>
      <c r="L33" s="5"/>
    </row>
    <row r="34" spans="1:12" x14ac:dyDescent="0.3">
      <c r="A34" s="1">
        <v>44244</v>
      </c>
      <c r="B34" s="5">
        <v>10749194.56715513</v>
      </c>
      <c r="C34" s="5">
        <v>10605006.658745775</v>
      </c>
      <c r="D34" s="5">
        <v>0</v>
      </c>
      <c r="E34" s="5">
        <f t="shared" si="0"/>
        <v>0</v>
      </c>
      <c r="F34" s="5">
        <f t="shared" si="0"/>
        <v>0</v>
      </c>
      <c r="G34" s="9">
        <f t="shared" si="1"/>
        <v>2.0476158782236631E-3</v>
      </c>
      <c r="H34" s="9">
        <f t="shared" si="1"/>
        <v>-8.4341282710564958E-4</v>
      </c>
      <c r="I34" s="5">
        <f t="shared" si="2"/>
        <v>10749194.56715513</v>
      </c>
      <c r="J34" s="5">
        <f t="shared" si="3"/>
        <v>10605006.658745775</v>
      </c>
      <c r="K34" s="5"/>
      <c r="L34" s="5"/>
    </row>
    <row r="35" spans="1:12" x14ac:dyDescent="0.3">
      <c r="A35" s="1">
        <v>44245</v>
      </c>
      <c r="B35" s="5">
        <v>10801714.867378496</v>
      </c>
      <c r="C35" s="5">
        <v>10535359.508822665</v>
      </c>
      <c r="D35" s="5">
        <v>0</v>
      </c>
      <c r="E35" s="5">
        <f t="shared" si="0"/>
        <v>0</v>
      </c>
      <c r="F35" s="5">
        <f t="shared" si="0"/>
        <v>0</v>
      </c>
      <c r="G35" s="9">
        <f t="shared" si="1"/>
        <v>4.8859753998540256E-3</v>
      </c>
      <c r="H35" s="9">
        <f t="shared" si="1"/>
        <v>-6.5673838936889384E-3</v>
      </c>
      <c r="I35" s="5">
        <f t="shared" si="2"/>
        <v>10801714.867378496</v>
      </c>
      <c r="J35" s="5">
        <f t="shared" si="3"/>
        <v>10535359.508822665</v>
      </c>
      <c r="K35" s="5"/>
      <c r="L35" s="5"/>
    </row>
    <row r="36" spans="1:12" x14ac:dyDescent="0.3">
      <c r="A36" s="1">
        <v>44246</v>
      </c>
      <c r="B36" s="5">
        <v>10658141.696498526</v>
      </c>
      <c r="C36" s="5">
        <v>10494713.83805804</v>
      </c>
      <c r="D36" s="5">
        <v>0</v>
      </c>
      <c r="E36" s="5">
        <f t="shared" si="0"/>
        <v>0</v>
      </c>
      <c r="F36" s="5">
        <f t="shared" si="0"/>
        <v>0</v>
      </c>
      <c r="G36" s="9">
        <f t="shared" si="1"/>
        <v>-1.3291701608747708E-2</v>
      </c>
      <c r="H36" s="9">
        <f t="shared" si="1"/>
        <v>-3.8580240883652195E-3</v>
      </c>
      <c r="I36" s="5">
        <f t="shared" si="2"/>
        <v>10658141.696498526</v>
      </c>
      <c r="J36" s="5">
        <f t="shared" si="3"/>
        <v>10494713.83805804</v>
      </c>
      <c r="K36" s="5"/>
      <c r="L36" s="5"/>
    </row>
    <row r="37" spans="1:12" x14ac:dyDescent="0.3">
      <c r="A37" s="1">
        <v>44249</v>
      </c>
      <c r="B37" s="5">
        <v>10485733.200853666</v>
      </c>
      <c r="C37" s="5">
        <v>10411557.32820625</v>
      </c>
      <c r="D37" s="5">
        <v>0</v>
      </c>
      <c r="E37" s="5">
        <f t="shared" si="0"/>
        <v>0</v>
      </c>
      <c r="F37" s="5">
        <f t="shared" si="0"/>
        <v>0</v>
      </c>
      <c r="G37" s="9">
        <f t="shared" si="1"/>
        <v>-1.6176224763600255E-2</v>
      </c>
      <c r="H37" s="9">
        <f t="shared" si="1"/>
        <v>-7.9236567223234244E-3</v>
      </c>
      <c r="I37" s="5">
        <f t="shared" si="2"/>
        <v>10485733.200853666</v>
      </c>
      <c r="J37" s="5">
        <f t="shared" si="3"/>
        <v>10411557.32820625</v>
      </c>
      <c r="K37" s="5"/>
      <c r="L37" s="5"/>
    </row>
    <row r="38" spans="1:12" x14ac:dyDescent="0.3">
      <c r="A38" s="1">
        <v>44250</v>
      </c>
      <c r="B38" s="5">
        <v>10559190.886755304</v>
      </c>
      <c r="C38" s="5">
        <v>10419101.049006391</v>
      </c>
      <c r="D38" s="5">
        <v>0</v>
      </c>
      <c r="E38" s="5">
        <f t="shared" si="0"/>
        <v>0</v>
      </c>
      <c r="F38" s="5">
        <f t="shared" si="0"/>
        <v>0</v>
      </c>
      <c r="G38" s="9">
        <f t="shared" si="1"/>
        <v>7.0054887430912594E-3</v>
      </c>
      <c r="H38" s="9">
        <f t="shared" si="1"/>
        <v>7.2455258731607408E-4</v>
      </c>
      <c r="I38" s="5">
        <f t="shared" si="2"/>
        <v>10559190.886755304</v>
      </c>
      <c r="J38" s="5">
        <f t="shared" si="3"/>
        <v>10419101.049006391</v>
      </c>
      <c r="K38" s="5"/>
      <c r="L38" s="5"/>
    </row>
    <row r="39" spans="1:12" x14ac:dyDescent="0.3">
      <c r="A39" s="1">
        <v>44251</v>
      </c>
      <c r="B39" s="5">
        <v>10615612.631839538</v>
      </c>
      <c r="C39" s="5">
        <v>10528773.3401313</v>
      </c>
      <c r="D39" s="5">
        <v>0</v>
      </c>
      <c r="E39" s="5">
        <f t="shared" si="0"/>
        <v>0</v>
      </c>
      <c r="F39" s="5">
        <f t="shared" si="0"/>
        <v>0</v>
      </c>
      <c r="G39" s="9">
        <f t="shared" si="1"/>
        <v>5.3433776971496538E-3</v>
      </c>
      <c r="H39" s="9">
        <f t="shared" si="1"/>
        <v>1.0526079995679449E-2</v>
      </c>
      <c r="I39" s="5">
        <f t="shared" si="2"/>
        <v>10615612.631839538</v>
      </c>
      <c r="J39" s="5">
        <f t="shared" si="3"/>
        <v>10528773.3401313</v>
      </c>
      <c r="K39" s="5"/>
      <c r="L39" s="5"/>
    </row>
    <row r="40" spans="1:12" x14ac:dyDescent="0.3">
      <c r="A40" s="1">
        <v>44252</v>
      </c>
      <c r="B40" s="5">
        <v>10686055.263469093</v>
      </c>
      <c r="C40" s="5">
        <v>10323596.412512233</v>
      </c>
      <c r="D40" s="5">
        <v>0</v>
      </c>
      <c r="E40" s="5">
        <f t="shared" si="0"/>
        <v>0</v>
      </c>
      <c r="F40" s="5">
        <f t="shared" si="0"/>
        <v>0</v>
      </c>
      <c r="G40" s="9">
        <f t="shared" si="1"/>
        <v>6.63575754622725E-3</v>
      </c>
      <c r="H40" s="9">
        <f t="shared" si="1"/>
        <v>-1.9487258485945125E-2</v>
      </c>
      <c r="I40" s="5">
        <f t="shared" si="2"/>
        <v>10686055.263469093</v>
      </c>
      <c r="J40" s="5">
        <f t="shared" si="3"/>
        <v>10323596.412512233</v>
      </c>
      <c r="K40" s="5"/>
      <c r="L40" s="5"/>
    </row>
    <row r="41" spans="1:12" x14ac:dyDescent="0.3">
      <c r="A41" s="1">
        <v>44253</v>
      </c>
      <c r="B41" s="5">
        <v>10450803.664484574</v>
      </c>
      <c r="C41" s="5">
        <v>10442446.169418391</v>
      </c>
      <c r="D41" s="5">
        <v>0</v>
      </c>
      <c r="E41" s="5">
        <f t="shared" si="0"/>
        <v>0</v>
      </c>
      <c r="F41" s="5">
        <f t="shared" si="0"/>
        <v>0</v>
      </c>
      <c r="G41" s="9">
        <f t="shared" si="1"/>
        <v>-2.2014821483166025E-2</v>
      </c>
      <c r="H41" s="9">
        <f t="shared" si="1"/>
        <v>1.1512437348103921E-2</v>
      </c>
      <c r="I41" s="5">
        <f t="shared" si="2"/>
        <v>10450803.664484574</v>
      </c>
      <c r="J41" s="5">
        <f t="shared" si="3"/>
        <v>10442446.169418391</v>
      </c>
      <c r="K41" s="5"/>
      <c r="L41" s="5"/>
    </row>
    <row r="42" spans="1:12" x14ac:dyDescent="0.3">
      <c r="A42" s="1">
        <v>44256</v>
      </c>
      <c r="B42" s="5">
        <v>10550258.456906708</v>
      </c>
      <c r="C42" s="5">
        <v>10615928.30121862</v>
      </c>
      <c r="D42" s="5">
        <v>0</v>
      </c>
      <c r="E42" s="5">
        <f t="shared" si="0"/>
        <v>0</v>
      </c>
      <c r="F42" s="5">
        <f t="shared" si="0"/>
        <v>0</v>
      </c>
      <c r="G42" s="9">
        <f t="shared" si="1"/>
        <v>9.516473145516624E-3</v>
      </c>
      <c r="H42" s="9">
        <f t="shared" si="1"/>
        <v>1.6613169844081677E-2</v>
      </c>
      <c r="I42" s="5">
        <f t="shared" si="2"/>
        <v>10550258.456906708</v>
      </c>
      <c r="J42" s="5">
        <f t="shared" si="3"/>
        <v>10615928.30121862</v>
      </c>
      <c r="K42" s="5"/>
      <c r="L42" s="5"/>
    </row>
    <row r="43" spans="1:12" x14ac:dyDescent="0.3">
      <c r="A43" s="1">
        <v>44257</v>
      </c>
      <c r="B43" s="5">
        <v>10733239.53655697</v>
      </c>
      <c r="C43" s="5">
        <v>10514439.948443966</v>
      </c>
      <c r="D43" s="5">
        <v>0</v>
      </c>
      <c r="E43" s="5">
        <f t="shared" si="0"/>
        <v>0</v>
      </c>
      <c r="F43" s="5">
        <f t="shared" si="0"/>
        <v>0</v>
      </c>
      <c r="G43" s="9">
        <f t="shared" si="1"/>
        <v>1.7343753273691087E-2</v>
      </c>
      <c r="H43" s="9">
        <f t="shared" si="1"/>
        <v>-9.5600073677026831E-3</v>
      </c>
      <c r="I43" s="5">
        <f t="shared" si="2"/>
        <v>10733239.53655697</v>
      </c>
      <c r="J43" s="5">
        <f t="shared" si="3"/>
        <v>10514439.948443966</v>
      </c>
      <c r="K43" s="5"/>
      <c r="L43" s="5"/>
    </row>
    <row r="44" spans="1:12" x14ac:dyDescent="0.3">
      <c r="A44" s="1">
        <v>44258</v>
      </c>
      <c r="B44" s="5">
        <v>10904659.960897123</v>
      </c>
      <c r="C44" s="5">
        <v>10315281.996500803</v>
      </c>
      <c r="D44" s="5">
        <v>0</v>
      </c>
      <c r="E44" s="5">
        <f t="shared" si="0"/>
        <v>0</v>
      </c>
      <c r="F44" s="5">
        <f t="shared" si="0"/>
        <v>0</v>
      </c>
      <c r="G44" s="9">
        <f t="shared" si="1"/>
        <v>1.5970986555950972E-2</v>
      </c>
      <c r="H44" s="9">
        <f t="shared" si="1"/>
        <v>-1.894137518685779E-2</v>
      </c>
      <c r="I44" s="5">
        <f t="shared" si="2"/>
        <v>10904659.960897123</v>
      </c>
      <c r="J44" s="5">
        <f t="shared" si="3"/>
        <v>10315281.996500803</v>
      </c>
      <c r="K44" s="5"/>
      <c r="L44" s="5"/>
    </row>
    <row r="45" spans="1:12" x14ac:dyDescent="0.3">
      <c r="A45" s="1">
        <v>44259</v>
      </c>
      <c r="B45" s="5">
        <v>10924423.597441616</v>
      </c>
      <c r="C45" s="5">
        <v>10161920.808722382</v>
      </c>
      <c r="D45" s="5">
        <v>0</v>
      </c>
      <c r="E45" s="5">
        <f t="shared" si="0"/>
        <v>0</v>
      </c>
      <c r="F45" s="5">
        <f t="shared" si="0"/>
        <v>0</v>
      </c>
      <c r="G45" s="9">
        <f t="shared" si="1"/>
        <v>1.8124028273565074E-3</v>
      </c>
      <c r="H45" s="9">
        <f t="shared" si="1"/>
        <v>-1.4867377143004346E-2</v>
      </c>
      <c r="I45" s="5">
        <f t="shared" si="2"/>
        <v>10924423.597441616</v>
      </c>
      <c r="J45" s="5">
        <f t="shared" si="3"/>
        <v>10161920.808722382</v>
      </c>
      <c r="K45" s="5"/>
      <c r="L45" s="5"/>
    </row>
    <row r="46" spans="1:12" x14ac:dyDescent="0.3">
      <c r="A46" s="1">
        <v>44260</v>
      </c>
      <c r="B46" s="5">
        <v>10765947.570328232</v>
      </c>
      <c r="C46" s="5">
        <v>10428850.898272477</v>
      </c>
      <c r="D46" s="5">
        <v>0</v>
      </c>
      <c r="E46" s="5">
        <f t="shared" si="0"/>
        <v>0</v>
      </c>
      <c r="F46" s="5">
        <f t="shared" si="0"/>
        <v>0</v>
      </c>
      <c r="G46" s="9">
        <f t="shared" si="1"/>
        <v>-1.4506580205338904E-2</v>
      </c>
      <c r="H46" s="9">
        <f t="shared" si="1"/>
        <v>2.626768054726214E-2</v>
      </c>
      <c r="I46" s="5">
        <f t="shared" si="2"/>
        <v>10765947.570328232</v>
      </c>
      <c r="J46" s="5">
        <f t="shared" si="3"/>
        <v>10428850.898272477</v>
      </c>
      <c r="K46" s="5"/>
      <c r="L46" s="5"/>
    </row>
    <row r="47" spans="1:12" x14ac:dyDescent="0.3">
      <c r="A47" s="1">
        <v>44263</v>
      </c>
      <c r="B47" s="5">
        <v>10747874.928298509</v>
      </c>
      <c r="C47" s="5">
        <v>10388656.082416639</v>
      </c>
      <c r="D47" s="5">
        <v>0</v>
      </c>
      <c r="E47" s="5">
        <f t="shared" si="0"/>
        <v>0</v>
      </c>
      <c r="F47" s="5">
        <f t="shared" si="0"/>
        <v>0</v>
      </c>
      <c r="G47" s="9">
        <f t="shared" si="1"/>
        <v>-1.6786856810944162E-3</v>
      </c>
      <c r="H47" s="9">
        <f t="shared" si="1"/>
        <v>-3.8541941243495081E-3</v>
      </c>
      <c r="I47" s="5">
        <f t="shared" si="2"/>
        <v>10747874.928298509</v>
      </c>
      <c r="J47" s="5">
        <f t="shared" si="3"/>
        <v>10388656.082416639</v>
      </c>
      <c r="K47" s="5"/>
      <c r="L47" s="5"/>
    </row>
    <row r="48" spans="1:12" x14ac:dyDescent="0.3">
      <c r="A48" s="1">
        <v>44264</v>
      </c>
      <c r="B48" s="5">
        <v>10664892.411855521</v>
      </c>
      <c r="C48" s="5">
        <v>10474875.327162893</v>
      </c>
      <c r="D48" s="5">
        <v>0</v>
      </c>
      <c r="E48" s="5">
        <f t="shared" si="0"/>
        <v>0</v>
      </c>
      <c r="F48" s="5">
        <f t="shared" si="0"/>
        <v>0</v>
      </c>
      <c r="G48" s="9">
        <f t="shared" si="1"/>
        <v>-7.720830117263433E-3</v>
      </c>
      <c r="H48" s="9">
        <f t="shared" si="1"/>
        <v>8.2993646206255267E-3</v>
      </c>
      <c r="I48" s="5">
        <f t="shared" si="2"/>
        <v>10664892.411855521</v>
      </c>
      <c r="J48" s="5">
        <f t="shared" si="3"/>
        <v>10474875.327162893</v>
      </c>
      <c r="K48" s="5"/>
      <c r="L48" s="5"/>
    </row>
    <row r="49" spans="1:12" x14ac:dyDescent="0.3">
      <c r="A49" s="1">
        <v>44265</v>
      </c>
      <c r="B49" s="5">
        <v>10731709.904917469</v>
      </c>
      <c r="C49" s="5">
        <v>10534267.362473549</v>
      </c>
      <c r="D49" s="5">
        <v>0</v>
      </c>
      <c r="E49" s="5">
        <f t="shared" si="0"/>
        <v>0</v>
      </c>
      <c r="F49" s="5">
        <f t="shared" si="0"/>
        <v>0</v>
      </c>
      <c r="G49" s="9">
        <f t="shared" si="1"/>
        <v>6.2651821023220755E-3</v>
      </c>
      <c r="H49" s="9">
        <f t="shared" si="1"/>
        <v>5.6699515226346087E-3</v>
      </c>
      <c r="I49" s="5">
        <f t="shared" si="2"/>
        <v>10731709.904917469</v>
      </c>
      <c r="J49" s="5">
        <f t="shared" si="3"/>
        <v>10534267.362473549</v>
      </c>
      <c r="K49" s="5"/>
      <c r="L49" s="5"/>
    </row>
    <row r="50" spans="1:12" x14ac:dyDescent="0.3">
      <c r="A50" s="1">
        <v>44267</v>
      </c>
      <c r="B50" s="5">
        <v>10631216.200832669</v>
      </c>
      <c r="C50" s="5">
        <v>10636015.596680345</v>
      </c>
      <c r="D50" s="5">
        <v>0</v>
      </c>
      <c r="E50" s="5">
        <f t="shared" si="0"/>
        <v>0</v>
      </c>
      <c r="F50" s="5">
        <f t="shared" si="0"/>
        <v>0</v>
      </c>
      <c r="G50" s="9">
        <f t="shared" si="1"/>
        <v>-9.364183804367654E-3</v>
      </c>
      <c r="H50" s="9">
        <f t="shared" si="1"/>
        <v>9.6587860081522869E-3</v>
      </c>
      <c r="I50" s="5">
        <f t="shared" si="2"/>
        <v>10631216.200832669</v>
      </c>
      <c r="J50" s="5">
        <f t="shared" si="3"/>
        <v>10636015.596680345</v>
      </c>
      <c r="K50" s="5"/>
      <c r="L50" s="5"/>
    </row>
    <row r="51" spans="1:12" x14ac:dyDescent="0.3">
      <c r="A51" s="1">
        <v>44270</v>
      </c>
      <c r="B51" s="5">
        <v>10574754.667642204</v>
      </c>
      <c r="C51" s="5">
        <v>10686394.471412716</v>
      </c>
      <c r="D51" s="5">
        <v>0</v>
      </c>
      <c r="E51" s="5">
        <f t="shared" si="0"/>
        <v>0</v>
      </c>
      <c r="F51" s="5">
        <f t="shared" si="0"/>
        <v>0</v>
      </c>
      <c r="G51" s="9">
        <f t="shared" si="1"/>
        <v>-5.3109194774951796E-3</v>
      </c>
      <c r="H51" s="9">
        <f t="shared" si="1"/>
        <v>4.7366303926910103E-3</v>
      </c>
      <c r="I51" s="5">
        <f t="shared" si="2"/>
        <v>10574754.667642204</v>
      </c>
      <c r="J51" s="5">
        <f t="shared" si="3"/>
        <v>10686394.471412716</v>
      </c>
      <c r="K51" s="5"/>
      <c r="L51" s="5"/>
    </row>
    <row r="52" spans="1:12" x14ac:dyDescent="0.3">
      <c r="A52" s="1">
        <v>44271</v>
      </c>
      <c r="B52" s="5">
        <v>10624204.652334837</v>
      </c>
      <c r="C52" s="5">
        <v>10661088.96441241</v>
      </c>
      <c r="D52" s="5">
        <v>0</v>
      </c>
      <c r="E52" s="5">
        <f t="shared" si="0"/>
        <v>0</v>
      </c>
      <c r="F52" s="5">
        <f t="shared" si="0"/>
        <v>0</v>
      </c>
      <c r="G52" s="9">
        <f t="shared" si="1"/>
        <v>4.6762299690927822E-3</v>
      </c>
      <c r="H52" s="9">
        <f t="shared" si="1"/>
        <v>-2.3680116870101742E-3</v>
      </c>
      <c r="I52" s="5">
        <f t="shared" si="2"/>
        <v>10624204.652334837</v>
      </c>
      <c r="J52" s="5">
        <f t="shared" si="3"/>
        <v>10661088.96441241</v>
      </c>
      <c r="K52" s="5"/>
      <c r="L52" s="5"/>
    </row>
    <row r="53" spans="1:12" x14ac:dyDescent="0.3">
      <c r="A53" s="1">
        <v>44272</v>
      </c>
      <c r="B53" s="5">
        <v>10415325.936429653</v>
      </c>
      <c r="C53" s="5">
        <v>10697774.307044154</v>
      </c>
      <c r="D53" s="5">
        <v>0</v>
      </c>
      <c r="E53" s="5">
        <f t="shared" si="0"/>
        <v>0</v>
      </c>
      <c r="F53" s="5">
        <f t="shared" si="0"/>
        <v>0</v>
      </c>
      <c r="G53" s="9">
        <f t="shared" si="1"/>
        <v>-1.9660644983836906E-2</v>
      </c>
      <c r="H53" s="9">
        <f t="shared" si="1"/>
        <v>3.4410502298782841E-3</v>
      </c>
      <c r="I53" s="5">
        <f t="shared" si="2"/>
        <v>10415325.936429653</v>
      </c>
      <c r="J53" s="5">
        <f t="shared" si="3"/>
        <v>10697774.307044154</v>
      </c>
      <c r="K53" s="5"/>
      <c r="L53" s="5"/>
    </row>
    <row r="54" spans="1:12" x14ac:dyDescent="0.3">
      <c r="A54" s="1">
        <v>44273</v>
      </c>
      <c r="B54" s="5">
        <v>10291286.51525818</v>
      </c>
      <c r="C54" s="5">
        <v>10550567.405108785</v>
      </c>
      <c r="D54" s="5">
        <v>0</v>
      </c>
      <c r="E54" s="5">
        <f t="shared" si="0"/>
        <v>0</v>
      </c>
      <c r="F54" s="5">
        <f t="shared" si="0"/>
        <v>0</v>
      </c>
      <c r="G54" s="9">
        <f t="shared" si="1"/>
        <v>-1.1909317281912468E-2</v>
      </c>
      <c r="H54" s="9">
        <f t="shared" si="1"/>
        <v>-1.3760516693499314E-2</v>
      </c>
      <c r="I54" s="5">
        <f t="shared" si="2"/>
        <v>10291286.51525818</v>
      </c>
      <c r="J54" s="5">
        <f t="shared" si="3"/>
        <v>10550567.405108785</v>
      </c>
      <c r="K54" s="5"/>
      <c r="L54" s="5"/>
    </row>
    <row r="55" spans="1:12" x14ac:dyDescent="0.3">
      <c r="A55" s="1">
        <v>44274</v>
      </c>
      <c r="B55" s="5">
        <v>10409088.045552954</v>
      </c>
      <c r="C55" s="5">
        <v>10519180.994763482</v>
      </c>
      <c r="D55" s="5">
        <v>0</v>
      </c>
      <c r="E55" s="5">
        <f t="shared" si="0"/>
        <v>0</v>
      </c>
      <c r="F55" s="5">
        <f t="shared" si="0"/>
        <v>0</v>
      </c>
      <c r="G55" s="9">
        <f t="shared" si="1"/>
        <v>1.1446725355485743E-2</v>
      </c>
      <c r="H55" s="9">
        <f t="shared" si="1"/>
        <v>-2.974855203532023E-3</v>
      </c>
      <c r="I55" s="5">
        <f t="shared" si="2"/>
        <v>10409088.045552954</v>
      </c>
      <c r="J55" s="5">
        <f t="shared" si="3"/>
        <v>10519180.994763482</v>
      </c>
      <c r="K55" s="5"/>
      <c r="L55" s="5"/>
    </row>
    <row r="56" spans="1:12" x14ac:dyDescent="0.3">
      <c r="A56" s="1">
        <v>44277</v>
      </c>
      <c r="B56" s="5">
        <v>10512026.507720545</v>
      </c>
      <c r="C56" s="5">
        <v>10581410.06904166</v>
      </c>
      <c r="D56" s="5">
        <v>0</v>
      </c>
      <c r="E56" s="5">
        <f t="shared" si="0"/>
        <v>0</v>
      </c>
      <c r="F56" s="5">
        <f t="shared" si="0"/>
        <v>0</v>
      </c>
      <c r="G56" s="9">
        <f t="shared" si="1"/>
        <v>9.8892872955924638E-3</v>
      </c>
      <c r="H56" s="9">
        <f t="shared" si="1"/>
        <v>5.9157717990740988E-3</v>
      </c>
      <c r="I56" s="5">
        <f t="shared" si="2"/>
        <v>10512026.507720545</v>
      </c>
      <c r="J56" s="5">
        <f t="shared" si="3"/>
        <v>10581410.06904166</v>
      </c>
      <c r="K56" s="5"/>
      <c r="L56" s="5"/>
    </row>
    <row r="57" spans="1:12" x14ac:dyDescent="0.3">
      <c r="A57" s="1">
        <v>44278</v>
      </c>
      <c r="B57" s="5">
        <v>10640122.105277112</v>
      </c>
      <c r="C57" s="5">
        <v>10522465.130024036</v>
      </c>
      <c r="D57" s="5">
        <v>0</v>
      </c>
      <c r="E57" s="5">
        <f t="shared" si="0"/>
        <v>0</v>
      </c>
      <c r="F57" s="5">
        <f t="shared" si="0"/>
        <v>0</v>
      </c>
      <c r="G57" s="9">
        <f t="shared" si="1"/>
        <v>1.2185623529629375E-2</v>
      </c>
      <c r="H57" s="9">
        <f t="shared" si="1"/>
        <v>-5.5706128609532835E-3</v>
      </c>
      <c r="I57" s="5">
        <f t="shared" si="2"/>
        <v>10640122.105277112</v>
      </c>
      <c r="J57" s="5">
        <f t="shared" si="3"/>
        <v>10522465.130024036</v>
      </c>
      <c r="K57" s="5"/>
      <c r="L57" s="5"/>
    </row>
    <row r="58" spans="1:12" x14ac:dyDescent="0.3">
      <c r="A58" s="1">
        <v>44279</v>
      </c>
      <c r="B58" s="5">
        <v>10480604.956050714</v>
      </c>
      <c r="C58" s="5">
        <v>10475676.807227029</v>
      </c>
      <c r="D58" s="5">
        <v>0</v>
      </c>
      <c r="E58" s="5">
        <f t="shared" si="0"/>
        <v>0</v>
      </c>
      <c r="F58" s="5">
        <f t="shared" si="0"/>
        <v>0</v>
      </c>
      <c r="G58" s="9">
        <f t="shared" si="1"/>
        <v>-1.4992041223594876E-2</v>
      </c>
      <c r="H58" s="9">
        <f t="shared" si="1"/>
        <v>-4.4465172579669643E-3</v>
      </c>
      <c r="I58" s="5">
        <f t="shared" si="2"/>
        <v>10480604.956050714</v>
      </c>
      <c r="J58" s="5">
        <f t="shared" si="3"/>
        <v>10475676.807227029</v>
      </c>
      <c r="K58" s="5"/>
      <c r="L58" s="5"/>
    </row>
    <row r="59" spans="1:12" x14ac:dyDescent="0.3">
      <c r="A59" s="1">
        <v>44280</v>
      </c>
      <c r="B59" s="5">
        <v>10249727.838301132</v>
      </c>
      <c r="C59" s="5">
        <v>10545414.342909938</v>
      </c>
      <c r="D59" s="5">
        <v>0</v>
      </c>
      <c r="E59" s="5">
        <f t="shared" si="0"/>
        <v>0</v>
      </c>
      <c r="F59" s="5">
        <f t="shared" si="0"/>
        <v>0</v>
      </c>
      <c r="G59" s="9">
        <f t="shared" si="1"/>
        <v>-2.2028987708032188E-2</v>
      </c>
      <c r="H59" s="9">
        <f t="shared" si="1"/>
        <v>6.6570911804761934E-3</v>
      </c>
      <c r="I59" s="5">
        <f t="shared" si="2"/>
        <v>10249727.838301132</v>
      </c>
      <c r="J59" s="5">
        <f t="shared" si="3"/>
        <v>10545414.342909938</v>
      </c>
      <c r="K59" s="5"/>
      <c r="L59" s="5"/>
    </row>
    <row r="60" spans="1:12" x14ac:dyDescent="0.3">
      <c r="A60" s="1">
        <v>44281</v>
      </c>
      <c r="B60" s="5">
        <v>10374479.024484048</v>
      </c>
      <c r="C60" s="5">
        <v>10714983.218765061</v>
      </c>
      <c r="D60" s="5">
        <v>0</v>
      </c>
      <c r="E60" s="5">
        <f t="shared" si="0"/>
        <v>0</v>
      </c>
      <c r="F60" s="5">
        <f t="shared" si="0"/>
        <v>0</v>
      </c>
      <c r="G60" s="9">
        <f t="shared" si="1"/>
        <v>1.2171170605793646E-2</v>
      </c>
      <c r="H60" s="9">
        <f t="shared" si="1"/>
        <v>1.6079868494605964E-2</v>
      </c>
      <c r="I60" s="5">
        <f t="shared" si="2"/>
        <v>10374479.024484048</v>
      </c>
      <c r="J60" s="5">
        <f t="shared" si="3"/>
        <v>10714983.218765061</v>
      </c>
      <c r="K60" s="5"/>
      <c r="L60" s="5"/>
    </row>
    <row r="61" spans="1:12" x14ac:dyDescent="0.3">
      <c r="A61" s="1">
        <v>44285</v>
      </c>
      <c r="B61" s="5">
        <v>10414371.021880137</v>
      </c>
      <c r="C61" s="5">
        <v>10790537.480799964</v>
      </c>
      <c r="D61" s="5">
        <v>0</v>
      </c>
      <c r="E61" s="5">
        <f t="shared" si="0"/>
        <v>0</v>
      </c>
      <c r="F61" s="5">
        <f t="shared" si="0"/>
        <v>0</v>
      </c>
      <c r="G61" s="9">
        <f t="shared" si="1"/>
        <v>3.8452048822830154E-3</v>
      </c>
      <c r="H61" s="9">
        <f t="shared" si="1"/>
        <v>7.0512720824971176E-3</v>
      </c>
      <c r="I61" s="5">
        <f t="shared" si="2"/>
        <v>10414371.021880137</v>
      </c>
      <c r="J61" s="5">
        <f t="shared" si="3"/>
        <v>10790537.480799964</v>
      </c>
      <c r="K61" s="5"/>
      <c r="L61" s="5"/>
    </row>
    <row r="62" spans="1:12" x14ac:dyDescent="0.3">
      <c r="A62" s="1">
        <v>44286</v>
      </c>
      <c r="B62" s="5">
        <v>10443982.214716509</v>
      </c>
      <c r="C62" s="5">
        <v>10784764.962928509</v>
      </c>
      <c r="D62" s="5">
        <v>0</v>
      </c>
      <c r="E62" s="5">
        <f t="shared" si="0"/>
        <v>0</v>
      </c>
      <c r="F62" s="5">
        <f t="shared" si="0"/>
        <v>0</v>
      </c>
      <c r="G62" s="9">
        <f t="shared" si="1"/>
        <v>2.8433011243944595E-3</v>
      </c>
      <c r="H62" s="9">
        <f t="shared" si="1"/>
        <v>-5.3496110659234652E-4</v>
      </c>
      <c r="I62" s="5">
        <f t="shared" si="2"/>
        <v>10443982.214716509</v>
      </c>
      <c r="J62" s="5">
        <f t="shared" si="3"/>
        <v>10784764.962928509</v>
      </c>
      <c r="K62" s="5"/>
      <c r="L62" s="5"/>
    </row>
    <row r="63" spans="1:12" x14ac:dyDescent="0.3">
      <c r="A63" s="1">
        <v>44287</v>
      </c>
      <c r="B63" s="5">
        <v>11100835.771275856</v>
      </c>
      <c r="C63" s="5">
        <v>11439163.349673355</v>
      </c>
      <c r="D63" s="5">
        <v>500000</v>
      </c>
      <c r="E63" s="5">
        <f t="shared" si="0"/>
        <v>-500000</v>
      </c>
      <c r="F63" s="5">
        <f t="shared" si="0"/>
        <v>-500000</v>
      </c>
      <c r="G63" s="9">
        <f t="shared" si="1"/>
        <v>1.5018558375015756E-2</v>
      </c>
      <c r="H63" s="9">
        <f t="shared" si="1"/>
        <v>1.4316342291702533E-2</v>
      </c>
      <c r="I63" s="5">
        <f t="shared" si="2"/>
        <v>10600835.771275856</v>
      </c>
      <c r="J63" s="5">
        <f t="shared" si="3"/>
        <v>10939163.349673355</v>
      </c>
      <c r="K63" s="5"/>
      <c r="L63" s="5"/>
    </row>
    <row r="64" spans="1:12" x14ac:dyDescent="0.3">
      <c r="A64" s="1">
        <v>44291</v>
      </c>
      <c r="B64" s="5">
        <v>10998787.210958311</v>
      </c>
      <c r="C64" s="5">
        <v>11601132.44899315</v>
      </c>
      <c r="D64" s="5">
        <v>0</v>
      </c>
      <c r="E64" s="5">
        <f t="shared" si="0"/>
        <v>0</v>
      </c>
      <c r="F64" s="5">
        <f t="shared" si="0"/>
        <v>0</v>
      </c>
      <c r="G64" s="9">
        <f t="shared" si="1"/>
        <v>-9.192871817958248E-3</v>
      </c>
      <c r="H64" s="9">
        <f t="shared" si="1"/>
        <v>1.4159173566169914E-2</v>
      </c>
      <c r="I64" s="5">
        <f t="shared" si="2"/>
        <v>10503383.64686729</v>
      </c>
      <c r="J64" s="5">
        <f t="shared" si="3"/>
        <v>11094052.862210065</v>
      </c>
      <c r="K64" s="5"/>
      <c r="L64" s="5"/>
    </row>
    <row r="65" spans="1:12" x14ac:dyDescent="0.3">
      <c r="A65" s="1">
        <v>44292</v>
      </c>
      <c r="B65" s="5">
        <v>11108675.689478401</v>
      </c>
      <c r="C65" s="5">
        <v>11621979.354570888</v>
      </c>
      <c r="D65" s="5">
        <v>0</v>
      </c>
      <c r="E65" s="5">
        <f t="shared" si="0"/>
        <v>0</v>
      </c>
      <c r="F65" s="5">
        <f t="shared" si="0"/>
        <v>0</v>
      </c>
      <c r="G65" s="9">
        <f t="shared" si="1"/>
        <v>9.990963222800131E-3</v>
      </c>
      <c r="H65" s="9">
        <f t="shared" si="1"/>
        <v>1.7969716033667815E-3</v>
      </c>
      <c r="I65" s="5">
        <f t="shared" si="2"/>
        <v>10608322.566598102</v>
      </c>
      <c r="J65" s="5">
        <f t="shared" si="3"/>
        <v>11113988.560169706</v>
      </c>
      <c r="K65" s="5"/>
      <c r="L65" s="5"/>
    </row>
    <row r="66" spans="1:12" x14ac:dyDescent="0.3">
      <c r="A66" s="1">
        <v>44293</v>
      </c>
      <c r="B66" s="5">
        <v>11218499.356156249</v>
      </c>
      <c r="C66" s="5">
        <v>11775558.334275309</v>
      </c>
      <c r="D66" s="5">
        <v>0</v>
      </c>
      <c r="E66" s="5">
        <f t="shared" si="0"/>
        <v>0</v>
      </c>
      <c r="F66" s="5">
        <f t="shared" si="0"/>
        <v>0</v>
      </c>
      <c r="G66" s="9">
        <f t="shared" si="1"/>
        <v>9.8862969581394733E-3</v>
      </c>
      <c r="H66" s="9">
        <f t="shared" si="1"/>
        <v>1.32145286976455E-2</v>
      </c>
      <c r="I66" s="5">
        <f t="shared" si="2"/>
        <v>10713199.593719224</v>
      </c>
      <c r="J66" s="5">
        <f t="shared" si="3"/>
        <v>11260854.680943372</v>
      </c>
      <c r="K66" s="5"/>
      <c r="L66" s="5"/>
    </row>
    <row r="67" spans="1:12" x14ac:dyDescent="0.3">
      <c r="A67" s="1">
        <v>44294</v>
      </c>
      <c r="B67" s="5">
        <v>11302949.186596638</v>
      </c>
      <c r="C67" s="5">
        <v>11862990.724923193</v>
      </c>
      <c r="D67" s="5">
        <v>0</v>
      </c>
      <c r="E67" s="5">
        <f t="shared" ref="E67:F130" si="4">$D67*-1</f>
        <v>0</v>
      </c>
      <c r="F67" s="5">
        <f t="shared" si="4"/>
        <v>0</v>
      </c>
      <c r="G67" s="9">
        <f t="shared" si="1"/>
        <v>7.5277296685893891E-3</v>
      </c>
      <c r="H67" s="9">
        <f t="shared" si="1"/>
        <v>7.4249040398699506E-3</v>
      </c>
      <c r="I67" s="5">
        <f t="shared" si="2"/>
        <v>10793845.664146384</v>
      </c>
      <c r="J67" s="5">
        <f t="shared" si="3"/>
        <v>11344465.446356297</v>
      </c>
      <c r="K67" s="5"/>
      <c r="L67" s="5"/>
    </row>
    <row r="68" spans="1:12" x14ac:dyDescent="0.3">
      <c r="A68" s="1">
        <v>44295</v>
      </c>
      <c r="B68" s="5">
        <v>11315034.280465985</v>
      </c>
      <c r="C68" s="5">
        <v>11978761.573701786</v>
      </c>
      <c r="D68" s="5">
        <v>0</v>
      </c>
      <c r="E68" s="5">
        <f t="shared" si="4"/>
        <v>0</v>
      </c>
      <c r="F68" s="5">
        <f t="shared" si="4"/>
        <v>0</v>
      </c>
      <c r="G68" s="9">
        <f t="shared" ref="G68:H131" si="5">((B68-$D68)/B67-1)</f>
        <v>1.069198283548678E-3</v>
      </c>
      <c r="H68" s="9">
        <f t="shared" si="5"/>
        <v>9.7589934497182007E-3</v>
      </c>
      <c r="I68" s="5">
        <f t="shared" ref="I68:I131" si="6">I67*(1+G68)</f>
        <v>10805386.425403379</v>
      </c>
      <c r="J68" s="5">
        <f t="shared" ref="J68:J131" si="7">J67*(1+H68)</f>
        <v>11455176.010337843</v>
      </c>
      <c r="K68" s="5"/>
      <c r="L68" s="5"/>
    </row>
    <row r="69" spans="1:12" x14ac:dyDescent="0.3">
      <c r="A69" s="1">
        <v>44298</v>
      </c>
      <c r="B69" s="5">
        <v>10788639.441908268</v>
      </c>
      <c r="C69" s="5">
        <v>12026296.725831561</v>
      </c>
      <c r="D69" s="5">
        <v>0</v>
      </c>
      <c r="E69" s="5">
        <f t="shared" si="4"/>
        <v>0</v>
      </c>
      <c r="F69" s="5">
        <f t="shared" si="4"/>
        <v>0</v>
      </c>
      <c r="G69" s="9">
        <f t="shared" si="5"/>
        <v>-4.6521718406675294E-2</v>
      </c>
      <c r="H69" s="9">
        <f t="shared" si="5"/>
        <v>3.968286023334322E-3</v>
      </c>
      <c r="I69" s="5">
        <f t="shared" si="6"/>
        <v>10302701.280845452</v>
      </c>
      <c r="J69" s="5">
        <f t="shared" si="7"/>
        <v>11500633.4251945</v>
      </c>
      <c r="K69" s="5"/>
      <c r="L69" s="5"/>
    </row>
    <row r="70" spans="1:12" x14ac:dyDescent="0.3">
      <c r="A70" s="1">
        <v>44299</v>
      </c>
      <c r="B70" s="5">
        <v>10900497.73749076</v>
      </c>
      <c r="C70" s="5">
        <v>12104521.09683018</v>
      </c>
      <c r="D70" s="5">
        <v>0</v>
      </c>
      <c r="E70" s="5">
        <f t="shared" si="4"/>
        <v>0</v>
      </c>
      <c r="F70" s="5">
        <f t="shared" si="4"/>
        <v>0</v>
      </c>
      <c r="G70" s="9">
        <f t="shared" si="5"/>
        <v>1.0368155890721598E-2</v>
      </c>
      <c r="H70" s="9">
        <f t="shared" si="5"/>
        <v>6.504443785309233E-3</v>
      </c>
      <c r="I70" s="5">
        <f t="shared" si="6"/>
        <v>10409521.293820795</v>
      </c>
      <c r="J70" s="5">
        <f t="shared" si="7"/>
        <v>11575438.648804126</v>
      </c>
      <c r="K70" s="5"/>
      <c r="L70" s="5"/>
    </row>
    <row r="71" spans="1:12" x14ac:dyDescent="0.3">
      <c r="A71" s="1">
        <v>44301</v>
      </c>
      <c r="B71" s="5">
        <v>10967615.029548906</v>
      </c>
      <c r="C71" s="5">
        <v>12116012.124400126</v>
      </c>
      <c r="D71" s="5">
        <v>0</v>
      </c>
      <c r="E71" s="5">
        <f t="shared" si="4"/>
        <v>0</v>
      </c>
      <c r="F71" s="5">
        <f t="shared" si="4"/>
        <v>0</v>
      </c>
      <c r="G71" s="9">
        <f t="shared" si="5"/>
        <v>6.1572685646551495E-3</v>
      </c>
      <c r="H71" s="9">
        <f t="shared" si="5"/>
        <v>9.4931699304945383E-4</v>
      </c>
      <c r="I71" s="5">
        <f t="shared" si="6"/>
        <v>10473615.512056345</v>
      </c>
      <c r="J71" s="5">
        <f t="shared" si="7"/>
        <v>11586427.409415437</v>
      </c>
      <c r="K71" s="5"/>
      <c r="L71" s="5"/>
    </row>
    <row r="72" spans="1:12" x14ac:dyDescent="0.3">
      <c r="A72" s="1">
        <v>44302</v>
      </c>
      <c r="B72" s="5">
        <v>11085199.914335147</v>
      </c>
      <c r="C72" s="5">
        <v>12106086.523805799</v>
      </c>
      <c r="D72" s="5">
        <v>0</v>
      </c>
      <c r="E72" s="5">
        <f t="shared" si="4"/>
        <v>0</v>
      </c>
      <c r="F72" s="5">
        <f t="shared" si="4"/>
        <v>0</v>
      </c>
      <c r="G72" s="9">
        <f t="shared" si="5"/>
        <v>1.0721098841402155E-2</v>
      </c>
      <c r="H72" s="9">
        <f t="shared" si="5"/>
        <v>-8.1921349140434696E-4</v>
      </c>
      <c r="I72" s="5">
        <f t="shared" si="6"/>
        <v>10585904.179187944</v>
      </c>
      <c r="J72" s="5">
        <f t="shared" si="7"/>
        <v>11576935.651764467</v>
      </c>
      <c r="K72" s="5"/>
      <c r="L72" s="5"/>
    </row>
    <row r="73" spans="1:12" x14ac:dyDescent="0.3">
      <c r="A73" s="1">
        <v>44305</v>
      </c>
      <c r="B73" s="5">
        <v>10895305.845985502</v>
      </c>
      <c r="C73" s="5">
        <v>12104892.614351295</v>
      </c>
      <c r="D73" s="5">
        <v>0</v>
      </c>
      <c r="E73" s="5">
        <f t="shared" si="4"/>
        <v>0</v>
      </c>
      <c r="F73" s="5">
        <f t="shared" si="4"/>
        <v>0</v>
      </c>
      <c r="G73" s="9">
        <f t="shared" si="5"/>
        <v>-1.7130414409944672E-2</v>
      </c>
      <c r="H73" s="9">
        <f t="shared" si="5"/>
        <v>-9.8620594868203959E-5</v>
      </c>
      <c r="I73" s="5">
        <f t="shared" si="6"/>
        <v>10404563.25369449</v>
      </c>
      <c r="J73" s="5">
        <f t="shared" si="7"/>
        <v>11575793.927483739</v>
      </c>
      <c r="K73" s="5"/>
      <c r="L73" s="5"/>
    </row>
    <row r="74" spans="1:12" x14ac:dyDescent="0.3">
      <c r="A74" s="1">
        <v>44306</v>
      </c>
      <c r="B74" s="5">
        <v>10943981.854217354</v>
      </c>
      <c r="C74" s="5">
        <v>12104857.427805215</v>
      </c>
      <c r="D74" s="5">
        <v>0</v>
      </c>
      <c r="E74" s="5">
        <f t="shared" si="4"/>
        <v>0</v>
      </c>
      <c r="F74" s="5">
        <f t="shared" si="4"/>
        <v>0</v>
      </c>
      <c r="G74" s="9">
        <f t="shared" si="5"/>
        <v>4.4676128343645871E-3</v>
      </c>
      <c r="H74" s="9">
        <f t="shared" si="5"/>
        <v>-2.9068036537793773E-6</v>
      </c>
      <c r="I74" s="5">
        <f t="shared" si="6"/>
        <v>10451046.814022653</v>
      </c>
      <c r="J74" s="5">
        <f t="shared" si="7"/>
        <v>11575760.278923655</v>
      </c>
      <c r="K74" s="5"/>
      <c r="L74" s="5"/>
    </row>
    <row r="75" spans="1:12" x14ac:dyDescent="0.3">
      <c r="A75" s="1">
        <v>44308</v>
      </c>
      <c r="B75" s="5">
        <v>10960258.885454521</v>
      </c>
      <c r="C75" s="5">
        <v>12062596.140012952</v>
      </c>
      <c r="D75" s="5">
        <v>0</v>
      </c>
      <c r="E75" s="5">
        <f t="shared" si="4"/>
        <v>0</v>
      </c>
      <c r="F75" s="5">
        <f t="shared" si="4"/>
        <v>0</v>
      </c>
      <c r="G75" s="9">
        <f t="shared" si="5"/>
        <v>1.4873042969176797E-3</v>
      </c>
      <c r="H75" s="9">
        <f t="shared" si="5"/>
        <v>-3.4912668773106059E-3</v>
      </c>
      <c r="I75" s="5">
        <f t="shared" si="6"/>
        <v>10466590.700856436</v>
      </c>
      <c r="J75" s="5">
        <f t="shared" si="7"/>
        <v>11535346.210482161</v>
      </c>
      <c r="K75" s="5"/>
      <c r="L75" s="5"/>
    </row>
    <row r="76" spans="1:12" x14ac:dyDescent="0.3">
      <c r="A76" s="1">
        <v>44309</v>
      </c>
      <c r="B76" s="5">
        <v>10973698.083884982</v>
      </c>
      <c r="C76" s="5">
        <v>12172107.339676347</v>
      </c>
      <c r="D76" s="5">
        <v>0</v>
      </c>
      <c r="E76" s="5">
        <f t="shared" si="4"/>
        <v>0</v>
      </c>
      <c r="F76" s="5">
        <f t="shared" si="4"/>
        <v>0</v>
      </c>
      <c r="G76" s="9">
        <f t="shared" si="5"/>
        <v>1.2261752729487707E-3</v>
      </c>
      <c r="H76" s="9">
        <f t="shared" si="5"/>
        <v>9.0785763190839308E-3</v>
      </c>
      <c r="I76" s="5">
        <f t="shared" si="6"/>
        <v>10479424.575565903</v>
      </c>
      <c r="J76" s="5">
        <f t="shared" si="7"/>
        <v>11640070.731421079</v>
      </c>
      <c r="K76" s="5"/>
      <c r="L76" s="5"/>
    </row>
    <row r="77" spans="1:12" x14ac:dyDescent="0.3">
      <c r="A77" s="1">
        <v>44312</v>
      </c>
      <c r="B77" s="5">
        <v>11029001.102986006</v>
      </c>
      <c r="C77" s="5">
        <v>12158017.37392091</v>
      </c>
      <c r="D77" s="5">
        <v>0</v>
      </c>
      <c r="E77" s="5">
        <f t="shared" si="4"/>
        <v>0</v>
      </c>
      <c r="F77" s="5">
        <f t="shared" si="4"/>
        <v>0</v>
      </c>
      <c r="G77" s="9">
        <f t="shared" si="5"/>
        <v>5.039597287830988E-3</v>
      </c>
      <c r="H77" s="9">
        <f t="shared" si="5"/>
        <v>-1.1575617403166705E-3</v>
      </c>
      <c r="I77" s="5">
        <f t="shared" si="6"/>
        <v>10532236.655234953</v>
      </c>
      <c r="J77" s="5">
        <f t="shared" si="7"/>
        <v>11626596.630887806</v>
      </c>
      <c r="K77" s="5"/>
      <c r="L77" s="5"/>
    </row>
    <row r="78" spans="1:12" x14ac:dyDescent="0.3">
      <c r="A78" s="1">
        <v>44313</v>
      </c>
      <c r="B78" s="5">
        <v>11114474.034650344</v>
      </c>
      <c r="C78" s="5">
        <v>12127840.418757502</v>
      </c>
      <c r="D78" s="5">
        <v>0</v>
      </c>
      <c r="E78" s="5">
        <f t="shared" si="4"/>
        <v>0</v>
      </c>
      <c r="F78" s="5">
        <f t="shared" si="4"/>
        <v>0</v>
      </c>
      <c r="G78" s="9">
        <f t="shared" si="5"/>
        <v>7.7498343563677796E-3</v>
      </c>
      <c r="H78" s="9">
        <f t="shared" si="5"/>
        <v>-2.4820621845909052E-3</v>
      </c>
      <c r="I78" s="5">
        <f t="shared" si="6"/>
        <v>10613859.744715089</v>
      </c>
      <c r="J78" s="5">
        <f t="shared" si="7"/>
        <v>11597738.695054788</v>
      </c>
      <c r="K78" s="5"/>
      <c r="L78" s="5"/>
    </row>
    <row r="79" spans="1:12" x14ac:dyDescent="0.3">
      <c r="A79" s="1">
        <v>44314</v>
      </c>
      <c r="B79" s="5">
        <v>11182811.178167818</v>
      </c>
      <c r="C79" s="5">
        <v>12103055.427455951</v>
      </c>
      <c r="D79" s="5">
        <v>0</v>
      </c>
      <c r="E79" s="5">
        <f t="shared" si="4"/>
        <v>0</v>
      </c>
      <c r="F79" s="5">
        <f t="shared" si="4"/>
        <v>0</v>
      </c>
      <c r="G79" s="9">
        <f t="shared" si="5"/>
        <v>6.1484819978370187E-3</v>
      </c>
      <c r="H79" s="9">
        <f t="shared" si="5"/>
        <v>-2.0436442471009064E-3</v>
      </c>
      <c r="I79" s="5">
        <f t="shared" si="6"/>
        <v>10679118.870283037</v>
      </c>
      <c r="J79" s="5">
        <f t="shared" si="7"/>
        <v>11574037.04309126</v>
      </c>
      <c r="K79" s="5"/>
      <c r="L79" s="5"/>
    </row>
    <row r="80" spans="1:12" x14ac:dyDescent="0.3">
      <c r="A80" s="1">
        <v>44315</v>
      </c>
      <c r="B80" s="5">
        <v>11178973.391223673</v>
      </c>
      <c r="C80" s="5">
        <v>12116856.227181097</v>
      </c>
      <c r="D80" s="5">
        <v>0</v>
      </c>
      <c r="E80" s="5">
        <f t="shared" si="4"/>
        <v>0</v>
      </c>
      <c r="F80" s="5">
        <f t="shared" si="4"/>
        <v>0</v>
      </c>
      <c r="G80" s="9">
        <f t="shared" si="5"/>
        <v>-3.4318624208173887E-4</v>
      </c>
      <c r="H80" s="9">
        <f t="shared" si="5"/>
        <v>1.1402740248416254E-3</v>
      </c>
      <c r="I80" s="5">
        <f t="shared" si="6"/>
        <v>10675453.9436092</v>
      </c>
      <c r="J80" s="5">
        <f t="shared" si="7"/>
        <v>11587234.616894051</v>
      </c>
      <c r="K80" s="5"/>
      <c r="L80" s="5"/>
    </row>
    <row r="81" spans="1:12" x14ac:dyDescent="0.3">
      <c r="A81" s="1">
        <v>44316</v>
      </c>
      <c r="B81" s="5">
        <v>11125529.083169783</v>
      </c>
      <c r="C81" s="5">
        <v>12019271.956501592</v>
      </c>
      <c r="D81" s="5">
        <v>0</v>
      </c>
      <c r="E81" s="5">
        <f t="shared" si="4"/>
        <v>0</v>
      </c>
      <c r="F81" s="5">
        <f t="shared" si="4"/>
        <v>0</v>
      </c>
      <c r="G81" s="9">
        <f t="shared" si="5"/>
        <v>-4.7807885557584751E-3</v>
      </c>
      <c r="H81" s="9">
        <f t="shared" si="5"/>
        <v>-8.0535964816187411E-3</v>
      </c>
      <c r="I81" s="5">
        <f t="shared" si="6"/>
        <v>10624416.855568066</v>
      </c>
      <c r="J81" s="5">
        <f t="shared" si="7"/>
        <v>11493915.704951743</v>
      </c>
      <c r="K81" s="5"/>
      <c r="L81" s="5"/>
    </row>
    <row r="82" spans="1:12" x14ac:dyDescent="0.3">
      <c r="A82" s="1">
        <v>44319</v>
      </c>
      <c r="B82" s="5">
        <v>11221656.618756857</v>
      </c>
      <c r="C82" s="5">
        <v>12023015.393247088</v>
      </c>
      <c r="D82" s="5">
        <v>0</v>
      </c>
      <c r="E82" s="5">
        <f t="shared" si="4"/>
        <v>0</v>
      </c>
      <c r="F82" s="5">
        <f t="shared" si="4"/>
        <v>0</v>
      </c>
      <c r="G82" s="9">
        <f t="shared" si="5"/>
        <v>8.6402664420239805E-3</v>
      </c>
      <c r="H82" s="9">
        <f t="shared" si="5"/>
        <v>3.1145286994460619E-4</v>
      </c>
      <c r="I82" s="5">
        <f t="shared" si="6"/>
        <v>10716214.647991305</v>
      </c>
      <c r="J82" s="5">
        <f t="shared" si="7"/>
        <v>11497495.517984951</v>
      </c>
      <c r="K82" s="5"/>
      <c r="L82" s="5"/>
    </row>
    <row r="83" spans="1:12" x14ac:dyDescent="0.3">
      <c r="A83" s="1">
        <v>44320</v>
      </c>
      <c r="B83" s="5">
        <v>11177464.201182909</v>
      </c>
      <c r="C83" s="5">
        <v>11939479.351090169</v>
      </c>
      <c r="D83" s="5">
        <v>0</v>
      </c>
      <c r="E83" s="5">
        <f t="shared" si="4"/>
        <v>0</v>
      </c>
      <c r="F83" s="5">
        <f t="shared" si="4"/>
        <v>0</v>
      </c>
      <c r="G83" s="9">
        <f t="shared" si="5"/>
        <v>-3.9381366829636111E-3</v>
      </c>
      <c r="H83" s="9">
        <f t="shared" si="5"/>
        <v>-6.9480109127897371E-3</v>
      </c>
      <c r="I83" s="5">
        <f t="shared" si="6"/>
        <v>10674012.729983538</v>
      </c>
      <c r="J83" s="5">
        <f t="shared" si="7"/>
        <v>11417610.793656241</v>
      </c>
      <c r="K83" s="5"/>
      <c r="L83" s="5"/>
    </row>
    <row r="84" spans="1:12" x14ac:dyDescent="0.3">
      <c r="A84" s="1">
        <v>44321</v>
      </c>
      <c r="B84" s="5">
        <v>11361414.097715568</v>
      </c>
      <c r="C84" s="5">
        <v>11949565.349929128</v>
      </c>
      <c r="D84" s="5">
        <v>0</v>
      </c>
      <c r="E84" s="5">
        <f t="shared" si="4"/>
        <v>0</v>
      </c>
      <c r="F84" s="5">
        <f t="shared" si="4"/>
        <v>0</v>
      </c>
      <c r="G84" s="9">
        <f t="shared" si="5"/>
        <v>1.6457211870398281E-2</v>
      </c>
      <c r="H84" s="9">
        <f t="shared" si="5"/>
        <v>8.4476035699476704E-4</v>
      </c>
      <c r="I84" s="5">
        <f t="shared" si="6"/>
        <v>10849677.218988206</v>
      </c>
      <c r="J84" s="5">
        <f t="shared" si="7"/>
        <v>11427255.938626317</v>
      </c>
      <c r="K84" s="5"/>
      <c r="L84" s="5"/>
    </row>
    <row r="85" spans="1:12" x14ac:dyDescent="0.3">
      <c r="A85" s="1">
        <v>44322</v>
      </c>
      <c r="B85" s="5">
        <v>11425915.76899755</v>
      </c>
      <c r="C85" s="5">
        <v>12021278.151115613</v>
      </c>
      <c r="D85" s="5">
        <v>0</v>
      </c>
      <c r="E85" s="5">
        <f t="shared" si="4"/>
        <v>0</v>
      </c>
      <c r="F85" s="5">
        <f t="shared" si="4"/>
        <v>0</v>
      </c>
      <c r="G85" s="9">
        <f t="shared" si="5"/>
        <v>5.677257313854156E-3</v>
      </c>
      <c r="H85" s="9">
        <f t="shared" si="5"/>
        <v>6.0012895102423691E-3</v>
      </c>
      <c r="I85" s="5">
        <f t="shared" si="6"/>
        <v>10911273.628332663</v>
      </c>
      <c r="J85" s="5">
        <f t="shared" si="7"/>
        <v>11495834.209821651</v>
      </c>
      <c r="K85" s="5"/>
      <c r="L85" s="5"/>
    </row>
    <row r="86" spans="1:12" x14ac:dyDescent="0.3">
      <c r="A86" s="1">
        <v>44323</v>
      </c>
      <c r="B86" s="5">
        <v>11464085.314660361</v>
      </c>
      <c r="C86" s="5">
        <v>12051084.524570301</v>
      </c>
      <c r="D86" s="5">
        <v>0</v>
      </c>
      <c r="E86" s="5">
        <f t="shared" si="4"/>
        <v>0</v>
      </c>
      <c r="F86" s="5">
        <f t="shared" si="4"/>
        <v>0</v>
      </c>
      <c r="G86" s="9">
        <f t="shared" si="5"/>
        <v>3.3406115041016982E-3</v>
      </c>
      <c r="H86" s="9">
        <f t="shared" si="5"/>
        <v>2.479467913478306E-3</v>
      </c>
      <c r="I86" s="5">
        <f t="shared" si="6"/>
        <v>10947723.954539873</v>
      </c>
      <c r="J86" s="5">
        <f t="shared" si="7"/>
        <v>11524337.76188357</v>
      </c>
      <c r="K86" s="5"/>
      <c r="L86" s="5"/>
    </row>
    <row r="87" spans="1:12" x14ac:dyDescent="0.3">
      <c r="A87" s="1">
        <v>44326</v>
      </c>
      <c r="B87" s="5">
        <v>11583542.798745643</v>
      </c>
      <c r="C87" s="5">
        <v>11948352.537064232</v>
      </c>
      <c r="D87" s="5">
        <v>0</v>
      </c>
      <c r="E87" s="5">
        <f t="shared" si="4"/>
        <v>0</v>
      </c>
      <c r="F87" s="5">
        <f t="shared" si="4"/>
        <v>0</v>
      </c>
      <c r="G87" s="9">
        <f t="shared" si="5"/>
        <v>1.042014960692228E-2</v>
      </c>
      <c r="H87" s="9">
        <f t="shared" si="5"/>
        <v>-8.5247089003993581E-3</v>
      </c>
      <c r="I87" s="5">
        <f t="shared" si="6"/>
        <v>11061800.876001464</v>
      </c>
      <c r="J87" s="5">
        <f t="shared" si="7"/>
        <v>11426096.137193633</v>
      </c>
      <c r="K87" s="5"/>
      <c r="L87" s="5"/>
    </row>
    <row r="88" spans="1:12" x14ac:dyDescent="0.3">
      <c r="A88" s="1">
        <v>44327</v>
      </c>
      <c r="B88" s="5">
        <v>11608298.607773161</v>
      </c>
      <c r="C88" s="5">
        <v>11841652.517837683</v>
      </c>
      <c r="D88" s="5">
        <v>0</v>
      </c>
      <c r="E88" s="5">
        <f t="shared" si="4"/>
        <v>0</v>
      </c>
      <c r="F88" s="5">
        <f t="shared" si="4"/>
        <v>0</v>
      </c>
      <c r="G88" s="9">
        <f t="shared" si="5"/>
        <v>2.1371534993765984E-3</v>
      </c>
      <c r="H88" s="9">
        <f t="shared" si="5"/>
        <v>-8.9301030326617292E-3</v>
      </c>
      <c r="I88" s="5">
        <f t="shared" si="6"/>
        <v>11085441.642453019</v>
      </c>
      <c r="J88" s="5">
        <f t="shared" si="7"/>
        <v>11324059.921427395</v>
      </c>
      <c r="K88" s="5"/>
      <c r="L88" s="5"/>
    </row>
    <row r="89" spans="1:12" x14ac:dyDescent="0.3">
      <c r="A89" s="1">
        <v>44328</v>
      </c>
      <c r="B89" s="5">
        <v>11622774.795679482</v>
      </c>
      <c r="C89" s="5">
        <v>11611377.910264345</v>
      </c>
      <c r="D89" s="5">
        <v>0</v>
      </c>
      <c r="E89" s="5">
        <f t="shared" si="4"/>
        <v>0</v>
      </c>
      <c r="F89" s="5">
        <f t="shared" si="4"/>
        <v>0</v>
      </c>
      <c r="G89" s="9">
        <f t="shared" si="5"/>
        <v>1.2470550935541613E-3</v>
      </c>
      <c r="H89" s="9">
        <f t="shared" si="5"/>
        <v>-1.9446154768218649E-2</v>
      </c>
      <c r="I89" s="5">
        <f t="shared" si="6"/>
        <v>11099265.798917538</v>
      </c>
      <c r="J89" s="5">
        <f t="shared" si="7"/>
        <v>11103850.499590736</v>
      </c>
      <c r="K89" s="5"/>
      <c r="L89" s="5"/>
    </row>
    <row r="90" spans="1:12" x14ac:dyDescent="0.3">
      <c r="A90" s="1">
        <v>44330</v>
      </c>
      <c r="B90" s="5">
        <v>11457004.620895499</v>
      </c>
      <c r="C90" s="5">
        <v>11882323.486044602</v>
      </c>
      <c r="D90" s="5">
        <v>0</v>
      </c>
      <c r="E90" s="5">
        <f t="shared" si="4"/>
        <v>0</v>
      </c>
      <c r="F90" s="5">
        <f t="shared" si="4"/>
        <v>0</v>
      </c>
      <c r="G90" s="9">
        <f t="shared" si="5"/>
        <v>-1.4262530049674926E-2</v>
      </c>
      <c r="H90" s="9">
        <f t="shared" si="5"/>
        <v>2.3334489487310872E-2</v>
      </c>
      <c r="I90" s="5">
        <f t="shared" si="6"/>
        <v>10940962.186931146</v>
      </c>
      <c r="J90" s="5">
        <f t="shared" si="7"/>
        <v>11362953.182342108</v>
      </c>
      <c r="K90" s="5"/>
      <c r="L90" s="5"/>
    </row>
    <row r="91" spans="1:12" x14ac:dyDescent="0.3">
      <c r="A91" s="1">
        <v>44333</v>
      </c>
      <c r="B91" s="5">
        <v>11601551.232054111</v>
      </c>
      <c r="C91" s="5">
        <v>11863609.671241747</v>
      </c>
      <c r="D91" s="5">
        <v>0</v>
      </c>
      <c r="E91" s="5">
        <f t="shared" si="4"/>
        <v>0</v>
      </c>
      <c r="F91" s="5">
        <f t="shared" si="4"/>
        <v>0</v>
      </c>
      <c r="G91" s="9">
        <f t="shared" si="5"/>
        <v>1.2616439980742022E-2</v>
      </c>
      <c r="H91" s="9">
        <f t="shared" si="5"/>
        <v>-1.5749289122479748E-3</v>
      </c>
      <c r="I91" s="5">
        <f t="shared" si="6"/>
        <v>11078998.179694131</v>
      </c>
      <c r="J91" s="5">
        <f t="shared" si="7"/>
        <v>11345057.338846717</v>
      </c>
      <c r="K91" s="5"/>
      <c r="L91" s="5"/>
    </row>
    <row r="92" spans="1:12" x14ac:dyDescent="0.3">
      <c r="A92" s="1">
        <v>44334</v>
      </c>
      <c r="B92" s="5">
        <v>11756428.387924252</v>
      </c>
      <c r="C92" s="5">
        <v>11722295.635958562</v>
      </c>
      <c r="D92" s="5">
        <v>0</v>
      </c>
      <c r="E92" s="5">
        <f t="shared" si="4"/>
        <v>0</v>
      </c>
      <c r="F92" s="5">
        <f t="shared" si="4"/>
        <v>0</v>
      </c>
      <c r="G92" s="9">
        <f t="shared" si="5"/>
        <v>1.3349693741146362E-2</v>
      </c>
      <c r="H92" s="9">
        <f t="shared" si="5"/>
        <v>-1.1911554678483816E-2</v>
      </c>
      <c r="I92" s="5">
        <f t="shared" si="6"/>
        <v>11226899.412351767</v>
      </c>
      <c r="J92" s="5">
        <f t="shared" si="7"/>
        <v>11209920.068024511</v>
      </c>
      <c r="K92" s="5"/>
      <c r="L92" s="5"/>
    </row>
    <row r="93" spans="1:12" x14ac:dyDescent="0.3">
      <c r="A93" s="1">
        <v>44335</v>
      </c>
      <c r="B93" s="5">
        <v>11833621.606742267</v>
      </c>
      <c r="C93" s="5">
        <v>11715052.448015423</v>
      </c>
      <c r="D93" s="5">
        <v>0</v>
      </c>
      <c r="E93" s="5">
        <f t="shared" si="4"/>
        <v>0</v>
      </c>
      <c r="F93" s="5">
        <f t="shared" si="4"/>
        <v>0</v>
      </c>
      <c r="G93" s="9">
        <f t="shared" si="5"/>
        <v>6.5660433824701325E-3</v>
      </c>
      <c r="H93" s="9">
        <f t="shared" si="5"/>
        <v>-6.1789841922421651E-4</v>
      </c>
      <c r="I93" s="5">
        <f t="shared" si="6"/>
        <v>11300615.720943896</v>
      </c>
      <c r="J93" s="5">
        <f t="shared" si="7"/>
        <v>11202993.476134848</v>
      </c>
      <c r="K93" s="5"/>
      <c r="L93" s="5"/>
    </row>
    <row r="94" spans="1:12" x14ac:dyDescent="0.3">
      <c r="A94" s="1">
        <v>44336</v>
      </c>
      <c r="B94" s="5">
        <v>11826985.337038491</v>
      </c>
      <c r="C94" s="5">
        <v>11812269.505910836</v>
      </c>
      <c r="D94" s="5">
        <v>0</v>
      </c>
      <c r="E94" s="5">
        <f t="shared" si="4"/>
        <v>0</v>
      </c>
      <c r="F94" s="5">
        <f t="shared" si="4"/>
        <v>0</v>
      </c>
      <c r="G94" s="9">
        <f t="shared" si="5"/>
        <v>-5.6079786259133346E-4</v>
      </c>
      <c r="H94" s="9">
        <f t="shared" si="5"/>
        <v>8.298473978397114E-3</v>
      </c>
      <c r="I94" s="5">
        <f t="shared" si="6"/>
        <v>11294278.359801624</v>
      </c>
      <c r="J94" s="5">
        <f t="shared" si="7"/>
        <v>11295961.225976706</v>
      </c>
      <c r="K94" s="5"/>
      <c r="L94" s="5"/>
    </row>
    <row r="95" spans="1:12" x14ac:dyDescent="0.3">
      <c r="A95" s="1">
        <v>44337</v>
      </c>
      <c r="B95" s="5">
        <v>11877649.680001959</v>
      </c>
      <c r="C95" s="5">
        <v>11769539.3761083</v>
      </c>
      <c r="D95" s="5">
        <v>0</v>
      </c>
      <c r="E95" s="5">
        <f t="shared" si="4"/>
        <v>0</v>
      </c>
      <c r="F95" s="5">
        <f t="shared" si="4"/>
        <v>0</v>
      </c>
      <c r="G95" s="9">
        <f t="shared" si="5"/>
        <v>4.2837918133544761E-3</v>
      </c>
      <c r="H95" s="9">
        <f t="shared" si="5"/>
        <v>-3.6174360719719578E-3</v>
      </c>
      <c r="I95" s="5">
        <f t="shared" si="6"/>
        <v>11342660.696977088</v>
      </c>
      <c r="J95" s="5">
        <f t="shared" si="7"/>
        <v>11255098.808370261</v>
      </c>
      <c r="K95" s="5"/>
      <c r="L95" s="5"/>
    </row>
    <row r="96" spans="1:12" x14ac:dyDescent="0.3">
      <c r="A96" s="1">
        <v>44340</v>
      </c>
      <c r="B96" s="5">
        <v>11962914.287887665</v>
      </c>
      <c r="C96" s="5">
        <v>11893893.309018275</v>
      </c>
      <c r="D96" s="5">
        <v>0</v>
      </c>
      <c r="E96" s="5">
        <f t="shared" si="4"/>
        <v>0</v>
      </c>
      <c r="F96" s="5">
        <f t="shared" si="4"/>
        <v>0</v>
      </c>
      <c r="G96" s="9">
        <f t="shared" si="5"/>
        <v>7.1785757437570208E-3</v>
      </c>
      <c r="H96" s="9">
        <f t="shared" si="5"/>
        <v>1.0565743393697202E-2</v>
      </c>
      <c r="I96" s="5">
        <f t="shared" si="6"/>
        <v>11424084.845926074</v>
      </c>
      <c r="J96" s="5">
        <f t="shared" si="7"/>
        <v>11374017.294250207</v>
      </c>
      <c r="K96" s="5"/>
      <c r="L96" s="5"/>
    </row>
    <row r="97" spans="1:12" x14ac:dyDescent="0.3">
      <c r="A97" s="1">
        <v>44341</v>
      </c>
      <c r="B97" s="5">
        <v>11920844.45814712</v>
      </c>
      <c r="C97" s="5">
        <v>11855756.333616579</v>
      </c>
      <c r="D97" s="5">
        <v>0</v>
      </c>
      <c r="E97" s="5">
        <f t="shared" si="4"/>
        <v>0</v>
      </c>
      <c r="F97" s="5">
        <f t="shared" si="4"/>
        <v>0</v>
      </c>
      <c r="G97" s="9">
        <f t="shared" si="5"/>
        <v>-3.516687383035122E-3</v>
      </c>
      <c r="H97" s="9">
        <f t="shared" si="5"/>
        <v>-3.2064332856238664E-3</v>
      </c>
      <c r="I97" s="5">
        <f t="shared" si="6"/>
        <v>11383909.910885684</v>
      </c>
      <c r="J97" s="5">
        <f t="shared" si="7"/>
        <v>11337547.266606662</v>
      </c>
      <c r="K97" s="5"/>
      <c r="L97" s="5"/>
    </row>
    <row r="98" spans="1:12" x14ac:dyDescent="0.3">
      <c r="A98" s="1">
        <v>44342</v>
      </c>
      <c r="B98" s="5">
        <v>11905815.054873096</v>
      </c>
      <c r="C98" s="5">
        <v>11866739.589380588</v>
      </c>
      <c r="D98" s="5">
        <v>0</v>
      </c>
      <c r="E98" s="5">
        <f t="shared" si="4"/>
        <v>0</v>
      </c>
      <c r="F98" s="5">
        <f t="shared" si="4"/>
        <v>0</v>
      </c>
      <c r="G98" s="9">
        <f t="shared" si="5"/>
        <v>-1.2607666618578151E-3</v>
      </c>
      <c r="H98" s="9">
        <f t="shared" si="5"/>
        <v>9.2640700896207129E-4</v>
      </c>
      <c r="I98" s="5">
        <f t="shared" si="6"/>
        <v>11369557.456788447</v>
      </c>
      <c r="J98" s="5">
        <f t="shared" si="7"/>
        <v>11348050.449858885</v>
      </c>
      <c r="K98" s="5"/>
      <c r="L98" s="5"/>
    </row>
    <row r="99" spans="1:12" x14ac:dyDescent="0.3">
      <c r="A99" s="1">
        <v>44343</v>
      </c>
      <c r="B99" s="5">
        <v>11961412.041972853</v>
      </c>
      <c r="C99" s="5">
        <v>11862004.378658071</v>
      </c>
      <c r="D99" s="5">
        <v>0</v>
      </c>
      <c r="E99" s="5">
        <f t="shared" si="4"/>
        <v>0</v>
      </c>
      <c r="F99" s="5">
        <f t="shared" si="4"/>
        <v>0</v>
      </c>
      <c r="G99" s="9">
        <f t="shared" si="5"/>
        <v>4.6697338102024144E-3</v>
      </c>
      <c r="H99" s="9">
        <f t="shared" si="5"/>
        <v>-3.9903215932657332E-4</v>
      </c>
      <c r="I99" s="5">
        <f t="shared" si="6"/>
        <v>11422650.263651451</v>
      </c>
      <c r="J99" s="5">
        <f t="shared" si="7"/>
        <v>11343522.212783732</v>
      </c>
      <c r="K99" s="5"/>
      <c r="L99" s="5"/>
    </row>
    <row r="100" spans="1:12" x14ac:dyDescent="0.3">
      <c r="A100" s="1">
        <v>44344</v>
      </c>
      <c r="B100" s="5">
        <v>11970346.817367543</v>
      </c>
      <c r="C100" s="5">
        <v>11844796.84748742</v>
      </c>
      <c r="D100" s="5">
        <v>0</v>
      </c>
      <c r="E100" s="5">
        <f t="shared" si="4"/>
        <v>0</v>
      </c>
      <c r="F100" s="5">
        <f t="shared" si="4"/>
        <v>0</v>
      </c>
      <c r="G100" s="9">
        <f t="shared" si="5"/>
        <v>7.4696660923789793E-4</v>
      </c>
      <c r="H100" s="9">
        <f t="shared" si="5"/>
        <v>-1.4506427936926691E-3</v>
      </c>
      <c r="I100" s="5">
        <f t="shared" si="6"/>
        <v>11431182.601987401</v>
      </c>
      <c r="J100" s="5">
        <f t="shared" si="7"/>
        <v>11327066.814030664</v>
      </c>
      <c r="K100" s="5"/>
      <c r="L100" s="5"/>
    </row>
    <row r="101" spans="1:12" x14ac:dyDescent="0.3">
      <c r="A101" s="1">
        <v>44347</v>
      </c>
      <c r="B101" s="5">
        <v>12077307.189443517</v>
      </c>
      <c r="C101" s="5">
        <v>11906361.886216825</v>
      </c>
      <c r="D101" s="5">
        <v>0</v>
      </c>
      <c r="E101" s="5">
        <f t="shared" si="4"/>
        <v>0</v>
      </c>
      <c r="F101" s="5">
        <f t="shared" si="4"/>
        <v>0</v>
      </c>
      <c r="G101" s="9">
        <f t="shared" si="5"/>
        <v>8.9354447041407603E-3</v>
      </c>
      <c r="H101" s="9">
        <f t="shared" si="5"/>
        <v>5.1976441235852544E-3</v>
      </c>
      <c r="I101" s="5">
        <f t="shared" si="6"/>
        <v>11533325.302030396</v>
      </c>
      <c r="J101" s="5">
        <f t="shared" si="7"/>
        <v>11385940.876294069</v>
      </c>
      <c r="K101" s="5"/>
      <c r="L101" s="5"/>
    </row>
    <row r="102" spans="1:12" x14ac:dyDescent="0.3">
      <c r="A102" s="1">
        <v>44348</v>
      </c>
      <c r="B102" s="5">
        <v>12064356.39453852</v>
      </c>
      <c r="C102" s="5">
        <v>11906361.886216825</v>
      </c>
      <c r="D102" s="5">
        <v>0</v>
      </c>
      <c r="E102" s="5">
        <f t="shared" si="4"/>
        <v>0</v>
      </c>
      <c r="F102" s="5">
        <f t="shared" si="4"/>
        <v>0</v>
      </c>
      <c r="G102" s="9">
        <f t="shared" si="5"/>
        <v>-1.0723247079711395E-3</v>
      </c>
      <c r="H102" s="9">
        <f t="shared" si="5"/>
        <v>0</v>
      </c>
      <c r="I102" s="5">
        <f t="shared" si="6"/>
        <v>11520957.83234396</v>
      </c>
      <c r="J102" s="5">
        <f t="shared" si="7"/>
        <v>11385940.876294069</v>
      </c>
      <c r="K102" s="5"/>
      <c r="L102" s="5"/>
    </row>
    <row r="103" spans="1:12" x14ac:dyDescent="0.3">
      <c r="A103" s="1">
        <v>44349</v>
      </c>
      <c r="B103" s="5">
        <v>12285818.45947697</v>
      </c>
      <c r="C103" s="5">
        <v>11947768.590129284</v>
      </c>
      <c r="D103" s="5">
        <v>0</v>
      </c>
      <c r="E103" s="5">
        <f t="shared" si="4"/>
        <v>0</v>
      </c>
      <c r="F103" s="5">
        <f t="shared" si="4"/>
        <v>0</v>
      </c>
      <c r="G103" s="9">
        <f t="shared" si="5"/>
        <v>1.8356724361914933E-2</v>
      </c>
      <c r="H103" s="9">
        <f t="shared" si="5"/>
        <v>3.4776957317577128E-3</v>
      </c>
      <c r="I103" s="5">
        <f t="shared" si="6"/>
        <v>11732444.879657542</v>
      </c>
      <c r="J103" s="5">
        <f t="shared" si="7"/>
        <v>11425537.714281602</v>
      </c>
      <c r="K103" s="5"/>
      <c r="L103" s="5"/>
    </row>
    <row r="104" spans="1:12" x14ac:dyDescent="0.3">
      <c r="A104" s="1">
        <v>44350</v>
      </c>
      <c r="B104" s="5">
        <v>12399905.819490833</v>
      </c>
      <c r="C104" s="5">
        <v>11912872.894541524</v>
      </c>
      <c r="D104" s="5">
        <v>0</v>
      </c>
      <c r="E104" s="5">
        <f t="shared" si="4"/>
        <v>0</v>
      </c>
      <c r="F104" s="5">
        <f t="shared" si="4"/>
        <v>0</v>
      </c>
      <c r="G104" s="9">
        <f t="shared" si="5"/>
        <v>9.2861017269760815E-3</v>
      </c>
      <c r="H104" s="9">
        <f t="shared" si="5"/>
        <v>-2.9206872667912886E-3</v>
      </c>
      <c r="I104" s="5">
        <f t="shared" si="6"/>
        <v>11841393.556316182</v>
      </c>
      <c r="J104" s="5">
        <f t="shared" si="7"/>
        <v>11392167.291763255</v>
      </c>
      <c r="K104" s="5"/>
      <c r="L104" s="5"/>
    </row>
    <row r="105" spans="1:12" x14ac:dyDescent="0.3">
      <c r="A105" s="1">
        <v>44351</v>
      </c>
      <c r="B105" s="5">
        <v>12456940.240663156</v>
      </c>
      <c r="C105" s="5">
        <v>11995196.123833548</v>
      </c>
      <c r="D105" s="5">
        <v>0</v>
      </c>
      <c r="E105" s="5">
        <f t="shared" si="4"/>
        <v>0</v>
      </c>
      <c r="F105" s="5">
        <f t="shared" si="4"/>
        <v>0</v>
      </c>
      <c r="G105" s="9">
        <f t="shared" si="5"/>
        <v>4.5995850293212293E-3</v>
      </c>
      <c r="H105" s="9">
        <f t="shared" si="5"/>
        <v>6.9104430157853614E-3</v>
      </c>
      <c r="I105" s="5">
        <f t="shared" si="6"/>
        <v>11895859.052844115</v>
      </c>
      <c r="J105" s="5">
        <f t="shared" si="7"/>
        <v>11470892.214659279</v>
      </c>
      <c r="K105" s="5"/>
      <c r="L105" s="5"/>
    </row>
    <row r="106" spans="1:12" x14ac:dyDescent="0.3">
      <c r="A106" s="1">
        <v>44354</v>
      </c>
      <c r="B106" s="5">
        <v>12467680.488805998</v>
      </c>
      <c r="C106" s="5">
        <v>11974407.987274263</v>
      </c>
      <c r="D106" s="5">
        <v>0</v>
      </c>
      <c r="E106" s="5">
        <f t="shared" si="4"/>
        <v>0</v>
      </c>
      <c r="F106" s="5">
        <f t="shared" si="4"/>
        <v>0</v>
      </c>
      <c r="G106" s="9">
        <f t="shared" si="5"/>
        <v>8.6218990661790507E-4</v>
      </c>
      <c r="H106" s="9">
        <f t="shared" si="5"/>
        <v>-1.7330384884646222E-3</v>
      </c>
      <c r="I106" s="5">
        <f t="shared" si="6"/>
        <v>11906115.542450026</v>
      </c>
      <c r="J106" s="5">
        <f t="shared" si="7"/>
        <v>11451012.716954246</v>
      </c>
      <c r="K106" s="5"/>
      <c r="L106" s="5"/>
    </row>
    <row r="107" spans="1:12" x14ac:dyDescent="0.3">
      <c r="A107" s="1">
        <v>44355</v>
      </c>
      <c r="B107" s="5">
        <v>12515280.157514913</v>
      </c>
      <c r="C107" s="5">
        <v>11998138.692330757</v>
      </c>
      <c r="D107" s="5">
        <v>0</v>
      </c>
      <c r="E107" s="5">
        <f t="shared" si="4"/>
        <v>0</v>
      </c>
      <c r="F107" s="5">
        <f t="shared" si="4"/>
        <v>0</v>
      </c>
      <c r="G107" s="9">
        <f t="shared" si="5"/>
        <v>3.8178447668475446E-3</v>
      </c>
      <c r="H107" s="9">
        <f t="shared" si="5"/>
        <v>1.9817852441401662E-3</v>
      </c>
      <c r="I107" s="5">
        <f t="shared" si="6"/>
        <v>11951571.243367251</v>
      </c>
      <c r="J107" s="5">
        <f t="shared" si="7"/>
        <v>11473706.164987167</v>
      </c>
      <c r="K107" s="5"/>
      <c r="L107" s="5"/>
    </row>
    <row r="108" spans="1:12" x14ac:dyDescent="0.3">
      <c r="A108" s="1">
        <v>44356</v>
      </c>
      <c r="B108" s="5">
        <v>12399426.674799977</v>
      </c>
      <c r="C108" s="5">
        <v>11984933.256451789</v>
      </c>
      <c r="D108" s="5">
        <v>0</v>
      </c>
      <c r="E108" s="5">
        <f t="shared" si="4"/>
        <v>0</v>
      </c>
      <c r="F108" s="5">
        <f t="shared" si="4"/>
        <v>0</v>
      </c>
      <c r="G108" s="9">
        <f t="shared" si="5"/>
        <v>-9.2569627892326034E-3</v>
      </c>
      <c r="H108" s="9">
        <f t="shared" si="5"/>
        <v>-1.1006237065261937E-3</v>
      </c>
      <c r="I108" s="5">
        <f t="shared" si="6"/>
        <v>11840935.993094537</v>
      </c>
      <c r="J108" s="5">
        <f t="shared" si="7"/>
        <v>11461077.931980267</v>
      </c>
      <c r="K108" s="5"/>
      <c r="L108" s="5"/>
    </row>
    <row r="109" spans="1:12" x14ac:dyDescent="0.3">
      <c r="A109" s="1">
        <v>44357</v>
      </c>
      <c r="B109" s="5">
        <v>12550783.158811226</v>
      </c>
      <c r="C109" s="5">
        <v>12061076.567844732</v>
      </c>
      <c r="D109" s="5">
        <v>0</v>
      </c>
      <c r="E109" s="5">
        <f t="shared" si="4"/>
        <v>0</v>
      </c>
      <c r="F109" s="5">
        <f t="shared" si="4"/>
        <v>0</v>
      </c>
      <c r="G109" s="9">
        <f t="shared" si="5"/>
        <v>1.2206732454723923E-2</v>
      </c>
      <c r="H109" s="9">
        <f t="shared" si="5"/>
        <v>6.3532528520300335E-3</v>
      </c>
      <c r="I109" s="5">
        <f t="shared" si="6"/>
        <v>11985475.130775753</v>
      </c>
      <c r="J109" s="5">
        <f t="shared" si="7"/>
        <v>11533893.058038959</v>
      </c>
      <c r="K109" s="5"/>
      <c r="L109" s="5"/>
    </row>
    <row r="110" spans="1:12" x14ac:dyDescent="0.3">
      <c r="A110" s="1">
        <v>44358</v>
      </c>
      <c r="B110" s="5">
        <v>12578691.60102205</v>
      </c>
      <c r="C110" s="5">
        <v>12107999.885830166</v>
      </c>
      <c r="D110" s="5">
        <v>0</v>
      </c>
      <c r="E110" s="5">
        <f t="shared" si="4"/>
        <v>0</v>
      </c>
      <c r="F110" s="5">
        <f t="shared" si="4"/>
        <v>0</v>
      </c>
      <c r="G110" s="9">
        <f t="shared" si="5"/>
        <v>2.2236414937366611E-3</v>
      </c>
      <c r="H110" s="9">
        <f t="shared" si="5"/>
        <v>3.8904750932875487E-3</v>
      </c>
      <c r="I110" s="5">
        <f t="shared" si="6"/>
        <v>12012126.530598694</v>
      </c>
      <c r="J110" s="5">
        <f t="shared" si="7"/>
        <v>11578765.381709902</v>
      </c>
      <c r="K110" s="5"/>
      <c r="L110" s="5"/>
    </row>
    <row r="111" spans="1:12" x14ac:dyDescent="0.3">
      <c r="A111" s="1">
        <v>44361</v>
      </c>
      <c r="B111" s="5">
        <v>12523346.9171653</v>
      </c>
      <c r="C111" s="5">
        <v>12119736.283410279</v>
      </c>
      <c r="D111" s="5">
        <v>0</v>
      </c>
      <c r="E111" s="5">
        <f t="shared" si="4"/>
        <v>0</v>
      </c>
      <c r="F111" s="5">
        <f t="shared" si="4"/>
        <v>0</v>
      </c>
      <c r="G111" s="9">
        <f t="shared" si="5"/>
        <v>-4.3998760453156649E-3</v>
      </c>
      <c r="H111" s="9">
        <f t="shared" si="5"/>
        <v>9.6930935668804175E-4</v>
      </c>
      <c r="I111" s="5">
        <f t="shared" si="6"/>
        <v>11959274.662823413</v>
      </c>
      <c r="J111" s="5">
        <f t="shared" si="7"/>
        <v>11589988.787333289</v>
      </c>
      <c r="K111" s="5"/>
      <c r="L111" s="5"/>
    </row>
    <row r="112" spans="1:12" x14ac:dyDescent="0.3">
      <c r="A112" s="1">
        <v>44362</v>
      </c>
      <c r="B112" s="5">
        <v>12563933.018660251</v>
      </c>
      <c r="C112" s="5">
        <v>12127200.884566253</v>
      </c>
      <c r="D112" s="5">
        <v>0</v>
      </c>
      <c r="E112" s="5">
        <f t="shared" si="4"/>
        <v>0</v>
      </c>
      <c r="F112" s="5">
        <f t="shared" si="4"/>
        <v>0</v>
      </c>
      <c r="G112" s="9">
        <f t="shared" si="5"/>
        <v>3.2408350390198404E-3</v>
      </c>
      <c r="H112" s="9">
        <f t="shared" si="5"/>
        <v>6.159045858276091E-4</v>
      </c>
      <c r="I112" s="5">
        <f t="shared" si="6"/>
        <v>11998032.699191952</v>
      </c>
      <c r="J112" s="5">
        <f t="shared" si="7"/>
        <v>11597127.114577098</v>
      </c>
      <c r="K112" s="5"/>
      <c r="L112" s="5"/>
    </row>
    <row r="113" spans="1:12" x14ac:dyDescent="0.3">
      <c r="A113" s="1">
        <v>44363</v>
      </c>
      <c r="B113" s="5">
        <v>12447750.847316803</v>
      </c>
      <c r="C113" s="5">
        <v>12055413.405550588</v>
      </c>
      <c r="D113" s="5">
        <v>0</v>
      </c>
      <c r="E113" s="5">
        <f t="shared" si="4"/>
        <v>0</v>
      </c>
      <c r="F113" s="5">
        <f t="shared" si="4"/>
        <v>0</v>
      </c>
      <c r="G113" s="9">
        <f t="shared" si="5"/>
        <v>-9.2472771998139969E-3</v>
      </c>
      <c r="H113" s="9">
        <f t="shared" si="5"/>
        <v>-5.9195423328911589E-3</v>
      </c>
      <c r="I113" s="5">
        <f t="shared" si="6"/>
        <v>11887083.564970091</v>
      </c>
      <c r="J113" s="5">
        <f t="shared" si="7"/>
        <v>11528477.429682439</v>
      </c>
      <c r="K113" s="5"/>
      <c r="L113" s="5"/>
    </row>
    <row r="114" spans="1:12" x14ac:dyDescent="0.3">
      <c r="A114" s="1">
        <v>44364</v>
      </c>
      <c r="B114" s="5">
        <v>12333057.033636255</v>
      </c>
      <c r="C114" s="5">
        <v>12190194.160174055</v>
      </c>
      <c r="D114" s="5">
        <v>0</v>
      </c>
      <c r="E114" s="5">
        <f t="shared" si="4"/>
        <v>0</v>
      </c>
      <c r="F114" s="5">
        <f t="shared" si="4"/>
        <v>0</v>
      </c>
      <c r="G114" s="9">
        <f t="shared" si="5"/>
        <v>-9.2140190695791935E-3</v>
      </c>
      <c r="H114" s="9">
        <f t="shared" si="5"/>
        <v>1.1180102256917346E-2</v>
      </c>
      <c r="I114" s="5">
        <f t="shared" si="6"/>
        <v>11777555.750320775</v>
      </c>
      <c r="J114" s="5">
        <f t="shared" si="7"/>
        <v>11657366.986212853</v>
      </c>
      <c r="K114" s="5"/>
      <c r="L114" s="5"/>
    </row>
    <row r="115" spans="1:12" x14ac:dyDescent="0.3">
      <c r="A115" s="1">
        <v>44365</v>
      </c>
      <c r="B115" s="5">
        <v>12267698.920153229</v>
      </c>
      <c r="C115" s="5">
        <v>12027579.911788626</v>
      </c>
      <c r="D115" s="5">
        <v>0</v>
      </c>
      <c r="E115" s="5">
        <f t="shared" si="4"/>
        <v>0</v>
      </c>
      <c r="F115" s="5">
        <f t="shared" si="4"/>
        <v>0</v>
      </c>
      <c r="G115" s="9">
        <f t="shared" si="5"/>
        <v>-5.2994252199413117E-3</v>
      </c>
      <c r="H115" s="9">
        <f t="shared" si="5"/>
        <v>-1.3339758682162528E-2</v>
      </c>
      <c r="I115" s="5">
        <f t="shared" si="6"/>
        <v>11715141.47434826</v>
      </c>
      <c r="J115" s="5">
        <f t="shared" si="7"/>
        <v>11501860.523747366</v>
      </c>
      <c r="K115" s="5"/>
      <c r="L115" s="5"/>
    </row>
    <row r="116" spans="1:12" x14ac:dyDescent="0.3">
      <c r="A116" s="1">
        <v>44368</v>
      </c>
      <c r="B116" s="5">
        <v>12375258.801769933</v>
      </c>
      <c r="C116" s="5">
        <v>12203116.980709504</v>
      </c>
      <c r="D116" s="5">
        <v>0</v>
      </c>
      <c r="E116" s="5">
        <f t="shared" si="4"/>
        <v>0</v>
      </c>
      <c r="F116" s="5">
        <f t="shared" si="4"/>
        <v>0</v>
      </c>
      <c r="G116" s="9">
        <f t="shared" si="5"/>
        <v>8.7677307958713424E-3</v>
      </c>
      <c r="H116" s="9">
        <f t="shared" si="5"/>
        <v>1.4594546052346669E-2</v>
      </c>
      <c r="I116" s="5">
        <f t="shared" si="6"/>
        <v>11817856.681030894</v>
      </c>
      <c r="J116" s="5">
        <f t="shared" si="7"/>
        <v>11669724.956848865</v>
      </c>
      <c r="K116" s="5"/>
      <c r="L116" s="5"/>
    </row>
    <row r="117" spans="1:12" x14ac:dyDescent="0.3">
      <c r="A117" s="1">
        <v>44369</v>
      </c>
      <c r="B117" s="5">
        <v>12436128.695177753</v>
      </c>
      <c r="C117" s="5">
        <v>12297065.807393985</v>
      </c>
      <c r="D117" s="5">
        <v>0</v>
      </c>
      <c r="E117" s="5">
        <f t="shared" si="4"/>
        <v>0</v>
      </c>
      <c r="F117" s="5">
        <f t="shared" si="4"/>
        <v>0</v>
      </c>
      <c r="G117" s="9">
        <f t="shared" si="5"/>
        <v>4.9186763996493799E-3</v>
      </c>
      <c r="H117" s="9">
        <f t="shared" si="5"/>
        <v>7.6987565417092618E-3</v>
      </c>
      <c r="I117" s="5">
        <f t="shared" si="6"/>
        <v>11875984.89378232</v>
      </c>
      <c r="J117" s="5">
        <f t="shared" si="7"/>
        <v>11759567.328200353</v>
      </c>
      <c r="K117" s="5"/>
      <c r="L117" s="5"/>
    </row>
    <row r="118" spans="1:12" x14ac:dyDescent="0.3">
      <c r="A118" s="1">
        <v>44370</v>
      </c>
      <c r="B118" s="5">
        <v>12335570.807231756</v>
      </c>
      <c r="C118" s="5">
        <v>12244131.766390624</v>
      </c>
      <c r="D118" s="5">
        <v>0</v>
      </c>
      <c r="E118" s="5">
        <f t="shared" si="4"/>
        <v>0</v>
      </c>
      <c r="F118" s="5">
        <f t="shared" si="4"/>
        <v>0</v>
      </c>
      <c r="G118" s="9">
        <f t="shared" si="5"/>
        <v>-8.0859478388148887E-3</v>
      </c>
      <c r="H118" s="9">
        <f t="shared" si="5"/>
        <v>-4.3046074431457582E-3</v>
      </c>
      <c r="I118" s="5">
        <f t="shared" si="6"/>
        <v>11779956.299396642</v>
      </c>
      <c r="J118" s="5">
        <f t="shared" si="7"/>
        <v>11708947.007151209</v>
      </c>
      <c r="K118" s="5"/>
      <c r="L118" s="5"/>
    </row>
    <row r="119" spans="1:12" x14ac:dyDescent="0.3">
      <c r="A119" s="1">
        <v>44371</v>
      </c>
      <c r="B119" s="5">
        <v>12276629.066130616</v>
      </c>
      <c r="C119" s="5">
        <v>12318009.288810967</v>
      </c>
      <c r="D119" s="5">
        <v>0</v>
      </c>
      <c r="E119" s="5">
        <f t="shared" si="4"/>
        <v>0</v>
      </c>
      <c r="F119" s="5">
        <f t="shared" si="4"/>
        <v>0</v>
      </c>
      <c r="G119" s="9">
        <f t="shared" si="5"/>
        <v>-4.7781932447410469E-3</v>
      </c>
      <c r="H119" s="9">
        <f t="shared" si="5"/>
        <v>6.0337085413546543E-3</v>
      </c>
      <c r="I119" s="5">
        <f t="shared" si="6"/>
        <v>11723669.391783521</v>
      </c>
      <c r="J119" s="5">
        <f t="shared" si="7"/>
        <v>11779595.380718525</v>
      </c>
      <c r="K119" s="5"/>
      <c r="L119" s="5"/>
    </row>
    <row r="120" spans="1:12" x14ac:dyDescent="0.3">
      <c r="A120" s="1">
        <v>44372</v>
      </c>
      <c r="B120" s="5">
        <v>12360690.025517553</v>
      </c>
      <c r="C120" s="5">
        <v>12359263.268140443</v>
      </c>
      <c r="D120" s="5">
        <v>0</v>
      </c>
      <c r="E120" s="5">
        <f t="shared" si="4"/>
        <v>0</v>
      </c>
      <c r="F120" s="5">
        <f t="shared" si="4"/>
        <v>0</v>
      </c>
      <c r="G120" s="9">
        <f t="shared" si="5"/>
        <v>6.8472346060246547E-3</v>
      </c>
      <c r="H120" s="9">
        <f t="shared" si="5"/>
        <v>3.3490784397238738E-3</v>
      </c>
      <c r="I120" s="5">
        <f t="shared" si="6"/>
        <v>11803944.106552532</v>
      </c>
      <c r="J120" s="5">
        <f t="shared" si="7"/>
        <v>11819046.169636762</v>
      </c>
      <c r="K120" s="5"/>
      <c r="L120" s="5"/>
    </row>
    <row r="121" spans="1:12" x14ac:dyDescent="0.3">
      <c r="A121" s="1">
        <v>44375</v>
      </c>
      <c r="B121" s="5">
        <v>12409014.198034383</v>
      </c>
      <c r="C121" s="5">
        <v>12412925.371187702</v>
      </c>
      <c r="D121" s="5">
        <v>0</v>
      </c>
      <c r="E121" s="5">
        <f t="shared" si="4"/>
        <v>0</v>
      </c>
      <c r="F121" s="5">
        <f t="shared" si="4"/>
        <v>0</v>
      </c>
      <c r="G121" s="9">
        <f t="shared" si="5"/>
        <v>3.9095044384309663E-3</v>
      </c>
      <c r="H121" s="9">
        <f t="shared" si="5"/>
        <v>4.3418528987555494E-3</v>
      </c>
      <c r="I121" s="5">
        <f t="shared" si="6"/>
        <v>11850091.678428089</v>
      </c>
      <c r="J121" s="5">
        <f t="shared" si="7"/>
        <v>11870362.729508925</v>
      </c>
      <c r="K121" s="5"/>
      <c r="L121" s="5"/>
    </row>
    <row r="122" spans="1:12" x14ac:dyDescent="0.3">
      <c r="A122" s="1">
        <v>44376</v>
      </c>
      <c r="B122" s="5">
        <v>12386614.762414066</v>
      </c>
      <c r="C122" s="5">
        <v>12417471.922131235</v>
      </c>
      <c r="D122" s="5">
        <v>0</v>
      </c>
      <c r="E122" s="5">
        <f t="shared" si="4"/>
        <v>0</v>
      </c>
      <c r="F122" s="5">
        <f t="shared" si="4"/>
        <v>0</v>
      </c>
      <c r="G122" s="9">
        <f t="shared" si="5"/>
        <v>-1.805093882789266E-3</v>
      </c>
      <c r="H122" s="9">
        <f t="shared" si="5"/>
        <v>3.6627554001777973E-4</v>
      </c>
      <c r="I122" s="5">
        <f t="shared" si="6"/>
        <v>11828701.150428867</v>
      </c>
      <c r="J122" s="5">
        <f t="shared" si="7"/>
        <v>11874710.553027883</v>
      </c>
      <c r="K122" s="5"/>
      <c r="L122" s="5"/>
    </row>
    <row r="123" spans="1:12" x14ac:dyDescent="0.3">
      <c r="A123" s="1">
        <v>44377</v>
      </c>
      <c r="B123" s="5">
        <v>12333797.740404727</v>
      </c>
      <c r="C123" s="5">
        <v>12441005.170772225</v>
      </c>
      <c r="D123" s="5">
        <v>0</v>
      </c>
      <c r="E123" s="5">
        <f t="shared" si="4"/>
        <v>0</v>
      </c>
      <c r="F123" s="5">
        <f t="shared" si="4"/>
        <v>0</v>
      </c>
      <c r="G123" s="9">
        <f t="shared" si="5"/>
        <v>-4.2640400967023373E-3</v>
      </c>
      <c r="H123" s="9">
        <f t="shared" si="5"/>
        <v>1.8951722853544073E-3</v>
      </c>
      <c r="I123" s="5">
        <f t="shared" si="6"/>
        <v>11778263.094431529</v>
      </c>
      <c r="J123" s="5">
        <f t="shared" si="7"/>
        <v>11897215.175364587</v>
      </c>
      <c r="K123" s="5"/>
      <c r="L123" s="5"/>
    </row>
    <row r="124" spans="1:12" x14ac:dyDescent="0.3">
      <c r="A124" s="1">
        <v>44378</v>
      </c>
      <c r="B124" s="5">
        <v>12879737.763010537</v>
      </c>
      <c r="C124" s="5">
        <v>13045507.715331065</v>
      </c>
      <c r="D124" s="5">
        <v>500000</v>
      </c>
      <c r="E124" s="5">
        <f t="shared" si="4"/>
        <v>-500000</v>
      </c>
      <c r="F124" s="5">
        <f t="shared" si="4"/>
        <v>-500000</v>
      </c>
      <c r="G124" s="9">
        <f t="shared" si="5"/>
        <v>3.7247264445818828E-3</v>
      </c>
      <c r="H124" s="9">
        <f t="shared" si="5"/>
        <v>8.3998473695958698E-3</v>
      </c>
      <c r="I124" s="5">
        <f t="shared" si="6"/>
        <v>11822133.902450601</v>
      </c>
      <c r="J124" s="5">
        <f t="shared" si="7"/>
        <v>11997149.96696089</v>
      </c>
      <c r="K124" s="5"/>
      <c r="L124" s="5"/>
    </row>
    <row r="125" spans="1:12" x14ac:dyDescent="0.3">
      <c r="A125" s="1">
        <v>44379</v>
      </c>
      <c r="B125" s="5">
        <v>12843600.367207965</v>
      </c>
      <c r="C125" s="5">
        <v>13136209.269118875</v>
      </c>
      <c r="D125" s="5">
        <v>0</v>
      </c>
      <c r="E125" s="5">
        <f t="shared" si="4"/>
        <v>0</v>
      </c>
      <c r="F125" s="5">
        <f t="shared" si="4"/>
        <v>0</v>
      </c>
      <c r="G125" s="9">
        <f t="shared" si="5"/>
        <v>-2.8057555571011639E-3</v>
      </c>
      <c r="H125" s="9">
        <f t="shared" si="5"/>
        <v>6.9527040086925229E-3</v>
      </c>
      <c r="I125" s="5">
        <f t="shared" si="6"/>
        <v>11788963.884557005</v>
      </c>
      <c r="J125" s="5">
        <f t="shared" si="7"/>
        <v>12080562.599629065</v>
      </c>
      <c r="K125" s="5"/>
      <c r="L125" s="5"/>
    </row>
    <row r="126" spans="1:12" x14ac:dyDescent="0.3">
      <c r="A126" s="1">
        <v>44382</v>
      </c>
      <c r="B126" s="5">
        <v>12924323.111930225</v>
      </c>
      <c r="C126" s="5">
        <v>13122568.614879154</v>
      </c>
      <c r="D126" s="5">
        <v>0</v>
      </c>
      <c r="E126" s="5">
        <f t="shared" si="4"/>
        <v>0</v>
      </c>
      <c r="F126" s="5">
        <f t="shared" si="4"/>
        <v>0</v>
      </c>
      <c r="G126" s="9">
        <f t="shared" si="5"/>
        <v>6.2850557798699302E-3</v>
      </c>
      <c r="H126" s="9">
        <f t="shared" si="5"/>
        <v>-1.0384011064583643E-3</v>
      </c>
      <c r="I126" s="5">
        <f t="shared" si="6"/>
        <v>11863058.180158317</v>
      </c>
      <c r="J126" s="5">
        <f t="shared" si="7"/>
        <v>12068018.13005897</v>
      </c>
      <c r="K126" s="5"/>
      <c r="L126" s="5"/>
    </row>
    <row r="127" spans="1:12" x14ac:dyDescent="0.3">
      <c r="A127" s="1">
        <v>44383</v>
      </c>
      <c r="B127" s="5">
        <v>12927718.668912876</v>
      </c>
      <c r="C127" s="5">
        <v>13122568.614879154</v>
      </c>
      <c r="D127" s="5">
        <v>0</v>
      </c>
      <c r="E127" s="5">
        <f t="shared" si="4"/>
        <v>0</v>
      </c>
      <c r="F127" s="5">
        <f t="shared" si="4"/>
        <v>0</v>
      </c>
      <c r="G127" s="9">
        <f t="shared" si="5"/>
        <v>2.6272609816735404E-4</v>
      </c>
      <c r="H127" s="9">
        <f t="shared" si="5"/>
        <v>0</v>
      </c>
      <c r="I127" s="5">
        <f t="shared" si="6"/>
        <v>11866174.915146323</v>
      </c>
      <c r="J127" s="5">
        <f t="shared" si="7"/>
        <v>12068018.13005897</v>
      </c>
      <c r="K127" s="5"/>
      <c r="L127" s="5"/>
    </row>
    <row r="128" spans="1:12" x14ac:dyDescent="0.3">
      <c r="A128" s="1">
        <v>44384</v>
      </c>
      <c r="B128" s="5">
        <v>12982261.910118559</v>
      </c>
      <c r="C128" s="5">
        <v>13207269.97790377</v>
      </c>
      <c r="D128" s="5">
        <v>0</v>
      </c>
      <c r="E128" s="5">
        <f t="shared" si="4"/>
        <v>0</v>
      </c>
      <c r="F128" s="5">
        <f t="shared" si="4"/>
        <v>0</v>
      </c>
      <c r="G128" s="9">
        <f t="shared" si="5"/>
        <v>4.2190925253380307E-3</v>
      </c>
      <c r="H128" s="9">
        <f t="shared" si="5"/>
        <v>6.4546328931804897E-3</v>
      </c>
      <c r="I128" s="5">
        <f t="shared" si="6"/>
        <v>11916239.40503517</v>
      </c>
      <c r="J128" s="5">
        <f t="shared" si="7"/>
        <v>12145912.756836748</v>
      </c>
      <c r="K128" s="5"/>
      <c r="L128" s="5"/>
    </row>
    <row r="129" spans="1:12" x14ac:dyDescent="0.3">
      <c r="A129" s="1">
        <v>44385</v>
      </c>
      <c r="B129" s="5">
        <v>12957021.603214202</v>
      </c>
      <c r="C129" s="5">
        <v>13088038.032784808</v>
      </c>
      <c r="D129" s="5">
        <v>0</v>
      </c>
      <c r="E129" s="5">
        <f t="shared" si="4"/>
        <v>0</v>
      </c>
      <c r="F129" s="5">
        <f t="shared" si="4"/>
        <v>0</v>
      </c>
      <c r="G129" s="9">
        <f t="shared" si="5"/>
        <v>-1.9442148894472933E-3</v>
      </c>
      <c r="H129" s="9">
        <f t="shared" si="5"/>
        <v>-9.0277510279143103E-3</v>
      </c>
      <c r="I129" s="5">
        <f t="shared" si="6"/>
        <v>11893071.674957681</v>
      </c>
      <c r="J129" s="5">
        <f t="shared" si="7"/>
        <v>12036262.480461257</v>
      </c>
      <c r="K129" s="5"/>
      <c r="L129" s="5"/>
    </row>
    <row r="130" spans="1:12" x14ac:dyDescent="0.3">
      <c r="A130" s="1">
        <v>44386</v>
      </c>
      <c r="B130" s="5">
        <v>12978497.899080345</v>
      </c>
      <c r="C130" s="5">
        <v>13195116.039760061</v>
      </c>
      <c r="D130" s="5">
        <v>0</v>
      </c>
      <c r="E130" s="5">
        <f t="shared" si="4"/>
        <v>0</v>
      </c>
      <c r="F130" s="5">
        <f t="shared" si="4"/>
        <v>0</v>
      </c>
      <c r="G130" s="9">
        <f t="shared" si="5"/>
        <v>1.6575025128318099E-3</v>
      </c>
      <c r="H130" s="9">
        <f t="shared" si="5"/>
        <v>8.18136428905758E-3</v>
      </c>
      <c r="I130" s="5">
        <f t="shared" si="6"/>
        <v>11912784.471144212</v>
      </c>
      <c r="J130" s="5">
        <f t="shared" si="7"/>
        <v>12134735.528492626</v>
      </c>
      <c r="K130" s="5"/>
      <c r="L130" s="5"/>
    </row>
    <row r="131" spans="1:12" x14ac:dyDescent="0.3">
      <c r="A131" s="1">
        <v>44389</v>
      </c>
      <c r="B131" s="5">
        <v>12989464.825675368</v>
      </c>
      <c r="C131" s="5">
        <v>13245962.742277117</v>
      </c>
      <c r="D131" s="5">
        <v>0</v>
      </c>
      <c r="E131" s="5">
        <f t="shared" ref="E131:F194" si="8">$D131*-1</f>
        <v>0</v>
      </c>
      <c r="F131" s="5">
        <f t="shared" si="8"/>
        <v>0</v>
      </c>
      <c r="G131" s="9">
        <f t="shared" si="5"/>
        <v>8.450073868564445E-4</v>
      </c>
      <c r="H131" s="9">
        <f t="shared" si="5"/>
        <v>3.8534486823642577E-3</v>
      </c>
      <c r="I131" s="5">
        <f t="shared" si="6"/>
        <v>11922850.862020358</v>
      </c>
      <c r="J131" s="5">
        <f t="shared" si="7"/>
        <v>12181496.109125735</v>
      </c>
      <c r="K131" s="5"/>
      <c r="L131" s="5"/>
    </row>
    <row r="132" spans="1:12" x14ac:dyDescent="0.3">
      <c r="A132" s="1">
        <v>44390</v>
      </c>
      <c r="B132" s="5">
        <v>12964159.497467089</v>
      </c>
      <c r="C132" s="5">
        <v>13190574.539550554</v>
      </c>
      <c r="D132" s="5">
        <v>0</v>
      </c>
      <c r="E132" s="5">
        <f t="shared" si="8"/>
        <v>0</v>
      </c>
      <c r="F132" s="5">
        <f t="shared" si="8"/>
        <v>0</v>
      </c>
      <c r="G132" s="9">
        <f t="shared" ref="G132:H195" si="9">((B132-$D132)/B131-1)</f>
        <v>-1.9481424791466528E-3</v>
      </c>
      <c r="H132" s="9">
        <f t="shared" si="9"/>
        <v>-4.1815158176295997E-3</v>
      </c>
      <c r="I132" s="5">
        <f t="shared" ref="I132:I195" si="10">I131*(1+G132)</f>
        <v>11899623.449783526</v>
      </c>
      <c r="J132" s="5">
        <f t="shared" ref="J132:J195" si="11">J131*(1+H132)</f>
        <v>12130558.990463033</v>
      </c>
      <c r="K132" s="5"/>
      <c r="L132" s="5"/>
    </row>
    <row r="133" spans="1:12" x14ac:dyDescent="0.3">
      <c r="A133" s="1">
        <v>44391</v>
      </c>
      <c r="B133" s="5">
        <v>12964332.887610883</v>
      </c>
      <c r="C133" s="5">
        <v>13212858.738135878</v>
      </c>
      <c r="D133" s="5">
        <v>0</v>
      </c>
      <c r="E133" s="5">
        <f t="shared" si="8"/>
        <v>0</v>
      </c>
      <c r="F133" s="5">
        <f t="shared" si="8"/>
        <v>0</v>
      </c>
      <c r="G133" s="9">
        <f t="shared" si="9"/>
        <v>1.3374576564473273E-5</v>
      </c>
      <c r="H133" s="9">
        <f t="shared" si="9"/>
        <v>1.6894031809233656E-3</v>
      </c>
      <c r="I133" s="5">
        <f t="shared" si="10"/>
        <v>11899782.602208443</v>
      </c>
      <c r="J133" s="5">
        <f t="shared" si="11"/>
        <v>12151052.3954079</v>
      </c>
      <c r="K133" s="5"/>
      <c r="L133" s="5"/>
    </row>
    <row r="134" spans="1:12" x14ac:dyDescent="0.3">
      <c r="A134" s="1">
        <v>44392</v>
      </c>
      <c r="B134" s="5">
        <v>13006970.00560932</v>
      </c>
      <c r="C134" s="5">
        <v>13171800.540141517</v>
      </c>
      <c r="D134" s="5">
        <v>0</v>
      </c>
      <c r="E134" s="5">
        <f t="shared" si="8"/>
        <v>0</v>
      </c>
      <c r="F134" s="5">
        <f t="shared" si="8"/>
        <v>0</v>
      </c>
      <c r="G134" s="9">
        <f t="shared" si="9"/>
        <v>3.288801542513875E-3</v>
      </c>
      <c r="H134" s="9">
        <f t="shared" si="9"/>
        <v>-3.107442439829855E-3</v>
      </c>
      <c r="I134" s="5">
        <f t="shared" si="10"/>
        <v>11938918.625586165</v>
      </c>
      <c r="J134" s="5">
        <f t="shared" si="11"/>
        <v>12113293.699505813</v>
      </c>
      <c r="K134" s="5"/>
      <c r="L134" s="5"/>
    </row>
    <row r="135" spans="1:12" x14ac:dyDescent="0.3">
      <c r="A135" s="1">
        <v>44393</v>
      </c>
      <c r="B135" s="5">
        <v>13069096.657409586</v>
      </c>
      <c r="C135" s="5">
        <v>13083021.655330339</v>
      </c>
      <c r="D135" s="5">
        <v>0</v>
      </c>
      <c r="E135" s="5">
        <f t="shared" si="8"/>
        <v>0</v>
      </c>
      <c r="F135" s="5">
        <f t="shared" si="8"/>
        <v>0</v>
      </c>
      <c r="G135" s="9">
        <f t="shared" si="9"/>
        <v>4.7764123215070509E-3</v>
      </c>
      <c r="H135" s="9">
        <f t="shared" si="9"/>
        <v>-6.7400720608106202E-3</v>
      </c>
      <c r="I135" s="5">
        <f t="shared" si="10"/>
        <v>11995943.823614884</v>
      </c>
      <c r="J135" s="5">
        <f t="shared" si="11"/>
        <v>12031649.227077382</v>
      </c>
      <c r="K135" s="5"/>
      <c r="L135" s="5"/>
    </row>
    <row r="136" spans="1:12" x14ac:dyDescent="0.3">
      <c r="A136" s="1">
        <v>44396</v>
      </c>
      <c r="B136" s="5">
        <v>12985903.103138248</v>
      </c>
      <c r="C136" s="5">
        <v>12917054.004434211</v>
      </c>
      <c r="D136" s="5">
        <v>0</v>
      </c>
      <c r="E136" s="5">
        <f t="shared" si="8"/>
        <v>0</v>
      </c>
      <c r="F136" s="5">
        <f t="shared" si="8"/>
        <v>0</v>
      </c>
      <c r="G136" s="9">
        <f t="shared" si="9"/>
        <v>-6.3656698280039059E-3</v>
      </c>
      <c r="H136" s="9">
        <f t="shared" si="9"/>
        <v>-1.2685727752235976E-2</v>
      </c>
      <c r="I136" s="5">
        <f t="shared" si="10"/>
        <v>11919581.605958469</v>
      </c>
      <c r="J136" s="5">
        <f t="shared" si="11"/>
        <v>11879019.000572277</v>
      </c>
      <c r="K136" s="5"/>
      <c r="L136" s="5"/>
    </row>
    <row r="137" spans="1:12" x14ac:dyDescent="0.3">
      <c r="A137" s="1">
        <v>44397</v>
      </c>
      <c r="B137" s="5">
        <v>12899665.588564735</v>
      </c>
      <c r="C137" s="5">
        <v>13069478.895866938</v>
      </c>
      <c r="D137" s="5">
        <v>0</v>
      </c>
      <c r="E137" s="5">
        <f t="shared" si="8"/>
        <v>0</v>
      </c>
      <c r="F137" s="5">
        <f t="shared" si="8"/>
        <v>0</v>
      </c>
      <c r="G137" s="9">
        <f t="shared" si="9"/>
        <v>-6.6408561567560254E-3</v>
      </c>
      <c r="H137" s="9">
        <f t="shared" si="9"/>
        <v>1.1800282895805925E-2</v>
      </c>
      <c r="I137" s="5">
        <f t="shared" si="10"/>
        <v>11840425.379064584</v>
      </c>
      <c r="J137" s="5">
        <f t="shared" si="11"/>
        <v>12019194.785303684</v>
      </c>
      <c r="K137" s="5"/>
      <c r="L137" s="5"/>
    </row>
    <row r="138" spans="1:12" x14ac:dyDescent="0.3">
      <c r="A138" s="1">
        <v>44399</v>
      </c>
      <c r="B138" s="5">
        <v>13127639.91290476</v>
      </c>
      <c r="C138" s="5">
        <v>13179983.99850061</v>
      </c>
      <c r="D138" s="5">
        <v>0</v>
      </c>
      <c r="E138" s="5">
        <f t="shared" si="8"/>
        <v>0</v>
      </c>
      <c r="F138" s="5">
        <f t="shared" si="8"/>
        <v>0</v>
      </c>
      <c r="G138" s="9">
        <f t="shared" si="9"/>
        <v>1.7672886384133779E-2</v>
      </c>
      <c r="H138" s="9">
        <f t="shared" si="9"/>
        <v>8.4552034181422098E-3</v>
      </c>
      <c r="I138" s="5">
        <f t="shared" si="10"/>
        <v>12049679.871528607</v>
      </c>
      <c r="J138" s="5">
        <f t="shared" si="11"/>
        <v>12120819.522135701</v>
      </c>
      <c r="K138" s="5"/>
      <c r="L138" s="5"/>
    </row>
    <row r="139" spans="1:12" x14ac:dyDescent="0.3">
      <c r="A139" s="1">
        <v>44400</v>
      </c>
      <c r="B139" s="5">
        <v>13111837.327855013</v>
      </c>
      <c r="C139" s="5">
        <v>13310729.770591695</v>
      </c>
      <c r="D139" s="5">
        <v>0</v>
      </c>
      <c r="E139" s="5">
        <f t="shared" si="8"/>
        <v>0</v>
      </c>
      <c r="F139" s="5">
        <f t="shared" si="8"/>
        <v>0</v>
      </c>
      <c r="G139" s="9">
        <f t="shared" si="9"/>
        <v>-1.2037643593660885E-3</v>
      </c>
      <c r="H139" s="9">
        <f t="shared" si="9"/>
        <v>9.9200251006343887E-3</v>
      </c>
      <c r="I139" s="5">
        <f t="shared" si="10"/>
        <v>12035174.89635749</v>
      </c>
      <c r="J139" s="5">
        <f t="shared" si="11"/>
        <v>12241058.356035547</v>
      </c>
      <c r="K139" s="5"/>
      <c r="L139" s="5"/>
    </row>
    <row r="140" spans="1:12" x14ac:dyDescent="0.3">
      <c r="A140" s="1">
        <v>44403</v>
      </c>
      <c r="B140" s="5">
        <v>13124824.731264533</v>
      </c>
      <c r="C140" s="5">
        <v>13326456.576138282</v>
      </c>
      <c r="D140" s="5">
        <v>0</v>
      </c>
      <c r="E140" s="5">
        <f t="shared" si="8"/>
        <v>0</v>
      </c>
      <c r="F140" s="5">
        <f t="shared" si="8"/>
        <v>0</v>
      </c>
      <c r="G140" s="9">
        <f t="shared" si="9"/>
        <v>9.9050980307158198E-4</v>
      </c>
      <c r="H140" s="9">
        <f t="shared" si="9"/>
        <v>1.181513396908862E-3</v>
      </c>
      <c r="I140" s="5">
        <f t="shared" si="10"/>
        <v>12047095.855074013</v>
      </c>
      <c r="J140" s="5">
        <f t="shared" si="11"/>
        <v>12255521.330475546</v>
      </c>
      <c r="K140" s="5"/>
      <c r="L140" s="5"/>
    </row>
    <row r="141" spans="1:12" x14ac:dyDescent="0.3">
      <c r="A141" s="1">
        <v>44404</v>
      </c>
      <c r="B141" s="5">
        <v>13046144.137124743</v>
      </c>
      <c r="C141" s="5">
        <v>13290473.531388545</v>
      </c>
      <c r="D141" s="5">
        <v>0</v>
      </c>
      <c r="E141" s="5">
        <f t="shared" si="8"/>
        <v>0</v>
      </c>
      <c r="F141" s="5">
        <f t="shared" si="8"/>
        <v>0</v>
      </c>
      <c r="G141" s="9">
        <f t="shared" si="9"/>
        <v>-5.99479198776387E-3</v>
      </c>
      <c r="H141" s="9">
        <f t="shared" si="9"/>
        <v>-2.7001209619491595E-3</v>
      </c>
      <c r="I141" s="5">
        <f t="shared" si="10"/>
        <v>11974876.021366192</v>
      </c>
      <c r="J141" s="5">
        <f t="shared" si="11"/>
        <v>12222429.940431515</v>
      </c>
      <c r="K141" s="5"/>
      <c r="L141" s="5"/>
    </row>
    <row r="142" spans="1:12" x14ac:dyDescent="0.3">
      <c r="A142" s="1">
        <v>44405</v>
      </c>
      <c r="B142" s="5">
        <v>13070368.185130747</v>
      </c>
      <c r="C142" s="5">
        <v>13291648.268704364</v>
      </c>
      <c r="D142" s="5">
        <v>0</v>
      </c>
      <c r="E142" s="5">
        <f t="shared" si="8"/>
        <v>0</v>
      </c>
      <c r="F142" s="5">
        <f t="shared" si="8"/>
        <v>0</v>
      </c>
      <c r="G142" s="9">
        <f t="shared" si="9"/>
        <v>1.8567975143759519E-3</v>
      </c>
      <c r="H142" s="9">
        <f t="shared" si="9"/>
        <v>8.8389425180634973E-5</v>
      </c>
      <c r="I142" s="5">
        <f t="shared" si="10"/>
        <v>11997110.941397624</v>
      </c>
      <c r="J142" s="5">
        <f t="shared" si="11"/>
        <v>12223510.27398826</v>
      </c>
      <c r="K142" s="5"/>
      <c r="L142" s="5"/>
    </row>
    <row r="143" spans="1:12" x14ac:dyDescent="0.3">
      <c r="A143" s="1">
        <v>44406</v>
      </c>
      <c r="B143" s="5">
        <v>13080340.526595391</v>
      </c>
      <c r="C143" s="5">
        <v>13300758.126934774</v>
      </c>
      <c r="D143" s="5">
        <v>0</v>
      </c>
      <c r="E143" s="5">
        <f t="shared" si="8"/>
        <v>0</v>
      </c>
      <c r="F143" s="5">
        <f t="shared" si="8"/>
        <v>0</v>
      </c>
      <c r="G143" s="9">
        <f t="shared" si="9"/>
        <v>7.6297326313956582E-4</v>
      </c>
      <c r="H143" s="9">
        <f t="shared" si="9"/>
        <v>6.8538213216640109E-4</v>
      </c>
      <c r="I143" s="5">
        <f t="shared" si="10"/>
        <v>12006264.41628083</v>
      </c>
      <c r="J143" s="5">
        <f t="shared" si="11"/>
        <v>12231888.049522404</v>
      </c>
      <c r="K143" s="5"/>
      <c r="L143" s="5"/>
    </row>
    <row r="144" spans="1:12" x14ac:dyDescent="0.3">
      <c r="A144" s="1">
        <v>44407</v>
      </c>
      <c r="B144" s="5">
        <v>13136721.221686011</v>
      </c>
      <c r="C144" s="5">
        <v>13245928.294214683</v>
      </c>
      <c r="D144" s="5">
        <v>0</v>
      </c>
      <c r="E144" s="5">
        <f t="shared" si="8"/>
        <v>0</v>
      </c>
      <c r="F144" s="5">
        <f t="shared" si="8"/>
        <v>0</v>
      </c>
      <c r="G144" s="9">
        <f t="shared" si="9"/>
        <v>4.3103384790315058E-3</v>
      </c>
      <c r="H144" s="9">
        <f t="shared" si="9"/>
        <v>-4.1223088335887725E-3</v>
      </c>
      <c r="I144" s="5">
        <f t="shared" si="10"/>
        <v>12058015.479783753</v>
      </c>
      <c r="J144" s="5">
        <f t="shared" si="11"/>
        <v>12181464.429364389</v>
      </c>
      <c r="K144" s="5"/>
      <c r="L144" s="5"/>
    </row>
    <row r="145" spans="1:12" x14ac:dyDescent="0.3">
      <c r="A145" s="1">
        <v>44410</v>
      </c>
      <c r="B145" s="5">
        <v>13257128.635569314</v>
      </c>
      <c r="C145" s="5">
        <v>13223328.029790906</v>
      </c>
      <c r="D145" s="5">
        <v>0</v>
      </c>
      <c r="E145" s="5">
        <f t="shared" si="8"/>
        <v>0</v>
      </c>
      <c r="F145" s="5">
        <f t="shared" si="8"/>
        <v>0</v>
      </c>
      <c r="G145" s="9">
        <f t="shared" si="9"/>
        <v>9.1657128024102974E-3</v>
      </c>
      <c r="H145" s="9">
        <f t="shared" si="9"/>
        <v>-1.7062046480840198E-3</v>
      </c>
      <c r="I145" s="5">
        <f t="shared" si="10"/>
        <v>12168535.786638469</v>
      </c>
      <c r="J145" s="5">
        <f t="shared" si="11"/>
        <v>12160680.358134538</v>
      </c>
      <c r="K145" s="5"/>
      <c r="L145" s="5"/>
    </row>
    <row r="146" spans="1:12" x14ac:dyDescent="0.3">
      <c r="A146" s="1">
        <v>44411</v>
      </c>
      <c r="B146" s="5">
        <v>13367850.283364525</v>
      </c>
      <c r="C146" s="5">
        <v>13313908.334183795</v>
      </c>
      <c r="D146" s="5">
        <v>0</v>
      </c>
      <c r="E146" s="5">
        <f t="shared" si="8"/>
        <v>0</v>
      </c>
      <c r="F146" s="5">
        <f t="shared" si="8"/>
        <v>0</v>
      </c>
      <c r="G146" s="9">
        <f t="shared" si="9"/>
        <v>8.3518573922667372E-3</v>
      </c>
      <c r="H146" s="9">
        <f t="shared" si="9"/>
        <v>6.8500383707355006E-3</v>
      </c>
      <c r="I146" s="5">
        <f t="shared" si="10"/>
        <v>12270165.662201168</v>
      </c>
      <c r="J146" s="5">
        <f t="shared" si="11"/>
        <v>12243981.485202009</v>
      </c>
      <c r="K146" s="5"/>
      <c r="L146" s="5"/>
    </row>
    <row r="147" spans="1:12" x14ac:dyDescent="0.3">
      <c r="A147" s="1">
        <v>44412</v>
      </c>
      <c r="B147" s="5">
        <v>13272314.722330011</v>
      </c>
      <c r="C147" s="5">
        <v>13234514.502858918</v>
      </c>
      <c r="D147" s="5">
        <v>0</v>
      </c>
      <c r="E147" s="5">
        <f t="shared" si="8"/>
        <v>0</v>
      </c>
      <c r="F147" s="5">
        <f t="shared" si="8"/>
        <v>0</v>
      </c>
      <c r="G147" s="9">
        <f t="shared" si="9"/>
        <v>-7.1466659941128441E-3</v>
      </c>
      <c r="H147" s="9">
        <f t="shared" si="9"/>
        <v>-5.9632250224399552E-3</v>
      </c>
      <c r="I147" s="5">
        <f t="shared" si="10"/>
        <v>12182474.886520984</v>
      </c>
      <c r="J147" s="5">
        <f t="shared" si="11"/>
        <v>12170967.868435161</v>
      </c>
      <c r="K147" s="5"/>
      <c r="L147" s="5"/>
    </row>
    <row r="148" spans="1:12" x14ac:dyDescent="0.3">
      <c r="A148" s="1">
        <v>44413</v>
      </c>
      <c r="B148" s="5">
        <v>13243279.097833702</v>
      </c>
      <c r="C148" s="5">
        <v>13305961.341338079</v>
      </c>
      <c r="D148" s="5">
        <v>0</v>
      </c>
      <c r="E148" s="5">
        <f t="shared" si="8"/>
        <v>0</v>
      </c>
      <c r="F148" s="5">
        <f t="shared" si="8"/>
        <v>0</v>
      </c>
      <c r="G148" s="9">
        <f t="shared" si="9"/>
        <v>-2.18768354305654E-3</v>
      </c>
      <c r="H148" s="9">
        <f t="shared" si="9"/>
        <v>5.3985235698466028E-3</v>
      </c>
      <c r="I148" s="5">
        <f t="shared" si="10"/>
        <v>12155823.486698043</v>
      </c>
      <c r="J148" s="5">
        <f t="shared" si="11"/>
        <v>12236673.125340754</v>
      </c>
      <c r="K148" s="5"/>
      <c r="L148" s="5"/>
    </row>
    <row r="149" spans="1:12" x14ac:dyDescent="0.3">
      <c r="A149" s="1">
        <v>44414</v>
      </c>
      <c r="B149" s="5">
        <v>13271874.022381201</v>
      </c>
      <c r="C149" s="5">
        <v>13346004.586532244</v>
      </c>
      <c r="D149" s="5">
        <v>0</v>
      </c>
      <c r="E149" s="5">
        <f t="shared" si="8"/>
        <v>0</v>
      </c>
      <c r="F149" s="5">
        <f t="shared" si="8"/>
        <v>0</v>
      </c>
      <c r="G149" s="9">
        <f t="shared" si="9"/>
        <v>2.159202742482158E-3</v>
      </c>
      <c r="H149" s="9">
        <f t="shared" si="9"/>
        <v>3.0094214290072863E-3</v>
      </c>
      <c r="I149" s="5">
        <f t="shared" si="10"/>
        <v>12182070.37410765</v>
      </c>
      <c r="J149" s="5">
        <f t="shared" si="11"/>
        <v>12273498.431663912</v>
      </c>
      <c r="K149" s="5"/>
      <c r="L149" s="5"/>
    </row>
    <row r="150" spans="1:12" x14ac:dyDescent="0.3">
      <c r="A150" s="1">
        <v>44417</v>
      </c>
      <c r="B150" s="5">
        <v>13210987.591748357</v>
      </c>
      <c r="C150" s="5">
        <v>13356050.381103236</v>
      </c>
      <c r="D150" s="5">
        <v>0</v>
      </c>
      <c r="E150" s="5">
        <f t="shared" si="8"/>
        <v>0</v>
      </c>
      <c r="F150" s="5">
        <f t="shared" si="8"/>
        <v>0</v>
      </c>
      <c r="G150" s="9">
        <f t="shared" si="9"/>
        <v>-4.5876287350352651E-3</v>
      </c>
      <c r="H150" s="9">
        <f t="shared" si="9"/>
        <v>7.5271925060849121E-4</v>
      </c>
      <c r="I150" s="5">
        <f t="shared" si="10"/>
        <v>12126183.558007171</v>
      </c>
      <c r="J150" s="5">
        <f t="shared" si="11"/>
        <v>12282736.930205738</v>
      </c>
      <c r="K150" s="5"/>
      <c r="L150" s="5"/>
    </row>
    <row r="151" spans="1:12" x14ac:dyDescent="0.3">
      <c r="A151" s="1">
        <v>44418</v>
      </c>
      <c r="B151" s="5">
        <v>13157804.981532175</v>
      </c>
      <c r="C151" s="5">
        <v>13403495.678042343</v>
      </c>
      <c r="D151" s="5">
        <v>0</v>
      </c>
      <c r="E151" s="5">
        <f t="shared" si="8"/>
        <v>0</v>
      </c>
      <c r="F151" s="5">
        <f t="shared" si="8"/>
        <v>0</v>
      </c>
      <c r="G151" s="9">
        <f t="shared" si="9"/>
        <v>-4.0256347110189106E-3</v>
      </c>
      <c r="H151" s="9">
        <f t="shared" si="9"/>
        <v>3.5523448613397068E-3</v>
      </c>
      <c r="I151" s="5">
        <f t="shared" si="10"/>
        <v>12077367.97256387</v>
      </c>
      <c r="J151" s="5">
        <f t="shared" si="11"/>
        <v>12326369.447622942</v>
      </c>
      <c r="K151" s="5"/>
      <c r="L151" s="5"/>
    </row>
    <row r="152" spans="1:12" x14ac:dyDescent="0.3">
      <c r="A152" s="1">
        <v>44419</v>
      </c>
      <c r="B152" s="5">
        <v>13128015.591549646</v>
      </c>
      <c r="C152" s="5">
        <v>13392014.158292625</v>
      </c>
      <c r="D152" s="5">
        <v>0</v>
      </c>
      <c r="E152" s="5">
        <f t="shared" si="8"/>
        <v>0</v>
      </c>
      <c r="F152" s="5">
        <f t="shared" si="8"/>
        <v>0</v>
      </c>
      <c r="G152" s="9">
        <f t="shared" si="9"/>
        <v>-2.2640090823917713E-3</v>
      </c>
      <c r="H152" s="9">
        <f t="shared" si="9"/>
        <v>-8.5660636788409406E-4</v>
      </c>
      <c r="I152" s="5">
        <f t="shared" si="10"/>
        <v>12050024.701782597</v>
      </c>
      <c r="J152" s="5">
        <f t="shared" si="11"/>
        <v>12315810.601061216</v>
      </c>
      <c r="K152" s="5"/>
      <c r="L152" s="5"/>
    </row>
    <row r="153" spans="1:12" x14ac:dyDescent="0.3">
      <c r="A153" s="1">
        <v>44420</v>
      </c>
      <c r="B153" s="5">
        <v>13168292.677035321</v>
      </c>
      <c r="C153" s="5">
        <v>13445933.744752599</v>
      </c>
      <c r="D153" s="5">
        <v>0</v>
      </c>
      <c r="E153" s="5">
        <f t="shared" si="8"/>
        <v>0</v>
      </c>
      <c r="F153" s="5">
        <f t="shared" si="8"/>
        <v>0</v>
      </c>
      <c r="G153" s="9">
        <f t="shared" si="9"/>
        <v>3.068025415174036E-3</v>
      </c>
      <c r="H153" s="9">
        <f t="shared" si="9"/>
        <v>4.0262492126015292E-3</v>
      </c>
      <c r="I153" s="5">
        <f t="shared" si="10"/>
        <v>12086994.483821141</v>
      </c>
      <c r="J153" s="5">
        <f t="shared" si="11"/>
        <v>12365397.123796288</v>
      </c>
      <c r="K153" s="5"/>
      <c r="L153" s="5"/>
    </row>
    <row r="154" spans="1:12" x14ac:dyDescent="0.3">
      <c r="A154" s="1">
        <v>44421</v>
      </c>
      <c r="B154" s="5">
        <v>13184668.412838165</v>
      </c>
      <c r="C154" s="5">
        <v>13455388.667472892</v>
      </c>
      <c r="D154" s="5">
        <v>0</v>
      </c>
      <c r="E154" s="5">
        <f t="shared" si="8"/>
        <v>0</v>
      </c>
      <c r="F154" s="5">
        <f t="shared" si="8"/>
        <v>0</v>
      </c>
      <c r="G154" s="9">
        <f t="shared" si="9"/>
        <v>1.243573195438108E-3</v>
      </c>
      <c r="H154" s="9">
        <f t="shared" si="9"/>
        <v>7.0318082029685591E-4</v>
      </c>
      <c r="I154" s="5">
        <f t="shared" si="10"/>
        <v>12102025.546174629</v>
      </c>
      <c r="J154" s="5">
        <f t="shared" si="11"/>
        <v>12374092.233889095</v>
      </c>
      <c r="K154" s="5"/>
      <c r="L154" s="5"/>
    </row>
    <row r="155" spans="1:12" x14ac:dyDescent="0.3">
      <c r="A155" s="1">
        <v>44424</v>
      </c>
      <c r="B155" s="5">
        <v>13200422.833959077</v>
      </c>
      <c r="C155" s="5">
        <v>13481947.539750163</v>
      </c>
      <c r="D155" s="5">
        <v>0</v>
      </c>
      <c r="E155" s="5">
        <f t="shared" si="8"/>
        <v>0</v>
      </c>
      <c r="F155" s="5">
        <f t="shared" si="8"/>
        <v>0</v>
      </c>
      <c r="G155" s="9">
        <f t="shared" si="9"/>
        <v>1.194904614026715E-3</v>
      </c>
      <c r="H155" s="9">
        <f t="shared" si="9"/>
        <v>1.9738465334320221E-3</v>
      </c>
      <c r="I155" s="5">
        <f t="shared" si="10"/>
        <v>12116486.312338822</v>
      </c>
      <c r="J155" s="5">
        <f t="shared" si="11"/>
        <v>12398516.792949326</v>
      </c>
      <c r="K155" s="5"/>
      <c r="L155" s="5"/>
    </row>
    <row r="156" spans="1:12" x14ac:dyDescent="0.3">
      <c r="A156" s="1">
        <v>44425</v>
      </c>
      <c r="B156" s="5">
        <v>13269566.970190153</v>
      </c>
      <c r="C156" s="5">
        <v>13421874.400531493</v>
      </c>
      <c r="D156" s="5">
        <v>0</v>
      </c>
      <c r="E156" s="5">
        <f t="shared" si="8"/>
        <v>0</v>
      </c>
      <c r="F156" s="5">
        <f t="shared" si="8"/>
        <v>0</v>
      </c>
      <c r="G156" s="9">
        <f t="shared" si="9"/>
        <v>5.238024349734971E-3</v>
      </c>
      <c r="H156" s="9">
        <f t="shared" si="9"/>
        <v>-4.4558205735150125E-3</v>
      </c>
      <c r="I156" s="5">
        <f t="shared" si="10"/>
        <v>12179952.762676083</v>
      </c>
      <c r="J156" s="5">
        <f t="shared" si="11"/>
        <v>12343271.226742232</v>
      </c>
      <c r="K156" s="5"/>
      <c r="L156" s="5"/>
    </row>
    <row r="157" spans="1:12" x14ac:dyDescent="0.3">
      <c r="A157" s="1">
        <v>44426</v>
      </c>
      <c r="B157" s="5">
        <v>13343626.235358521</v>
      </c>
      <c r="C157" s="5">
        <v>13260514.615886074</v>
      </c>
      <c r="D157" s="5">
        <v>0</v>
      </c>
      <c r="E157" s="5">
        <f t="shared" si="8"/>
        <v>0</v>
      </c>
      <c r="F157" s="5">
        <f t="shared" si="8"/>
        <v>0</v>
      </c>
      <c r="G157" s="9">
        <f t="shared" si="9"/>
        <v>5.5811365461089224E-3</v>
      </c>
      <c r="H157" s="9">
        <f t="shared" si="9"/>
        <v>-1.2022149800405613E-2</v>
      </c>
      <c r="I157" s="5">
        <f t="shared" si="10"/>
        <v>12247930.742169734</v>
      </c>
      <c r="J157" s="5">
        <f t="shared" si="11"/>
        <v>12194878.571027301</v>
      </c>
      <c r="K157" s="5"/>
      <c r="L157" s="5"/>
    </row>
    <row r="158" spans="1:12" x14ac:dyDescent="0.3">
      <c r="A158" s="1">
        <v>44428</v>
      </c>
      <c r="B158" s="5">
        <v>13146074.656665165</v>
      </c>
      <c r="C158" s="5">
        <v>13401238.259532373</v>
      </c>
      <c r="D158" s="5">
        <v>0</v>
      </c>
      <c r="E158" s="5">
        <f t="shared" si="8"/>
        <v>0</v>
      </c>
      <c r="F158" s="5">
        <f t="shared" si="8"/>
        <v>0</v>
      </c>
      <c r="G158" s="9">
        <f t="shared" si="9"/>
        <v>-1.4804939467644496E-2</v>
      </c>
      <c r="H158" s="9">
        <f t="shared" si="9"/>
        <v>1.0612230952010915E-2</v>
      </c>
      <c r="I158" s="5">
        <f t="shared" si="10"/>
        <v>12066600.86892801</v>
      </c>
      <c r="J158" s="5">
        <f t="shared" si="11"/>
        <v>12324293.438854773</v>
      </c>
      <c r="K158" s="5"/>
      <c r="L158" s="5"/>
    </row>
    <row r="159" spans="1:12" x14ac:dyDescent="0.3">
      <c r="A159" s="1">
        <v>44431</v>
      </c>
      <c r="B159" s="5">
        <v>13093539.851291774</v>
      </c>
      <c r="C159" s="5">
        <v>13474867.392498322</v>
      </c>
      <c r="D159" s="5">
        <v>0</v>
      </c>
      <c r="E159" s="5">
        <f t="shared" si="8"/>
        <v>0</v>
      </c>
      <c r="F159" s="5">
        <f t="shared" si="8"/>
        <v>0</v>
      </c>
      <c r="G159" s="9">
        <f t="shared" si="9"/>
        <v>-3.9962351306711552E-3</v>
      </c>
      <c r="H159" s="9">
        <f t="shared" si="9"/>
        <v>5.494203710136647E-3</v>
      </c>
      <c r="I159" s="5">
        <f t="shared" si="10"/>
        <v>12018379.894627813</v>
      </c>
      <c r="J159" s="5">
        <f t="shared" si="11"/>
        <v>12392005.617591342</v>
      </c>
      <c r="K159" s="5"/>
      <c r="L159" s="5"/>
    </row>
    <row r="160" spans="1:12" x14ac:dyDescent="0.3">
      <c r="A160" s="1">
        <v>44432</v>
      </c>
      <c r="B160" s="5">
        <v>13220952.708623676</v>
      </c>
      <c r="C160" s="5">
        <v>13496912.400864771</v>
      </c>
      <c r="D160" s="5">
        <v>0</v>
      </c>
      <c r="E160" s="5">
        <f t="shared" si="8"/>
        <v>0</v>
      </c>
      <c r="F160" s="5">
        <f t="shared" si="8"/>
        <v>0</v>
      </c>
      <c r="G160" s="9">
        <f t="shared" si="9"/>
        <v>9.7309710574051689E-3</v>
      </c>
      <c r="H160" s="9">
        <f t="shared" si="9"/>
        <v>1.6360092997071973E-3</v>
      </c>
      <c r="I160" s="5">
        <f t="shared" si="10"/>
        <v>12135330.401539337</v>
      </c>
      <c r="J160" s="5">
        <f t="shared" si="11"/>
        <v>12412279.054023745</v>
      </c>
      <c r="K160" s="5"/>
      <c r="L160" s="5"/>
    </row>
    <row r="161" spans="1:12" x14ac:dyDescent="0.3">
      <c r="A161" s="1">
        <v>44433</v>
      </c>
      <c r="B161" s="5">
        <v>13282091.999882888</v>
      </c>
      <c r="C161" s="5">
        <v>13545298.888933642</v>
      </c>
      <c r="D161" s="5">
        <v>0</v>
      </c>
      <c r="E161" s="5">
        <f t="shared" si="8"/>
        <v>0</v>
      </c>
      <c r="F161" s="5">
        <f t="shared" si="8"/>
        <v>0</v>
      </c>
      <c r="G161" s="9">
        <f t="shared" si="9"/>
        <v>4.6244240189539099E-3</v>
      </c>
      <c r="H161" s="9">
        <f t="shared" si="9"/>
        <v>3.5850042314693464E-3</v>
      </c>
      <c r="I161" s="5">
        <f t="shared" si="10"/>
        <v>12191449.314926157</v>
      </c>
      <c r="J161" s="5">
        <f t="shared" si="11"/>
        <v>12456777.126954598</v>
      </c>
      <c r="K161" s="5"/>
      <c r="L161" s="5"/>
    </row>
    <row r="162" spans="1:12" x14ac:dyDescent="0.3">
      <c r="A162" s="1">
        <v>44434</v>
      </c>
      <c r="B162" s="5">
        <v>13321853.731330063</v>
      </c>
      <c r="C162" s="5">
        <v>13448768.606207563</v>
      </c>
      <c r="D162" s="5">
        <v>0</v>
      </c>
      <c r="E162" s="5">
        <f t="shared" si="8"/>
        <v>0</v>
      </c>
      <c r="F162" s="5">
        <f t="shared" si="8"/>
        <v>0</v>
      </c>
      <c r="G162" s="9">
        <f t="shared" si="9"/>
        <v>2.9936346960648397E-3</v>
      </c>
      <c r="H162" s="9">
        <f t="shared" si="9"/>
        <v>-7.1264786046871809E-3</v>
      </c>
      <c r="I162" s="5">
        <f t="shared" si="10"/>
        <v>12227946.060590636</v>
      </c>
      <c r="J162" s="5">
        <f t="shared" si="11"/>
        <v>12368004.171275999</v>
      </c>
      <c r="K162" s="5"/>
      <c r="L162" s="5"/>
    </row>
    <row r="163" spans="1:12" x14ac:dyDescent="0.3">
      <c r="A163" s="1">
        <v>44435</v>
      </c>
      <c r="B163" s="5">
        <v>13489225.792217351</v>
      </c>
      <c r="C163" s="5">
        <v>13446867.345631318</v>
      </c>
      <c r="D163" s="5">
        <v>0</v>
      </c>
      <c r="E163" s="5">
        <f t="shared" si="8"/>
        <v>0</v>
      </c>
      <c r="F163" s="5">
        <f t="shared" si="8"/>
        <v>0</v>
      </c>
      <c r="G163" s="9">
        <f t="shared" si="9"/>
        <v>1.2563721555782115E-2</v>
      </c>
      <c r="H163" s="9">
        <f t="shared" si="9"/>
        <v>-1.4137060662688938E-4</v>
      </c>
      <c r="I163" s="5">
        <f t="shared" si="10"/>
        <v>12381574.570095019</v>
      </c>
      <c r="J163" s="5">
        <f t="shared" si="11"/>
        <v>12366255.699023543</v>
      </c>
      <c r="K163" s="5"/>
      <c r="L163" s="5"/>
    </row>
    <row r="164" spans="1:12" x14ac:dyDescent="0.3">
      <c r="A164" s="1">
        <v>44438</v>
      </c>
      <c r="B164" s="5">
        <v>13697756.33848794</v>
      </c>
      <c r="C164" s="5">
        <v>13472532.903746959</v>
      </c>
      <c r="D164" s="5">
        <v>0</v>
      </c>
      <c r="E164" s="5">
        <f t="shared" si="8"/>
        <v>0</v>
      </c>
      <c r="F164" s="5">
        <f t="shared" si="8"/>
        <v>0</v>
      </c>
      <c r="G164" s="9">
        <f t="shared" si="9"/>
        <v>1.5459044831980018E-2</v>
      </c>
      <c r="H164" s="9">
        <f t="shared" si="9"/>
        <v>1.9086644834032107E-3</v>
      </c>
      <c r="I164" s="5">
        <f t="shared" si="10"/>
        <v>12572981.886464622</v>
      </c>
      <c r="J164" s="5">
        <f t="shared" si="11"/>
        <v>12389858.732068952</v>
      </c>
      <c r="K164" s="5"/>
      <c r="L164" s="5"/>
    </row>
    <row r="165" spans="1:12" x14ac:dyDescent="0.3">
      <c r="A165" s="1">
        <v>44439</v>
      </c>
      <c r="B165" s="5">
        <v>13883690.777547041</v>
      </c>
      <c r="C165" s="5">
        <v>13393477.909013672</v>
      </c>
      <c r="D165" s="5">
        <v>0</v>
      </c>
      <c r="E165" s="5">
        <f t="shared" si="8"/>
        <v>0</v>
      </c>
      <c r="F165" s="5">
        <f t="shared" si="8"/>
        <v>0</v>
      </c>
      <c r="G165" s="9">
        <f t="shared" si="9"/>
        <v>1.3574079905090963E-2</v>
      </c>
      <c r="H165" s="9">
        <f t="shared" si="9"/>
        <v>-5.867864290856617E-3</v>
      </c>
      <c r="I165" s="5">
        <f t="shared" si="10"/>
        <v>12743648.547236754</v>
      </c>
      <c r="J165" s="5">
        <f t="shared" si="11"/>
        <v>12317156.722446287</v>
      </c>
      <c r="K165" s="5"/>
      <c r="L165" s="5"/>
    </row>
    <row r="166" spans="1:12" x14ac:dyDescent="0.3">
      <c r="A166" s="1">
        <v>44440</v>
      </c>
      <c r="B166" s="5">
        <v>13984562.901896128</v>
      </c>
      <c r="C166" s="5">
        <v>13405893.224263933</v>
      </c>
      <c r="D166" s="5">
        <v>0</v>
      </c>
      <c r="E166" s="5">
        <f t="shared" si="8"/>
        <v>0</v>
      </c>
      <c r="F166" s="5">
        <f t="shared" si="8"/>
        <v>0</v>
      </c>
      <c r="G166" s="9">
        <f t="shared" si="9"/>
        <v>7.2655121729028327E-3</v>
      </c>
      <c r="H166" s="9">
        <f t="shared" si="9"/>
        <v>9.2696723992102825E-4</v>
      </c>
      <c r="I166" s="5">
        <f t="shared" si="10"/>
        <v>12836237.680883897</v>
      </c>
      <c r="J166" s="5">
        <f t="shared" si="11"/>
        <v>12328574.323216967</v>
      </c>
      <c r="K166" s="5"/>
      <c r="L166" s="5"/>
    </row>
    <row r="167" spans="1:12" x14ac:dyDescent="0.3">
      <c r="A167" s="1">
        <v>44441</v>
      </c>
      <c r="B167" s="5">
        <v>14127489.360704787</v>
      </c>
      <c r="C167" s="5">
        <v>13446123.111785114</v>
      </c>
      <c r="D167" s="5">
        <v>0</v>
      </c>
      <c r="E167" s="5">
        <f t="shared" si="8"/>
        <v>0</v>
      </c>
      <c r="F167" s="5">
        <f t="shared" si="8"/>
        <v>0</v>
      </c>
      <c r="G167" s="9">
        <f t="shared" si="9"/>
        <v>1.0220302186869201E-2</v>
      </c>
      <c r="H167" s="9">
        <f t="shared" si="9"/>
        <v>3.0009106329720314E-3</v>
      </c>
      <c r="I167" s="5">
        <f t="shared" si="10"/>
        <v>12967427.908925008</v>
      </c>
      <c r="J167" s="5">
        <f t="shared" si="11"/>
        <v>12365571.272992896</v>
      </c>
      <c r="K167" s="5"/>
      <c r="L167" s="5"/>
    </row>
    <row r="168" spans="1:12" x14ac:dyDescent="0.3">
      <c r="A168" s="1">
        <v>44442</v>
      </c>
      <c r="B168" s="5">
        <v>14208756.35782285</v>
      </c>
      <c r="C168" s="5">
        <v>13440119.223207308</v>
      </c>
      <c r="D168" s="5">
        <v>0</v>
      </c>
      <c r="E168" s="5">
        <f t="shared" si="8"/>
        <v>0</v>
      </c>
      <c r="F168" s="5">
        <f t="shared" si="8"/>
        <v>0</v>
      </c>
      <c r="G168" s="9">
        <f t="shared" si="9"/>
        <v>5.7524019337862331E-3</v>
      </c>
      <c r="H168" s="9">
        <f t="shared" si="9"/>
        <v>-4.4651447319732362E-4</v>
      </c>
      <c r="I168" s="5">
        <f t="shared" si="10"/>
        <v>13042021.766304541</v>
      </c>
      <c r="J168" s="5">
        <f t="shared" si="11"/>
        <v>12360049.866450151</v>
      </c>
      <c r="K168" s="5"/>
      <c r="L168" s="5"/>
    </row>
    <row r="169" spans="1:12" x14ac:dyDescent="0.3">
      <c r="A169" s="1">
        <v>44445</v>
      </c>
      <c r="B169" s="5">
        <v>14190198.796043918</v>
      </c>
      <c r="C169" s="5">
        <v>13479296.012051236</v>
      </c>
      <c r="D169" s="5">
        <v>0</v>
      </c>
      <c r="E169" s="5">
        <f t="shared" si="8"/>
        <v>0</v>
      </c>
      <c r="F169" s="5">
        <f t="shared" si="8"/>
        <v>0</v>
      </c>
      <c r="G169" s="9">
        <f t="shared" si="9"/>
        <v>-1.3060651693640457E-3</v>
      </c>
      <c r="H169" s="9">
        <f t="shared" si="9"/>
        <v>2.9149137885831067E-3</v>
      </c>
      <c r="I169" s="5">
        <f t="shared" si="10"/>
        <v>13024988.035937482</v>
      </c>
      <c r="J169" s="5">
        <f t="shared" si="11"/>
        <v>12396078.346233442</v>
      </c>
      <c r="K169" s="5"/>
      <c r="L169" s="5"/>
    </row>
    <row r="170" spans="1:12" x14ac:dyDescent="0.3">
      <c r="A170" s="1">
        <v>44446</v>
      </c>
      <c r="B170" s="5">
        <v>14141517.104977077</v>
      </c>
      <c r="C170" s="5">
        <v>13479296.012051236</v>
      </c>
      <c r="D170" s="5">
        <v>0</v>
      </c>
      <c r="E170" s="5">
        <f t="shared" si="8"/>
        <v>0</v>
      </c>
      <c r="F170" s="5">
        <f t="shared" si="8"/>
        <v>0</v>
      </c>
      <c r="G170" s="9">
        <f t="shared" si="9"/>
        <v>-3.4306560300206845E-3</v>
      </c>
      <c r="H170" s="9">
        <f t="shared" si="9"/>
        <v>0</v>
      </c>
      <c r="I170" s="5">
        <f t="shared" si="10"/>
        <v>12980303.782191046</v>
      </c>
      <c r="J170" s="5">
        <f t="shared" si="11"/>
        <v>12396078.346233442</v>
      </c>
      <c r="K170" s="5"/>
      <c r="L170" s="5"/>
    </row>
    <row r="171" spans="1:12" x14ac:dyDescent="0.3">
      <c r="A171" s="1">
        <v>44447</v>
      </c>
      <c r="B171" s="5">
        <v>14218690.168144425</v>
      </c>
      <c r="C171" s="5">
        <v>13535309.534690941</v>
      </c>
      <c r="D171" s="5">
        <v>0</v>
      </c>
      <c r="E171" s="5">
        <f t="shared" si="8"/>
        <v>0</v>
      </c>
      <c r="F171" s="5">
        <f t="shared" si="8"/>
        <v>0</v>
      </c>
      <c r="G171" s="9">
        <f t="shared" si="9"/>
        <v>5.4571983044300332E-3</v>
      </c>
      <c r="H171" s="9">
        <f t="shared" si="9"/>
        <v>4.1555228544298828E-3</v>
      </c>
      <c r="I171" s="5">
        <f t="shared" si="10"/>
        <v>13051139.873982206</v>
      </c>
      <c r="J171" s="5">
        <f t="shared" si="11"/>
        <v>12447590.533106519</v>
      </c>
      <c r="K171" s="5"/>
      <c r="L171" s="5"/>
    </row>
    <row r="172" spans="1:12" x14ac:dyDescent="0.3">
      <c r="A172" s="1">
        <v>44448</v>
      </c>
      <c r="B172" s="5">
        <v>14280677.14455108</v>
      </c>
      <c r="C172" s="5">
        <v>13415725.518696513</v>
      </c>
      <c r="D172" s="5">
        <v>0</v>
      </c>
      <c r="E172" s="5">
        <f t="shared" si="8"/>
        <v>0</v>
      </c>
      <c r="F172" s="5">
        <f t="shared" si="8"/>
        <v>0</v>
      </c>
      <c r="G172" s="9">
        <f t="shared" si="9"/>
        <v>4.3595419601680785E-3</v>
      </c>
      <c r="H172" s="9">
        <f t="shared" si="9"/>
        <v>-8.8349672157799208E-3</v>
      </c>
      <c r="I172" s="5">
        <f t="shared" si="10"/>
        <v>13108036.865890855</v>
      </c>
      <c r="J172" s="5">
        <f t="shared" si="11"/>
        <v>12337616.47883107</v>
      </c>
      <c r="K172" s="5"/>
      <c r="L172" s="5"/>
    </row>
    <row r="173" spans="1:12" x14ac:dyDescent="0.3">
      <c r="A173" s="1">
        <v>44452</v>
      </c>
      <c r="B173" s="5">
        <v>14325074.654148323</v>
      </c>
      <c r="C173" s="5">
        <v>13354070.493311018</v>
      </c>
      <c r="D173" s="5">
        <v>0</v>
      </c>
      <c r="E173" s="5">
        <f t="shared" si="8"/>
        <v>0</v>
      </c>
      <c r="F173" s="5">
        <f t="shared" si="8"/>
        <v>0</v>
      </c>
      <c r="G173" s="9">
        <f t="shared" si="9"/>
        <v>3.1089218772923921E-3</v>
      </c>
      <c r="H173" s="9">
        <f t="shared" si="9"/>
        <v>-4.5957279984277788E-3</v>
      </c>
      <c r="I173" s="5">
        <f t="shared" si="10"/>
        <v>13148788.728471579</v>
      </c>
      <c r="J173" s="5">
        <f t="shared" si="11"/>
        <v>12280916.149345441</v>
      </c>
      <c r="K173" s="5"/>
      <c r="L173" s="5"/>
    </row>
    <row r="174" spans="1:12" x14ac:dyDescent="0.3">
      <c r="A174" s="1">
        <v>44453</v>
      </c>
      <c r="B174" s="5">
        <v>14369961.027623212</v>
      </c>
      <c r="C174" s="5">
        <v>13291436.909405988</v>
      </c>
      <c r="D174" s="5">
        <v>0</v>
      </c>
      <c r="E174" s="5">
        <f t="shared" si="8"/>
        <v>0</v>
      </c>
      <c r="F174" s="5">
        <f t="shared" si="8"/>
        <v>0</v>
      </c>
      <c r="G174" s="9">
        <f t="shared" si="9"/>
        <v>3.1334128832543051E-3</v>
      </c>
      <c r="H174" s="9">
        <f t="shared" si="9"/>
        <v>-4.690224148240274E-3</v>
      </c>
      <c r="I174" s="5">
        <f t="shared" si="10"/>
        <v>13189989.312472561</v>
      </c>
      <c r="J174" s="5">
        <f t="shared" si="11"/>
        <v>12223315.899859266</v>
      </c>
      <c r="K174" s="5"/>
      <c r="L174" s="5"/>
    </row>
    <row r="175" spans="1:12" x14ac:dyDescent="0.3">
      <c r="A175" s="1">
        <v>44454</v>
      </c>
      <c r="B175" s="5">
        <v>14426777.606269762</v>
      </c>
      <c r="C175" s="5">
        <v>13373485.577000756</v>
      </c>
      <c r="D175" s="5">
        <v>0</v>
      </c>
      <c r="E175" s="5">
        <f t="shared" si="8"/>
        <v>0</v>
      </c>
      <c r="F175" s="5">
        <f t="shared" si="8"/>
        <v>0</v>
      </c>
      <c r="G175" s="9">
        <f t="shared" si="9"/>
        <v>3.9538436142820821E-3</v>
      </c>
      <c r="H175" s="9">
        <f t="shared" si="9"/>
        <v>6.1730472148353588E-3</v>
      </c>
      <c r="I175" s="5">
        <f t="shared" si="10"/>
        <v>13242140.467488131</v>
      </c>
      <c r="J175" s="5">
        <f t="shared" si="11"/>
        <v>12298771.006030945</v>
      </c>
      <c r="K175" s="5"/>
      <c r="L175" s="5"/>
    </row>
    <row r="176" spans="1:12" x14ac:dyDescent="0.3">
      <c r="A176" s="1">
        <v>44455</v>
      </c>
      <c r="B176" s="5">
        <v>14529231.915680975</v>
      </c>
      <c r="C176" s="5">
        <v>13369510.03704877</v>
      </c>
      <c r="D176" s="5">
        <v>0</v>
      </c>
      <c r="E176" s="5">
        <f t="shared" si="8"/>
        <v>0</v>
      </c>
      <c r="F176" s="5">
        <f t="shared" si="8"/>
        <v>0</v>
      </c>
      <c r="G176" s="9">
        <f t="shared" si="9"/>
        <v>7.1016766326728042E-3</v>
      </c>
      <c r="H176" s="9">
        <f t="shared" si="9"/>
        <v>-2.9727029121129345E-4</v>
      </c>
      <c r="I176" s="5">
        <f t="shared" si="10"/>
        <v>13336181.867012663</v>
      </c>
      <c r="J176" s="5">
        <f t="shared" si="11"/>
        <v>12295114.94679244</v>
      </c>
      <c r="K176" s="5"/>
      <c r="L176" s="5"/>
    </row>
    <row r="177" spans="1:12" x14ac:dyDescent="0.3">
      <c r="A177" s="1">
        <v>44456</v>
      </c>
      <c r="B177" s="5">
        <v>14409913.006589271</v>
      </c>
      <c r="C177" s="5">
        <v>13262171.042210611</v>
      </c>
      <c r="D177" s="5">
        <v>0</v>
      </c>
      <c r="E177" s="5">
        <f t="shared" si="8"/>
        <v>0</v>
      </c>
      <c r="F177" s="5">
        <f t="shared" si="8"/>
        <v>0</v>
      </c>
      <c r="G177" s="9">
        <f t="shared" si="9"/>
        <v>-8.212334264065646E-3</v>
      </c>
      <c r="H177" s="9">
        <f t="shared" si="9"/>
        <v>-8.0286408806835574E-3</v>
      </c>
      <c r="I177" s="5">
        <f t="shared" si="10"/>
        <v>13226660.683714384</v>
      </c>
      <c r="J177" s="5">
        <f t="shared" si="11"/>
        <v>12196401.884297919</v>
      </c>
      <c r="K177" s="5"/>
      <c r="L177" s="5"/>
    </row>
    <row r="178" spans="1:12" x14ac:dyDescent="0.3">
      <c r="A178" s="1">
        <v>44459</v>
      </c>
      <c r="B178" s="5">
        <v>14141904.824604174</v>
      </c>
      <c r="C178" s="5">
        <v>13038858.266170664</v>
      </c>
      <c r="D178" s="5">
        <v>0</v>
      </c>
      <c r="E178" s="5">
        <f t="shared" si="8"/>
        <v>0</v>
      </c>
      <c r="F178" s="5">
        <f t="shared" si="8"/>
        <v>0</v>
      </c>
      <c r="G178" s="9">
        <f t="shared" si="9"/>
        <v>-1.8598875778260693E-2</v>
      </c>
      <c r="H178" s="9">
        <f t="shared" si="9"/>
        <v>-1.683832724892409E-2</v>
      </c>
      <c r="I178" s="5">
        <f t="shared" si="10"/>
        <v>12980659.664696775</v>
      </c>
      <c r="J178" s="5">
        <f t="shared" si="11"/>
        <v>11991034.878110716</v>
      </c>
      <c r="K178" s="5"/>
      <c r="L178" s="5"/>
    </row>
    <row r="179" spans="1:12" x14ac:dyDescent="0.3">
      <c r="A179" s="1">
        <v>44460</v>
      </c>
      <c r="B179" s="5">
        <v>14265647.590559088</v>
      </c>
      <c r="C179" s="5">
        <v>13039481.639865587</v>
      </c>
      <c r="D179" s="5">
        <v>0</v>
      </c>
      <c r="E179" s="5">
        <f t="shared" si="8"/>
        <v>0</v>
      </c>
      <c r="F179" s="5">
        <f t="shared" si="8"/>
        <v>0</v>
      </c>
      <c r="G179" s="9">
        <f t="shared" si="9"/>
        <v>8.7500776938920222E-3</v>
      </c>
      <c r="H179" s="9">
        <f t="shared" si="9"/>
        <v>4.7808917176483945E-5</v>
      </c>
      <c r="I179" s="5">
        <f t="shared" si="10"/>
        <v>13094241.445280842</v>
      </c>
      <c r="J179" s="5">
        <f t="shared" si="11"/>
        <v>11991608.156504065</v>
      </c>
      <c r="K179" s="5"/>
      <c r="L179" s="5"/>
    </row>
    <row r="180" spans="1:12" x14ac:dyDescent="0.3">
      <c r="A180" s="1">
        <v>44461</v>
      </c>
      <c r="B180" s="5">
        <v>14343234.863514392</v>
      </c>
      <c r="C180" s="5">
        <v>13179686.616357042</v>
      </c>
      <c r="D180" s="5">
        <v>0</v>
      </c>
      <c r="E180" s="5">
        <f t="shared" si="8"/>
        <v>0</v>
      </c>
      <c r="F180" s="5">
        <f t="shared" si="8"/>
        <v>0</v>
      </c>
      <c r="G180" s="9">
        <f t="shared" si="9"/>
        <v>5.4387487467901785E-3</v>
      </c>
      <c r="H180" s="9">
        <f t="shared" si="9"/>
        <v>1.0752342797339942E-2</v>
      </c>
      <c r="I180" s="5">
        <f t="shared" si="10"/>
        <v>13165457.734531531</v>
      </c>
      <c r="J180" s="5">
        <f t="shared" si="11"/>
        <v>12120546.038094174</v>
      </c>
      <c r="K180" s="5"/>
      <c r="L180" s="5"/>
    </row>
    <row r="181" spans="1:12" x14ac:dyDescent="0.3">
      <c r="A181" s="1">
        <v>44462</v>
      </c>
      <c r="B181" s="5">
        <v>14503560.541613573</v>
      </c>
      <c r="C181" s="5">
        <v>13322075.055066217</v>
      </c>
      <c r="D181" s="5">
        <v>0</v>
      </c>
      <c r="E181" s="5">
        <f t="shared" si="8"/>
        <v>0</v>
      </c>
      <c r="F181" s="5">
        <f t="shared" si="8"/>
        <v>0</v>
      </c>
      <c r="G181" s="9">
        <f t="shared" si="9"/>
        <v>1.1177790758137185E-2</v>
      </c>
      <c r="H181" s="9">
        <f t="shared" si="9"/>
        <v>1.0803628557636502E-2</v>
      </c>
      <c r="I181" s="5">
        <f t="shared" si="10"/>
        <v>13312618.466323223</v>
      </c>
      <c r="J181" s="5">
        <f t="shared" si="11"/>
        <v>12251491.915405476</v>
      </c>
      <c r="K181" s="5"/>
      <c r="L181" s="5"/>
    </row>
    <row r="182" spans="1:12" x14ac:dyDescent="0.3">
      <c r="A182" s="1">
        <v>44463</v>
      </c>
      <c r="B182" s="5">
        <v>14381342.164006189</v>
      </c>
      <c r="C182" s="5">
        <v>13361624.544698713</v>
      </c>
      <c r="D182" s="5">
        <v>0</v>
      </c>
      <c r="E182" s="5">
        <f t="shared" si="8"/>
        <v>0</v>
      </c>
      <c r="F182" s="5">
        <f t="shared" si="8"/>
        <v>0</v>
      </c>
      <c r="G182" s="9">
        <f t="shared" si="9"/>
        <v>-8.4267843924749064E-3</v>
      </c>
      <c r="H182" s="9">
        <f t="shared" si="9"/>
        <v>2.9687184217939144E-3</v>
      </c>
      <c r="I182" s="5">
        <f t="shared" si="10"/>
        <v>13200435.900808237</v>
      </c>
      <c r="J182" s="5">
        <f t="shared" si="11"/>
        <v>12287863.145149199</v>
      </c>
      <c r="K182" s="5"/>
      <c r="L182" s="5"/>
    </row>
    <row r="183" spans="1:12" x14ac:dyDescent="0.3">
      <c r="A183" s="1">
        <v>44466</v>
      </c>
      <c r="B183" s="5">
        <v>14340641.235946793</v>
      </c>
      <c r="C183" s="5">
        <v>13333847.729061207</v>
      </c>
      <c r="D183" s="5">
        <v>0</v>
      </c>
      <c r="E183" s="5">
        <f t="shared" si="8"/>
        <v>0</v>
      </c>
      <c r="F183" s="5">
        <f t="shared" si="8"/>
        <v>0</v>
      </c>
      <c r="G183" s="9">
        <f t="shared" si="9"/>
        <v>-2.8301202763439948E-3</v>
      </c>
      <c r="H183" s="9">
        <f t="shared" si="9"/>
        <v>-2.07885018356746E-3</v>
      </c>
      <c r="I183" s="5">
        <f t="shared" si="10"/>
        <v>13163077.079508781</v>
      </c>
      <c r="J183" s="5">
        <f t="shared" si="11"/>
        <v>12262318.518594254</v>
      </c>
      <c r="K183" s="5"/>
      <c r="L183" s="5"/>
    </row>
    <row r="184" spans="1:12" x14ac:dyDescent="0.3">
      <c r="A184" s="1">
        <v>44467</v>
      </c>
      <c r="B184" s="5">
        <v>14241478.931071239</v>
      </c>
      <c r="C184" s="5">
        <v>13124914.391696179</v>
      </c>
      <c r="D184" s="5">
        <v>0</v>
      </c>
      <c r="E184" s="5">
        <f t="shared" si="8"/>
        <v>0</v>
      </c>
      <c r="F184" s="5">
        <f t="shared" si="8"/>
        <v>0</v>
      </c>
      <c r="G184" s="9">
        <f t="shared" si="9"/>
        <v>-6.9147748168324474E-3</v>
      </c>
      <c r="H184" s="9">
        <f t="shared" si="9"/>
        <v>-1.5669395782108464E-2</v>
      </c>
      <c r="I184" s="5">
        <f t="shared" si="10"/>
        <v>13072057.36560737</v>
      </c>
      <c r="J184" s="5">
        <f t="shared" si="11"/>
        <v>12070175.396520123</v>
      </c>
      <c r="K184" s="5"/>
      <c r="L184" s="5"/>
    </row>
    <row r="185" spans="1:12" x14ac:dyDescent="0.3">
      <c r="A185" s="1">
        <v>44468</v>
      </c>
      <c r="B185" s="5">
        <v>14164782.690799324</v>
      </c>
      <c r="C185" s="5">
        <v>13159210.649117189</v>
      </c>
      <c r="D185" s="5">
        <v>0</v>
      </c>
      <c r="E185" s="5">
        <f t="shared" si="8"/>
        <v>0</v>
      </c>
      <c r="F185" s="5">
        <f t="shared" si="8"/>
        <v>0</v>
      </c>
      <c r="G185" s="9">
        <f t="shared" si="9"/>
        <v>-5.3854126136143599E-3</v>
      </c>
      <c r="H185" s="9">
        <f t="shared" si="9"/>
        <v>2.6130652282736477E-3</v>
      </c>
      <c r="I185" s="5">
        <f t="shared" si="10"/>
        <v>13001658.942984737</v>
      </c>
      <c r="J185" s="5">
        <f t="shared" si="11"/>
        <v>12101715.552147934</v>
      </c>
      <c r="K185" s="5"/>
      <c r="L185" s="5"/>
    </row>
    <row r="186" spans="1:12" x14ac:dyDescent="0.3">
      <c r="A186" s="1">
        <v>44469</v>
      </c>
      <c r="B186" s="5">
        <v>14655701.382018069</v>
      </c>
      <c r="C186" s="5">
        <v>13482376.872671578</v>
      </c>
      <c r="D186" s="5">
        <v>500000</v>
      </c>
      <c r="E186" s="5">
        <f t="shared" si="8"/>
        <v>-500000</v>
      </c>
      <c r="F186" s="5">
        <f t="shared" si="8"/>
        <v>-500000</v>
      </c>
      <c r="G186" s="9">
        <f t="shared" si="9"/>
        <v>-6.4111882119832764E-4</v>
      </c>
      <c r="H186" s="9">
        <f t="shared" si="9"/>
        <v>-1.343802308214237E-2</v>
      </c>
      <c r="I186" s="5">
        <f t="shared" si="10"/>
        <v>12993323.334729588</v>
      </c>
      <c r="J186" s="5">
        <f t="shared" si="11"/>
        <v>11939092.41922465</v>
      </c>
      <c r="K186" s="5"/>
      <c r="L186" s="5"/>
    </row>
    <row r="187" spans="1:12" x14ac:dyDescent="0.3">
      <c r="A187" s="1">
        <v>44470</v>
      </c>
      <c r="B187" s="5">
        <v>14700585.00261588</v>
      </c>
      <c r="C187" s="5">
        <v>13635554.604542984</v>
      </c>
      <c r="D187" s="5">
        <v>0</v>
      </c>
      <c r="E187" s="5">
        <f t="shared" si="8"/>
        <v>0</v>
      </c>
      <c r="F187" s="5">
        <f t="shared" si="8"/>
        <v>0</v>
      </c>
      <c r="G187" s="9">
        <f t="shared" si="9"/>
        <v>3.0625365124374859E-3</v>
      </c>
      <c r="H187" s="9">
        <f t="shared" si="9"/>
        <v>1.1361329928544883E-2</v>
      </c>
      <c r="I187" s="5">
        <f t="shared" si="10"/>
        <v>13033115.861860104</v>
      </c>
      <c r="J187" s="5">
        <f t="shared" si="11"/>
        <v>12074736.387246851</v>
      </c>
      <c r="K187" s="5"/>
      <c r="L187" s="5"/>
    </row>
    <row r="188" spans="1:12" x14ac:dyDescent="0.3">
      <c r="A188" s="1">
        <v>44473</v>
      </c>
      <c r="B188" s="5">
        <v>14923918.538614597</v>
      </c>
      <c r="C188" s="5">
        <v>13515561.72628672</v>
      </c>
      <c r="D188" s="5">
        <v>0</v>
      </c>
      <c r="E188" s="5">
        <f t="shared" si="8"/>
        <v>0</v>
      </c>
      <c r="F188" s="5">
        <f t="shared" si="8"/>
        <v>0</v>
      </c>
      <c r="G188" s="9">
        <f t="shared" si="9"/>
        <v>1.5192152962550498E-2</v>
      </c>
      <c r="H188" s="9">
        <f t="shared" si="9"/>
        <v>-8.7999998339843843E-3</v>
      </c>
      <c r="I188" s="5">
        <f t="shared" si="10"/>
        <v>13231116.951612126</v>
      </c>
      <c r="J188" s="5">
        <f t="shared" si="11"/>
        <v>11968478.709043674</v>
      </c>
      <c r="K188" s="5"/>
      <c r="L188" s="5"/>
    </row>
    <row r="189" spans="1:12" x14ac:dyDescent="0.3">
      <c r="A189" s="1">
        <v>44474</v>
      </c>
      <c r="B189" s="5">
        <v>14983629.561261909</v>
      </c>
      <c r="C189" s="5">
        <v>13668533.702606615</v>
      </c>
      <c r="D189" s="5">
        <v>0</v>
      </c>
      <c r="E189" s="5">
        <f t="shared" si="8"/>
        <v>0</v>
      </c>
      <c r="F189" s="5">
        <f t="shared" si="8"/>
        <v>0</v>
      </c>
      <c r="G189" s="9">
        <f t="shared" si="9"/>
        <v>4.0010284492517645E-3</v>
      </c>
      <c r="H189" s="9">
        <f t="shared" si="9"/>
        <v>1.1318210771985582E-2</v>
      </c>
      <c r="I189" s="5">
        <f t="shared" si="10"/>
        <v>13284055.026950903</v>
      </c>
      <c r="J189" s="5">
        <f t="shared" si="11"/>
        <v>12103940.473692652</v>
      </c>
      <c r="K189" s="5"/>
      <c r="L189" s="5"/>
    </row>
    <row r="190" spans="1:12" x14ac:dyDescent="0.3">
      <c r="A190" s="1">
        <v>44475</v>
      </c>
      <c r="B190" s="5">
        <v>14840838.213897329</v>
      </c>
      <c r="C190" s="5">
        <v>13781763.125047378</v>
      </c>
      <c r="D190" s="5">
        <v>0</v>
      </c>
      <c r="E190" s="5">
        <f t="shared" si="8"/>
        <v>0</v>
      </c>
      <c r="F190" s="5">
        <f t="shared" si="8"/>
        <v>0</v>
      </c>
      <c r="G190" s="9">
        <f t="shared" si="9"/>
        <v>-9.5298236505891865E-3</v>
      </c>
      <c r="H190" s="9">
        <f t="shared" si="9"/>
        <v>8.2839480008869426E-3</v>
      </c>
      <c r="I190" s="5">
        <f t="shared" si="10"/>
        <v>13157460.325179338</v>
      </c>
      <c r="J190" s="5">
        <f t="shared" si="11"/>
        <v>12204208.887182552</v>
      </c>
      <c r="K190" s="5"/>
      <c r="L190" s="5"/>
    </row>
    <row r="191" spans="1:12" x14ac:dyDescent="0.3">
      <c r="A191" s="1">
        <v>44476</v>
      </c>
      <c r="B191" s="5">
        <v>14997053.259367598</v>
      </c>
      <c r="C191" s="5">
        <v>13904882.760063818</v>
      </c>
      <c r="D191" s="5">
        <v>0</v>
      </c>
      <c r="E191" s="5">
        <f t="shared" si="8"/>
        <v>0</v>
      </c>
      <c r="F191" s="5">
        <f t="shared" si="8"/>
        <v>0</v>
      </c>
      <c r="G191" s="9">
        <f t="shared" si="9"/>
        <v>1.0526025768813119E-2</v>
      </c>
      <c r="H191" s="9">
        <f t="shared" si="9"/>
        <v>8.9335184402261625E-3</v>
      </c>
      <c r="I191" s="5">
        <f t="shared" si="10"/>
        <v>13295956.091614312</v>
      </c>
      <c r="J191" s="5">
        <f t="shared" si="11"/>
        <v>12313235.41232457</v>
      </c>
      <c r="K191" s="5"/>
      <c r="L191" s="5"/>
    </row>
    <row r="192" spans="1:12" x14ac:dyDescent="0.3">
      <c r="A192" s="1">
        <v>44477</v>
      </c>
      <c r="B192" s="5">
        <v>14962357.088706609</v>
      </c>
      <c r="C192" s="5">
        <v>13915567.092051949</v>
      </c>
      <c r="D192" s="5">
        <v>0</v>
      </c>
      <c r="E192" s="5">
        <f t="shared" si="8"/>
        <v>0</v>
      </c>
      <c r="F192" s="5">
        <f t="shared" si="8"/>
        <v>0</v>
      </c>
      <c r="G192" s="9">
        <f t="shared" si="9"/>
        <v>-2.3135325360879033E-3</v>
      </c>
      <c r="H192" s="9">
        <f t="shared" si="9"/>
        <v>7.6838706032233972E-4</v>
      </c>
      <c r="I192" s="5">
        <f t="shared" si="10"/>
        <v>13265195.464597967</v>
      </c>
      <c r="J192" s="5">
        <f t="shared" si="11"/>
        <v>12322696.743086103</v>
      </c>
      <c r="K192" s="5"/>
      <c r="L192" s="5"/>
    </row>
    <row r="193" spans="1:12" x14ac:dyDescent="0.3">
      <c r="A193" s="1">
        <v>44480</v>
      </c>
      <c r="B193" s="5">
        <v>15029585.282562813</v>
      </c>
      <c r="C193" s="5">
        <v>13888749.948309423</v>
      </c>
      <c r="D193" s="5">
        <v>0</v>
      </c>
      <c r="E193" s="5">
        <f t="shared" si="8"/>
        <v>0</v>
      </c>
      <c r="F193" s="5">
        <f t="shared" si="8"/>
        <v>0</v>
      </c>
      <c r="G193" s="9">
        <f t="shared" si="9"/>
        <v>4.4931552868061608E-3</v>
      </c>
      <c r="H193" s="9">
        <f t="shared" si="9"/>
        <v>-1.9271326540363232E-3</v>
      </c>
      <c r="I193" s="5">
        <f t="shared" si="10"/>
        <v>13324798.047730243</v>
      </c>
      <c r="J193" s="5">
        <f t="shared" si="11"/>
        <v>12298949.271806715</v>
      </c>
      <c r="K193" s="5"/>
      <c r="L193" s="5"/>
    </row>
    <row r="194" spans="1:12" x14ac:dyDescent="0.3">
      <c r="A194" s="1">
        <v>44481</v>
      </c>
      <c r="B194" s="5">
        <v>15142898.847107267</v>
      </c>
      <c r="C194" s="5">
        <v>13861932.804566896</v>
      </c>
      <c r="D194" s="5">
        <v>0</v>
      </c>
      <c r="E194" s="5">
        <f t="shared" si="8"/>
        <v>0</v>
      </c>
      <c r="F194" s="5">
        <f t="shared" si="8"/>
        <v>0</v>
      </c>
      <c r="G194" s="9">
        <f t="shared" si="9"/>
        <v>7.5393673487398338E-3</v>
      </c>
      <c r="H194" s="9">
        <f t="shared" si="9"/>
        <v>-1.9308536651847508E-3</v>
      </c>
      <c r="I194" s="5">
        <f t="shared" si="10"/>
        <v>13425258.595059853</v>
      </c>
      <c r="J194" s="5">
        <f t="shared" si="11"/>
        <v>12275201.800527325</v>
      </c>
      <c r="K194" s="5"/>
      <c r="L194" s="5"/>
    </row>
    <row r="195" spans="1:12" x14ac:dyDescent="0.3">
      <c r="A195" s="1">
        <v>44482</v>
      </c>
      <c r="B195" s="5">
        <v>15289661.953588186</v>
      </c>
      <c r="C195" s="5">
        <v>13880165.616498293</v>
      </c>
      <c r="D195" s="5">
        <v>0</v>
      </c>
      <c r="E195" s="5">
        <f t="shared" ref="E195:F258" si="12">$D195*-1</f>
        <v>0</v>
      </c>
      <c r="F195" s="5">
        <f t="shared" si="12"/>
        <v>0</v>
      </c>
      <c r="G195" s="9">
        <f t="shared" si="9"/>
        <v>9.691876566219948E-3</v>
      </c>
      <c r="H195" s="9">
        <f t="shared" si="9"/>
        <v>1.3153152730180917E-3</v>
      </c>
      <c r="I195" s="5">
        <f t="shared" si="10"/>
        <v>13555374.544232756</v>
      </c>
      <c r="J195" s="5">
        <f t="shared" si="11"/>
        <v>12291347.560934938</v>
      </c>
      <c r="K195" s="5"/>
      <c r="L195" s="5"/>
    </row>
    <row r="196" spans="1:12" x14ac:dyDescent="0.3">
      <c r="A196" s="1">
        <v>44483</v>
      </c>
      <c r="B196" s="5">
        <v>15421099.006529791</v>
      </c>
      <c r="C196" s="5">
        <v>14090453.04519484</v>
      </c>
      <c r="D196" s="5">
        <v>0</v>
      </c>
      <c r="E196" s="5">
        <f t="shared" si="12"/>
        <v>0</v>
      </c>
      <c r="F196" s="5">
        <f t="shared" si="12"/>
        <v>0</v>
      </c>
      <c r="G196" s="9">
        <f t="shared" ref="G196:H259" si="13">((B196-$D196)/B195-1)</f>
        <v>8.5964655948955748E-3</v>
      </c>
      <c r="H196" s="9">
        <f t="shared" si="13"/>
        <v>1.515021034378683E-2</v>
      </c>
      <c r="I196" s="5">
        <f t="shared" ref="I196:I259" si="14">I195*(1+G196)</f>
        <v>13671902.855128177</v>
      </c>
      <c r="J196" s="5">
        <f t="shared" ref="J196:J259" si="15">J195*(1+H196)</f>
        <v>12477564.061891694</v>
      </c>
      <c r="K196" s="5"/>
      <c r="L196" s="5"/>
    </row>
    <row r="197" spans="1:12" x14ac:dyDescent="0.3">
      <c r="A197" s="1">
        <v>44487</v>
      </c>
      <c r="B197" s="5">
        <v>15459385.467917413</v>
      </c>
      <c r="C197" s="5">
        <v>14270008.113264481</v>
      </c>
      <c r="D197" s="5">
        <v>0</v>
      </c>
      <c r="E197" s="5">
        <f t="shared" si="12"/>
        <v>0</v>
      </c>
      <c r="F197" s="5">
        <f t="shared" si="12"/>
        <v>0</v>
      </c>
      <c r="G197" s="9">
        <f t="shared" si="13"/>
        <v>2.4827323507494725E-3</v>
      </c>
      <c r="H197" s="9">
        <f t="shared" si="13"/>
        <v>1.2743030156214363E-2</v>
      </c>
      <c r="I197" s="5">
        <f t="shared" si="14"/>
        <v>13705846.530642908</v>
      </c>
      <c r="J197" s="5">
        <f t="shared" si="15"/>
        <v>12636566.037008476</v>
      </c>
      <c r="K197" s="5"/>
      <c r="L197" s="5"/>
    </row>
    <row r="198" spans="1:12" x14ac:dyDescent="0.3">
      <c r="A198" s="1">
        <v>44488</v>
      </c>
      <c r="B198" s="5">
        <v>15244082.714162091</v>
      </c>
      <c r="C198" s="5">
        <v>14326095.904324954</v>
      </c>
      <c r="D198" s="5">
        <v>0</v>
      </c>
      <c r="E198" s="5">
        <f t="shared" si="12"/>
        <v>0</v>
      </c>
      <c r="F198" s="5">
        <f t="shared" si="12"/>
        <v>0</v>
      </c>
      <c r="G198" s="9">
        <f t="shared" si="13"/>
        <v>-1.3926993036180835E-2</v>
      </c>
      <c r="H198" s="9">
        <f t="shared" si="13"/>
        <v>3.9304666553299228E-3</v>
      </c>
      <c r="I198" s="5">
        <f t="shared" si="14"/>
        <v>13514965.30145568</v>
      </c>
      <c r="J198" s="5">
        <f t="shared" si="15"/>
        <v>12686233.638454812</v>
      </c>
      <c r="K198" s="5"/>
      <c r="L198" s="5"/>
    </row>
    <row r="199" spans="1:12" x14ac:dyDescent="0.3">
      <c r="A199" s="1">
        <v>44489</v>
      </c>
      <c r="B199" s="5">
        <v>14980340.954686612</v>
      </c>
      <c r="C199" s="5">
        <v>14334679.427666336</v>
      </c>
      <c r="D199" s="5">
        <v>0</v>
      </c>
      <c r="E199" s="5">
        <f t="shared" si="12"/>
        <v>0</v>
      </c>
      <c r="F199" s="5">
        <f t="shared" si="12"/>
        <v>0</v>
      </c>
      <c r="G199" s="9">
        <f t="shared" si="13"/>
        <v>-1.7301254816103673E-2</v>
      </c>
      <c r="H199" s="9">
        <f t="shared" si="13"/>
        <v>5.991530001407952E-4</v>
      </c>
      <c r="I199" s="5">
        <f t="shared" si="14"/>
        <v>13281139.442944396</v>
      </c>
      <c r="J199" s="5">
        <f t="shared" si="15"/>
        <v>12693834.633399779</v>
      </c>
      <c r="K199" s="5"/>
      <c r="L199" s="5"/>
    </row>
    <row r="200" spans="1:12" x14ac:dyDescent="0.3">
      <c r="A200" s="1">
        <v>44490</v>
      </c>
      <c r="B200" s="5">
        <v>14869575.499255085</v>
      </c>
      <c r="C200" s="5">
        <v>14372911.962168911</v>
      </c>
      <c r="D200" s="5">
        <v>0</v>
      </c>
      <c r="E200" s="5">
        <f t="shared" si="12"/>
        <v>0</v>
      </c>
      <c r="F200" s="5">
        <f t="shared" si="12"/>
        <v>0</v>
      </c>
      <c r="G200" s="9">
        <f t="shared" si="13"/>
        <v>-7.3940543654230639E-3</v>
      </c>
      <c r="H200" s="9">
        <f t="shared" si="13"/>
        <v>2.6671356478880082E-3</v>
      </c>
      <c r="I200" s="5">
        <f t="shared" si="14"/>
        <v>13182937.975868501</v>
      </c>
      <c r="J200" s="5">
        <f t="shared" si="15"/>
        <v>12727690.812258914</v>
      </c>
      <c r="K200" s="5"/>
      <c r="L200" s="5"/>
    </row>
    <row r="201" spans="1:12" x14ac:dyDescent="0.3">
      <c r="A201" s="1">
        <v>44491</v>
      </c>
      <c r="B201" s="5">
        <v>14662587.759092346</v>
      </c>
      <c r="C201" s="5">
        <v>14371154.34893126</v>
      </c>
      <c r="D201" s="5">
        <v>0</v>
      </c>
      <c r="E201" s="5">
        <f t="shared" si="12"/>
        <v>0</v>
      </c>
      <c r="F201" s="5">
        <f t="shared" si="12"/>
        <v>0</v>
      </c>
      <c r="G201" s="9">
        <f t="shared" si="13"/>
        <v>-1.3920218514180793E-2</v>
      </c>
      <c r="H201" s="9">
        <f t="shared" si="13"/>
        <v>-1.2228650967027743E-4</v>
      </c>
      <c r="I201" s="5">
        <f t="shared" si="14"/>
        <v>12999428.598585518</v>
      </c>
      <c r="J201" s="5">
        <f t="shared" si="15"/>
        <v>12726134.387373321</v>
      </c>
      <c r="K201" s="5"/>
      <c r="L201" s="5"/>
    </row>
    <row r="202" spans="1:12" x14ac:dyDescent="0.3">
      <c r="A202" s="1">
        <v>44494</v>
      </c>
      <c r="B202" s="5">
        <v>14535047.667543609</v>
      </c>
      <c r="C202" s="5">
        <v>14474162.288316071</v>
      </c>
      <c r="D202" s="5">
        <v>0</v>
      </c>
      <c r="E202" s="5">
        <f t="shared" si="12"/>
        <v>0</v>
      </c>
      <c r="F202" s="5">
        <f t="shared" si="12"/>
        <v>0</v>
      </c>
      <c r="G202" s="9">
        <f t="shared" si="13"/>
        <v>-8.6983344034650134E-3</v>
      </c>
      <c r="H202" s="9">
        <f t="shared" si="13"/>
        <v>7.167687221484087E-3</v>
      </c>
      <c r="I202" s="5">
        <f t="shared" si="14"/>
        <v>12886355.221581055</v>
      </c>
      <c r="J202" s="5">
        <f t="shared" si="15"/>
        <v>12817351.338200586</v>
      </c>
      <c r="K202" s="5"/>
      <c r="L202" s="5"/>
    </row>
    <row r="203" spans="1:12" x14ac:dyDescent="0.3">
      <c r="A203" s="1">
        <v>44495</v>
      </c>
      <c r="B203" s="5">
        <v>14706681.017078808</v>
      </c>
      <c r="C203" s="5">
        <v>14471574.376644626</v>
      </c>
      <c r="D203" s="5">
        <v>0</v>
      </c>
      <c r="E203" s="5">
        <f t="shared" si="12"/>
        <v>0</v>
      </c>
      <c r="F203" s="5">
        <f t="shared" si="12"/>
        <v>0</v>
      </c>
      <c r="G203" s="9">
        <f t="shared" si="13"/>
        <v>1.1808241256645591E-2</v>
      </c>
      <c r="H203" s="9">
        <f t="shared" si="13"/>
        <v>-1.7879526427122538E-4</v>
      </c>
      <c r="I203" s="5">
        <f t="shared" si="14"/>
        <v>13038520.412956318</v>
      </c>
      <c r="J203" s="5">
        <f t="shared" si="15"/>
        <v>12815059.656480815</v>
      </c>
      <c r="K203" s="5"/>
      <c r="L203" s="5"/>
    </row>
    <row r="204" spans="1:12" x14ac:dyDescent="0.3">
      <c r="A204" s="1">
        <v>44496</v>
      </c>
      <c r="B204" s="5">
        <v>14783550.63749049</v>
      </c>
      <c r="C204" s="5">
        <v>14419873.746685402</v>
      </c>
      <c r="D204" s="5">
        <v>0</v>
      </c>
      <c r="E204" s="5">
        <f t="shared" si="12"/>
        <v>0</v>
      </c>
      <c r="F204" s="5">
        <f t="shared" si="12"/>
        <v>0</v>
      </c>
      <c r="G204" s="9">
        <f t="shared" si="13"/>
        <v>5.2268503221368778E-3</v>
      </c>
      <c r="H204" s="9">
        <f t="shared" si="13"/>
        <v>-3.5725642983711614E-3</v>
      </c>
      <c r="I204" s="5">
        <f t="shared" si="14"/>
        <v>13106670.807576967</v>
      </c>
      <c r="J204" s="5">
        <f t="shared" si="15"/>
        <v>12769277.031870576</v>
      </c>
      <c r="K204" s="5"/>
      <c r="L204" s="5"/>
    </row>
    <row r="205" spans="1:12" x14ac:dyDescent="0.3">
      <c r="A205" s="1">
        <v>44497</v>
      </c>
      <c r="B205" s="5">
        <v>14470230.453640638</v>
      </c>
      <c r="C205" s="5">
        <v>14515731.781713961</v>
      </c>
      <c r="D205" s="5">
        <v>0</v>
      </c>
      <c r="E205" s="5">
        <f t="shared" si="12"/>
        <v>0</v>
      </c>
      <c r="F205" s="5">
        <f t="shared" si="12"/>
        <v>0</v>
      </c>
      <c r="G205" s="9">
        <f t="shared" si="13"/>
        <v>-2.1193838444689028E-2</v>
      </c>
      <c r="H205" s="9">
        <f t="shared" si="13"/>
        <v>6.6476334475946697E-3</v>
      </c>
      <c r="I205" s="5">
        <f t="shared" si="14"/>
        <v>12828890.14393346</v>
      </c>
      <c r="J205" s="5">
        <f t="shared" si="15"/>
        <v>12854162.504969241</v>
      </c>
      <c r="K205" s="5"/>
      <c r="L205" s="5"/>
    </row>
    <row r="206" spans="1:12" x14ac:dyDescent="0.3">
      <c r="A206" s="1">
        <v>44498</v>
      </c>
      <c r="B206" s="5">
        <v>14555953.631253898</v>
      </c>
      <c r="C206" s="5">
        <v>14590382.846716361</v>
      </c>
      <c r="D206" s="5">
        <v>0</v>
      </c>
      <c r="E206" s="5">
        <f t="shared" si="12"/>
        <v>0</v>
      </c>
      <c r="F206" s="5">
        <f t="shared" si="12"/>
        <v>0</v>
      </c>
      <c r="G206" s="9">
        <f t="shared" si="13"/>
        <v>5.9241059005865626E-3</v>
      </c>
      <c r="H206" s="9">
        <f t="shared" si="13"/>
        <v>5.1427696601862305E-3</v>
      </c>
      <c r="I206" s="5">
        <f t="shared" si="14"/>
        <v>12904889.847733114</v>
      </c>
      <c r="J206" s="5">
        <f t="shared" si="15"/>
        <v>12920268.5019069</v>
      </c>
      <c r="K206" s="5"/>
      <c r="L206" s="5"/>
    </row>
    <row r="207" spans="1:12" x14ac:dyDescent="0.3">
      <c r="A207" s="1">
        <v>44501</v>
      </c>
      <c r="B207" s="5">
        <v>14740135.54553017</v>
      </c>
      <c r="C207" s="5">
        <v>14583673.154139273</v>
      </c>
      <c r="D207" s="5">
        <v>0</v>
      </c>
      <c r="E207" s="5">
        <f t="shared" si="12"/>
        <v>0</v>
      </c>
      <c r="F207" s="5">
        <f t="shared" si="12"/>
        <v>0</v>
      </c>
      <c r="G207" s="9">
        <f t="shared" si="13"/>
        <v>1.265337324796123E-2</v>
      </c>
      <c r="H207" s="9">
        <f t="shared" si="13"/>
        <v>-4.5987090589594271E-4</v>
      </c>
      <c r="I207" s="5">
        <f t="shared" si="14"/>
        <v>13068180.235700307</v>
      </c>
      <c r="J207" s="5">
        <f t="shared" si="15"/>
        <v>12914326.846326509</v>
      </c>
      <c r="K207" s="5"/>
      <c r="L207" s="5"/>
    </row>
    <row r="208" spans="1:12" x14ac:dyDescent="0.3">
      <c r="A208" s="1">
        <v>44502</v>
      </c>
      <c r="B208" s="5">
        <v>14746637.960957294</v>
      </c>
      <c r="C208" s="5">
        <v>14598243.395983331</v>
      </c>
      <c r="D208" s="5">
        <v>0</v>
      </c>
      <c r="E208" s="5">
        <f t="shared" si="12"/>
        <v>0</v>
      </c>
      <c r="F208" s="5">
        <f t="shared" si="12"/>
        <v>0</v>
      </c>
      <c r="G208" s="9">
        <f t="shared" si="13"/>
        <v>4.4113674579437934E-4</v>
      </c>
      <c r="H208" s="9">
        <f t="shared" si="13"/>
        <v>9.9907901734086479E-4</v>
      </c>
      <c r="I208" s="5">
        <f t="shared" si="14"/>
        <v>13073945.090202939</v>
      </c>
      <c r="J208" s="5">
        <f t="shared" si="15"/>
        <v>12927229.279301757</v>
      </c>
      <c r="K208" s="5"/>
      <c r="L208" s="5"/>
    </row>
    <row r="209" spans="1:12" x14ac:dyDescent="0.3">
      <c r="A209" s="1">
        <v>44503</v>
      </c>
      <c r="B209" s="5">
        <v>14830650.763960507</v>
      </c>
      <c r="C209" s="5">
        <v>14668924.066040875</v>
      </c>
      <c r="D209" s="5">
        <v>0</v>
      </c>
      <c r="E209" s="5">
        <f t="shared" si="12"/>
        <v>0</v>
      </c>
      <c r="F209" s="5">
        <f t="shared" si="12"/>
        <v>0</v>
      </c>
      <c r="G209" s="9">
        <f t="shared" si="13"/>
        <v>5.6970818179467031E-3</v>
      </c>
      <c r="H209" s="9">
        <f t="shared" si="13"/>
        <v>4.841724318488394E-3</v>
      </c>
      <c r="I209" s="5">
        <f t="shared" si="14"/>
        <v>13148428.425065167</v>
      </c>
      <c r="J209" s="5">
        <f t="shared" si="15"/>
        <v>12989819.359674027</v>
      </c>
      <c r="K209" s="5"/>
      <c r="L209" s="5"/>
    </row>
    <row r="210" spans="1:12" x14ac:dyDescent="0.3">
      <c r="A210" s="1">
        <v>44504</v>
      </c>
      <c r="B210" s="5">
        <v>14909126.042169377</v>
      </c>
      <c r="C210" s="5">
        <v>14736144.48556615</v>
      </c>
      <c r="D210" s="5">
        <v>0</v>
      </c>
      <c r="E210" s="5">
        <f t="shared" si="12"/>
        <v>0</v>
      </c>
      <c r="F210" s="5">
        <f t="shared" si="12"/>
        <v>0</v>
      </c>
      <c r="G210" s="9">
        <f t="shared" si="13"/>
        <v>5.2914251341937835E-3</v>
      </c>
      <c r="H210" s="9">
        <f t="shared" si="13"/>
        <v>4.5825051123478122E-3</v>
      </c>
      <c r="I210" s="5">
        <f t="shared" si="14"/>
        <v>13218002.349708704</v>
      </c>
      <c r="J210" s="5">
        <f t="shared" si="15"/>
        <v>13049345.273298208</v>
      </c>
      <c r="K210" s="5"/>
      <c r="L210" s="5"/>
    </row>
    <row r="211" spans="1:12" x14ac:dyDescent="0.3">
      <c r="A211" s="1">
        <v>44508</v>
      </c>
      <c r="B211" s="5">
        <v>15105190.821447825</v>
      </c>
      <c r="C211" s="5">
        <v>14682767.695696643</v>
      </c>
      <c r="D211" s="5">
        <v>0</v>
      </c>
      <c r="E211" s="5">
        <f t="shared" si="12"/>
        <v>0</v>
      </c>
      <c r="F211" s="5">
        <f t="shared" si="12"/>
        <v>0</v>
      </c>
      <c r="G211" s="9">
        <f t="shared" si="13"/>
        <v>1.3150655425669733E-2</v>
      </c>
      <c r="H211" s="9">
        <f t="shared" si="13"/>
        <v>-3.6221679233526816E-3</v>
      </c>
      <c r="I211" s="5">
        <f t="shared" si="14"/>
        <v>13391827.744025417</v>
      </c>
      <c r="J211" s="5">
        <f t="shared" si="15"/>
        <v>13002078.353428513</v>
      </c>
      <c r="K211" s="5"/>
      <c r="L211" s="5"/>
    </row>
    <row r="212" spans="1:12" x14ac:dyDescent="0.3">
      <c r="A212" s="1">
        <v>44509</v>
      </c>
      <c r="B212" s="5">
        <v>15168484.655049423</v>
      </c>
      <c r="C212" s="5">
        <v>14670055.317339307</v>
      </c>
      <c r="D212" s="5">
        <v>0</v>
      </c>
      <c r="E212" s="5">
        <f t="shared" si="12"/>
        <v>0</v>
      </c>
      <c r="F212" s="5">
        <f t="shared" si="12"/>
        <v>0</v>
      </c>
      <c r="G212" s="9">
        <f t="shared" si="13"/>
        <v>4.1902041721795236E-3</v>
      </c>
      <c r="H212" s="9">
        <f t="shared" si="13"/>
        <v>-8.658025939525249E-4</v>
      </c>
      <c r="I212" s="5">
        <f t="shared" si="14"/>
        <v>13447942.236511542</v>
      </c>
      <c r="J212" s="5">
        <f t="shared" si="15"/>
        <v>12990821.12026334</v>
      </c>
      <c r="K212" s="5"/>
      <c r="L212" s="5"/>
    </row>
    <row r="213" spans="1:12" x14ac:dyDescent="0.3">
      <c r="A213" s="1">
        <v>44510</v>
      </c>
      <c r="B213" s="5">
        <v>15194940.6098413</v>
      </c>
      <c r="C213" s="5">
        <v>14584059.198445152</v>
      </c>
      <c r="D213" s="5">
        <v>0</v>
      </c>
      <c r="E213" s="5">
        <f t="shared" si="12"/>
        <v>0</v>
      </c>
      <c r="F213" s="5">
        <f t="shared" si="12"/>
        <v>0</v>
      </c>
      <c r="G213" s="9">
        <f t="shared" si="13"/>
        <v>1.7441396021764533E-3</v>
      </c>
      <c r="H213" s="9">
        <f t="shared" si="13"/>
        <v>-5.8620173567111022E-3</v>
      </c>
      <c r="I213" s="5">
        <f t="shared" si="14"/>
        <v>13471397.325134022</v>
      </c>
      <c r="J213" s="5">
        <f t="shared" si="15"/>
        <v>12914668.701378427</v>
      </c>
      <c r="K213" s="5"/>
      <c r="L213" s="5"/>
    </row>
    <row r="214" spans="1:12" x14ac:dyDescent="0.3">
      <c r="A214" s="1">
        <v>44511</v>
      </c>
      <c r="B214" s="5">
        <v>15131477.234733164</v>
      </c>
      <c r="C214" s="5">
        <v>14655325.200602083</v>
      </c>
      <c r="D214" s="5">
        <v>0</v>
      </c>
      <c r="E214" s="5">
        <f t="shared" si="12"/>
        <v>0</v>
      </c>
      <c r="F214" s="5">
        <f t="shared" si="12"/>
        <v>0</v>
      </c>
      <c r="G214" s="9">
        <f t="shared" si="13"/>
        <v>-4.176612251253764E-3</v>
      </c>
      <c r="H214" s="9">
        <f t="shared" si="13"/>
        <v>4.8865683543390936E-3</v>
      </c>
      <c r="I214" s="5">
        <f t="shared" si="14"/>
        <v>13415132.52202436</v>
      </c>
      <c r="J214" s="5">
        <f t="shared" si="15"/>
        <v>12977777.112761356</v>
      </c>
      <c r="K214" s="5"/>
      <c r="L214" s="5"/>
    </row>
    <row r="215" spans="1:12" x14ac:dyDescent="0.3">
      <c r="A215" s="1">
        <v>44512</v>
      </c>
      <c r="B215" s="5">
        <v>15315806.251198931</v>
      </c>
      <c r="C215" s="5">
        <v>14726591.202759013</v>
      </c>
      <c r="D215" s="5">
        <v>0</v>
      </c>
      <c r="E215" s="5">
        <f t="shared" si="12"/>
        <v>0</v>
      </c>
      <c r="F215" s="5">
        <f t="shared" si="12"/>
        <v>0</v>
      </c>
      <c r="G215" s="9">
        <f t="shared" si="13"/>
        <v>1.218182558161951E-2</v>
      </c>
      <c r="H215" s="9">
        <f t="shared" si="13"/>
        <v>4.862805920813118E-3</v>
      </c>
      <c r="I215" s="5">
        <f t="shared" si="14"/>
        <v>13578553.326561972</v>
      </c>
      <c r="J215" s="5">
        <f t="shared" si="15"/>
        <v>13040885.524144284</v>
      </c>
      <c r="K215" s="5"/>
      <c r="L215" s="5"/>
    </row>
    <row r="216" spans="1:12" x14ac:dyDescent="0.3">
      <c r="A216" s="1">
        <v>44515</v>
      </c>
      <c r="B216" s="5">
        <v>15357211.777655315</v>
      </c>
      <c r="C216" s="5">
        <v>14717160.20100164</v>
      </c>
      <c r="D216" s="5">
        <v>0</v>
      </c>
      <c r="E216" s="5">
        <f t="shared" si="12"/>
        <v>0</v>
      </c>
      <c r="F216" s="5">
        <f t="shared" si="12"/>
        <v>0</v>
      </c>
      <c r="G216" s="9">
        <f t="shared" si="13"/>
        <v>2.703450655961559E-3</v>
      </c>
      <c r="H216" s="9">
        <f t="shared" si="13"/>
        <v>-6.4040629820738548E-4</v>
      </c>
      <c r="I216" s="5">
        <f t="shared" si="14"/>
        <v>13615262.275459675</v>
      </c>
      <c r="J216" s="5">
        <f t="shared" si="15"/>
        <v>13032534.058920421</v>
      </c>
      <c r="K216" s="5"/>
      <c r="L216" s="5"/>
    </row>
    <row r="217" spans="1:12" x14ac:dyDescent="0.3">
      <c r="A217" s="1">
        <v>44516</v>
      </c>
      <c r="B217" s="5">
        <v>15332299.149224401</v>
      </c>
      <c r="C217" s="5">
        <v>14800669.062708288</v>
      </c>
      <c r="D217" s="5">
        <v>0</v>
      </c>
      <c r="E217" s="5">
        <f t="shared" si="12"/>
        <v>0</v>
      </c>
      <c r="F217" s="5">
        <f t="shared" si="12"/>
        <v>0</v>
      </c>
      <c r="G217" s="9">
        <f t="shared" si="13"/>
        <v>-1.6222103850362934E-3</v>
      </c>
      <c r="H217" s="9">
        <f t="shared" si="13"/>
        <v>5.6742510488514419E-3</v>
      </c>
      <c r="I217" s="5">
        <f t="shared" si="14"/>
        <v>13593175.455601431</v>
      </c>
      <c r="J217" s="5">
        <f t="shared" si="15"/>
        <v>13106483.928973442</v>
      </c>
      <c r="K217" s="5"/>
      <c r="L217" s="5"/>
    </row>
    <row r="218" spans="1:12" x14ac:dyDescent="0.3">
      <c r="A218" s="1">
        <v>44517</v>
      </c>
      <c r="B218" s="5">
        <v>15315923.434299035</v>
      </c>
      <c r="C218" s="5">
        <v>14725433.676193694</v>
      </c>
      <c r="D218" s="5">
        <v>0</v>
      </c>
      <c r="E218" s="5">
        <f t="shared" si="12"/>
        <v>0</v>
      </c>
      <c r="F218" s="5">
        <f t="shared" si="12"/>
        <v>0</v>
      </c>
      <c r="G218" s="9">
        <f t="shared" si="13"/>
        <v>-1.0680534449520884E-3</v>
      </c>
      <c r="H218" s="9">
        <f t="shared" si="13"/>
        <v>-5.0832422639701669E-3</v>
      </c>
      <c r="I218" s="5">
        <f t="shared" si="14"/>
        <v>13578657.217728239</v>
      </c>
      <c r="J218" s="5">
        <f t="shared" si="15"/>
        <v>13039860.495933639</v>
      </c>
      <c r="K218" s="5"/>
      <c r="L218" s="5"/>
    </row>
    <row r="219" spans="1:12" x14ac:dyDescent="0.3">
      <c r="A219" s="1">
        <v>44518</v>
      </c>
      <c r="B219" s="5">
        <v>15099221.963114794</v>
      </c>
      <c r="C219" s="5">
        <v>14770630.975479648</v>
      </c>
      <c r="D219" s="5">
        <v>0</v>
      </c>
      <c r="E219" s="5">
        <f t="shared" si="12"/>
        <v>0</v>
      </c>
      <c r="F219" s="5">
        <f t="shared" si="12"/>
        <v>0</v>
      </c>
      <c r="G219" s="9">
        <f t="shared" si="13"/>
        <v>-1.4148769554367946E-2</v>
      </c>
      <c r="H219" s="9">
        <f t="shared" si="13"/>
        <v>3.0693357003823696E-3</v>
      </c>
      <c r="I219" s="5">
        <f t="shared" si="14"/>
        <v>13386535.925896848</v>
      </c>
      <c r="J219" s="5">
        <f t="shared" si="15"/>
        <v>13079884.205281815</v>
      </c>
      <c r="K219" s="5"/>
      <c r="L219" s="5"/>
    </row>
    <row r="220" spans="1:12" x14ac:dyDescent="0.3">
      <c r="A220" s="1">
        <v>44522</v>
      </c>
      <c r="B220" s="5">
        <v>14818436.295717604</v>
      </c>
      <c r="C220" s="5">
        <v>14728274.032544741</v>
      </c>
      <c r="D220" s="5">
        <v>0</v>
      </c>
      <c r="E220" s="5">
        <f t="shared" si="12"/>
        <v>0</v>
      </c>
      <c r="F220" s="5">
        <f t="shared" si="12"/>
        <v>0</v>
      </c>
      <c r="G220" s="9">
        <f t="shared" si="13"/>
        <v>-1.8596035483358531E-2</v>
      </c>
      <c r="H220" s="9">
        <f t="shared" si="13"/>
        <v>-2.8676461422143529E-3</v>
      </c>
      <c r="I220" s="5">
        <f t="shared" si="14"/>
        <v>13137599.428819615</v>
      </c>
      <c r="J220" s="5">
        <f t="shared" si="15"/>
        <v>13042375.725799927</v>
      </c>
      <c r="K220" s="5"/>
      <c r="L220" s="5"/>
    </row>
    <row r="221" spans="1:12" x14ac:dyDescent="0.3">
      <c r="A221" s="1">
        <v>44523</v>
      </c>
      <c r="B221" s="5">
        <v>15041256.220681816</v>
      </c>
      <c r="C221" s="5">
        <v>14776670.042398671</v>
      </c>
      <c r="D221" s="5">
        <v>0</v>
      </c>
      <c r="E221" s="5">
        <f t="shared" si="12"/>
        <v>0</v>
      </c>
      <c r="F221" s="5">
        <f t="shared" si="12"/>
        <v>0</v>
      </c>
      <c r="G221" s="9">
        <f t="shared" si="13"/>
        <v>1.5036669221880405E-2</v>
      </c>
      <c r="H221" s="9">
        <f t="shared" si="13"/>
        <v>3.2859254076200717E-3</v>
      </c>
      <c r="I221" s="5">
        <f t="shared" si="14"/>
        <v>13335145.16580034</v>
      </c>
      <c r="J221" s="5">
        <f t="shared" si="15"/>
        <v>13085231.999573061</v>
      </c>
      <c r="K221" s="5"/>
      <c r="L221" s="5"/>
    </row>
    <row r="222" spans="1:12" x14ac:dyDescent="0.3">
      <c r="A222" s="1">
        <v>44524</v>
      </c>
      <c r="B222" s="5">
        <v>14960938.425218096</v>
      </c>
      <c r="C222" s="5">
        <v>14827129.671290828</v>
      </c>
      <c r="D222" s="5">
        <v>0</v>
      </c>
      <c r="E222" s="5">
        <f t="shared" si="12"/>
        <v>0</v>
      </c>
      <c r="F222" s="5">
        <f t="shared" si="12"/>
        <v>0</v>
      </c>
      <c r="G222" s="9">
        <f t="shared" si="13"/>
        <v>-5.33983294249607E-3</v>
      </c>
      <c r="H222" s="9">
        <f t="shared" si="13"/>
        <v>3.4148173267301019E-3</v>
      </c>
      <c r="I222" s="5">
        <f t="shared" si="14"/>
        <v>13263937.718351033</v>
      </c>
      <c r="J222" s="5">
        <f t="shared" si="15"/>
        <v>13129915.676529486</v>
      </c>
      <c r="K222" s="5"/>
      <c r="L222" s="5"/>
    </row>
    <row r="223" spans="1:12" x14ac:dyDescent="0.3">
      <c r="A223" s="1">
        <v>44525</v>
      </c>
      <c r="B223" s="5">
        <v>15089952.031919224</v>
      </c>
      <c r="C223" s="5">
        <v>14552681.476839889</v>
      </c>
      <c r="D223" s="5">
        <v>0</v>
      </c>
      <c r="E223" s="5">
        <f t="shared" si="12"/>
        <v>0</v>
      </c>
      <c r="F223" s="5">
        <f t="shared" si="12"/>
        <v>0</v>
      </c>
      <c r="G223" s="9">
        <f t="shared" si="13"/>
        <v>8.6233632566565799E-3</v>
      </c>
      <c r="H223" s="9">
        <f t="shared" si="13"/>
        <v>-1.8509866746653114E-2</v>
      </c>
      <c r="I223" s="5">
        <f t="shared" si="14"/>
        <v>13378317.471510042</v>
      </c>
      <c r="J223" s="5">
        <f t="shared" si="15"/>
        <v>12886882.686962133</v>
      </c>
      <c r="K223" s="5"/>
      <c r="L223" s="5"/>
    </row>
    <row r="224" spans="1:12" x14ac:dyDescent="0.3">
      <c r="A224" s="1">
        <v>44526</v>
      </c>
      <c r="B224" s="5">
        <v>14633895.35236867</v>
      </c>
      <c r="C224" s="5">
        <v>14552681.476839889</v>
      </c>
      <c r="D224" s="5">
        <v>0</v>
      </c>
      <c r="E224" s="5">
        <f t="shared" si="12"/>
        <v>0</v>
      </c>
      <c r="F224" s="5">
        <f t="shared" si="12"/>
        <v>0</v>
      </c>
      <c r="G224" s="9">
        <f t="shared" si="13"/>
        <v>-3.0222540044254287E-2</v>
      </c>
      <c r="H224" s="9">
        <f t="shared" si="13"/>
        <v>0</v>
      </c>
      <c r="I224" s="5">
        <f t="shared" si="14"/>
        <v>12973990.736002583</v>
      </c>
      <c r="J224" s="5">
        <f t="shared" si="15"/>
        <v>12886882.686962133</v>
      </c>
      <c r="K224" s="5"/>
      <c r="L224" s="5"/>
    </row>
    <row r="225" spans="1:12" x14ac:dyDescent="0.3">
      <c r="A225" s="1">
        <v>44529</v>
      </c>
      <c r="B225" s="5">
        <v>14499695.770173516</v>
      </c>
      <c r="C225" s="5">
        <v>14791004.817427885</v>
      </c>
      <c r="D225" s="5">
        <v>0</v>
      </c>
      <c r="E225" s="5">
        <f t="shared" si="12"/>
        <v>0</v>
      </c>
      <c r="F225" s="5">
        <f t="shared" si="12"/>
        <v>0</v>
      </c>
      <c r="G225" s="9">
        <f t="shared" si="13"/>
        <v>-9.1704620652102165E-3</v>
      </c>
      <c r="H225" s="9">
        <f t="shared" si="13"/>
        <v>1.6376592930126277E-2</v>
      </c>
      <c r="I225" s="5">
        <f t="shared" si="14"/>
        <v>12855013.246123683</v>
      </c>
      <c r="J225" s="5">
        <f t="shared" si="15"/>
        <v>13097925.918864803</v>
      </c>
      <c r="K225" s="5"/>
      <c r="L225" s="5"/>
    </row>
    <row r="226" spans="1:12" x14ac:dyDescent="0.3">
      <c r="A226" s="1">
        <v>44530</v>
      </c>
      <c r="B226" s="5">
        <v>14464618.131122824</v>
      </c>
      <c r="C226" s="5">
        <v>14508607.748389728</v>
      </c>
      <c r="D226" s="5">
        <v>0</v>
      </c>
      <c r="E226" s="5">
        <f t="shared" si="12"/>
        <v>0</v>
      </c>
      <c r="F226" s="5">
        <f t="shared" si="12"/>
        <v>0</v>
      </c>
      <c r="G226" s="9">
        <f t="shared" si="13"/>
        <v>-2.4191982788251964E-3</v>
      </c>
      <c r="H226" s="9">
        <f t="shared" si="13"/>
        <v>-1.9092487124702573E-2</v>
      </c>
      <c r="I226" s="5">
        <f t="shared" si="14"/>
        <v>12823914.420204386</v>
      </c>
      <c r="J226" s="5">
        <f t="shared" si="15"/>
        <v>12847853.936898569</v>
      </c>
      <c r="K226" s="5"/>
      <c r="L226" s="5"/>
    </row>
    <row r="227" spans="1:12" x14ac:dyDescent="0.3">
      <c r="A227" s="1">
        <v>44531</v>
      </c>
      <c r="B227" s="5">
        <v>14547763.280533766</v>
      </c>
      <c r="C227" s="5">
        <v>14286870.973203609</v>
      </c>
      <c r="D227" s="5">
        <v>0</v>
      </c>
      <c r="E227" s="5">
        <f t="shared" si="12"/>
        <v>0</v>
      </c>
      <c r="F227" s="5">
        <f t="shared" si="12"/>
        <v>0</v>
      </c>
      <c r="G227" s="9">
        <f t="shared" si="13"/>
        <v>5.7481745219420954E-3</v>
      </c>
      <c r="H227" s="9">
        <f t="shared" si="13"/>
        <v>-1.5283118754846003E-2</v>
      </c>
      <c r="I227" s="5">
        <f t="shared" si="14"/>
        <v>12897628.51834617</v>
      </c>
      <c r="J227" s="5">
        <f t="shared" si="15"/>
        <v>12651498.659436032</v>
      </c>
      <c r="K227" s="5"/>
      <c r="L227" s="5"/>
    </row>
    <row r="228" spans="1:12" x14ac:dyDescent="0.3">
      <c r="A228" s="1">
        <v>44532</v>
      </c>
      <c r="B228" s="5">
        <v>14691833.668969713</v>
      </c>
      <c r="C228" s="5">
        <v>14503548.14257347</v>
      </c>
      <c r="D228" s="5">
        <v>0</v>
      </c>
      <c r="E228" s="5">
        <f t="shared" si="12"/>
        <v>0</v>
      </c>
      <c r="F228" s="5">
        <f t="shared" si="12"/>
        <v>0</v>
      </c>
      <c r="G228" s="9">
        <f t="shared" si="13"/>
        <v>9.903267303553509E-3</v>
      </c>
      <c r="H228" s="9">
        <f t="shared" si="13"/>
        <v>1.5166173879239242E-2</v>
      </c>
      <c r="I228" s="5">
        <f t="shared" si="14"/>
        <v>13025357.181145286</v>
      </c>
      <c r="J228" s="5">
        <f t="shared" si="15"/>
        <v>12843373.487938002</v>
      </c>
      <c r="K228" s="5"/>
      <c r="L228" s="5"/>
    </row>
    <row r="229" spans="1:12" x14ac:dyDescent="0.3">
      <c r="A229" s="1">
        <v>44533</v>
      </c>
      <c r="B229" s="5">
        <v>14662398.271526219</v>
      </c>
      <c r="C229" s="5">
        <v>14448896.800142253</v>
      </c>
      <c r="D229" s="5">
        <v>0</v>
      </c>
      <c r="E229" s="5">
        <f t="shared" si="12"/>
        <v>0</v>
      </c>
      <c r="F229" s="5">
        <f t="shared" si="12"/>
        <v>0</v>
      </c>
      <c r="G229" s="9">
        <f t="shared" si="13"/>
        <v>-2.0035210108363399E-3</v>
      </c>
      <c r="H229" s="9">
        <f t="shared" si="13"/>
        <v>-3.7681360377461726E-3</v>
      </c>
      <c r="I229" s="5">
        <f t="shared" si="14"/>
        <v>12999260.604359213</v>
      </c>
      <c r="J229" s="5">
        <f t="shared" si="15"/>
        <v>12794977.909451868</v>
      </c>
      <c r="K229" s="5"/>
      <c r="L229" s="5"/>
    </row>
    <row r="230" spans="1:12" x14ac:dyDescent="0.3">
      <c r="A230" s="1">
        <v>44536</v>
      </c>
      <c r="B230" s="5">
        <v>14379578.106050605</v>
      </c>
      <c r="C230" s="5">
        <v>14647967.721637379</v>
      </c>
      <c r="D230" s="5">
        <v>0</v>
      </c>
      <c r="E230" s="5">
        <f t="shared" si="12"/>
        <v>0</v>
      </c>
      <c r="F230" s="5">
        <f t="shared" si="12"/>
        <v>0</v>
      </c>
      <c r="G230" s="9">
        <f t="shared" si="13"/>
        <v>-1.9288806663016356E-2</v>
      </c>
      <c r="H230" s="9">
        <f t="shared" si="13"/>
        <v>1.377758622327252E-2</v>
      </c>
      <c r="I230" s="5">
        <f t="shared" si="14"/>
        <v>12748520.379799563</v>
      </c>
      <c r="J230" s="5">
        <f t="shared" si="15"/>
        <v>12971261.82082421</v>
      </c>
      <c r="K230" s="5"/>
      <c r="L230" s="5"/>
    </row>
    <row r="231" spans="1:12" x14ac:dyDescent="0.3">
      <c r="A231" s="1">
        <v>44537</v>
      </c>
      <c r="B231" s="5">
        <v>14597306.799303854</v>
      </c>
      <c r="C231" s="5">
        <v>14959403.811409956</v>
      </c>
      <c r="D231" s="5">
        <v>0</v>
      </c>
      <c r="E231" s="5">
        <f t="shared" si="12"/>
        <v>0</v>
      </c>
      <c r="F231" s="5">
        <f t="shared" si="12"/>
        <v>0</v>
      </c>
      <c r="G231" s="9">
        <f t="shared" si="13"/>
        <v>1.5141521652963785E-2</v>
      </c>
      <c r="H231" s="9">
        <f t="shared" si="13"/>
        <v>2.1261385585424009E-2</v>
      </c>
      <c r="I231" s="5">
        <f t="shared" si="14"/>
        <v>12941552.377173549</v>
      </c>
      <c r="J231" s="5">
        <f t="shared" si="15"/>
        <v>13247048.819926241</v>
      </c>
      <c r="K231" s="5"/>
      <c r="L231" s="5"/>
    </row>
    <row r="232" spans="1:12" x14ac:dyDescent="0.3">
      <c r="A232" s="1">
        <v>44538</v>
      </c>
      <c r="B232" s="5">
        <v>14786405.417269653</v>
      </c>
      <c r="C232" s="5">
        <v>14999904.507797642</v>
      </c>
      <c r="D232" s="5">
        <v>0</v>
      </c>
      <c r="E232" s="5">
        <f t="shared" si="12"/>
        <v>0</v>
      </c>
      <c r="F232" s="5">
        <f t="shared" si="12"/>
        <v>0</v>
      </c>
      <c r="G232" s="9">
        <f t="shared" si="13"/>
        <v>1.2954349769151774E-2</v>
      </c>
      <c r="H232" s="9">
        <f t="shared" si="13"/>
        <v>2.7073736960556705E-3</v>
      </c>
      <c r="I232" s="5">
        <f t="shared" si="14"/>
        <v>13109201.773223253</v>
      </c>
      <c r="J232" s="5">
        <f t="shared" si="15"/>
        <v>13282913.531451674</v>
      </c>
      <c r="K232" s="5"/>
      <c r="L232" s="5"/>
    </row>
    <row r="233" spans="1:12" x14ac:dyDescent="0.3">
      <c r="A233" s="1">
        <v>44539</v>
      </c>
      <c r="B233" s="5">
        <v>14817581.108412582</v>
      </c>
      <c r="C233" s="5">
        <v>14929560.161156317</v>
      </c>
      <c r="D233" s="5">
        <v>0</v>
      </c>
      <c r="E233" s="5">
        <f t="shared" si="12"/>
        <v>0</v>
      </c>
      <c r="F233" s="5">
        <f t="shared" si="12"/>
        <v>0</v>
      </c>
      <c r="G233" s="9">
        <f t="shared" si="13"/>
        <v>2.1084022967825522E-3</v>
      </c>
      <c r="H233" s="9">
        <f t="shared" si="13"/>
        <v>-4.6896529644409046E-3</v>
      </c>
      <c r="I233" s="5">
        <f t="shared" si="14"/>
        <v>13136841.244350903</v>
      </c>
      <c r="J233" s="5">
        <f t="shared" si="15"/>
        <v>13220621.27663249</v>
      </c>
      <c r="K233" s="5"/>
      <c r="L233" s="5"/>
    </row>
    <row r="234" spans="1:12" x14ac:dyDescent="0.3">
      <c r="A234" s="1">
        <v>44540</v>
      </c>
      <c r="B234" s="5">
        <v>14875088.091474937</v>
      </c>
      <c r="C234" s="5">
        <v>15088237.912740577</v>
      </c>
      <c r="D234" s="5">
        <v>0</v>
      </c>
      <c r="E234" s="5">
        <f t="shared" si="12"/>
        <v>0</v>
      </c>
      <c r="F234" s="5">
        <f t="shared" si="12"/>
        <v>0</v>
      </c>
      <c r="G234" s="9">
        <f t="shared" si="13"/>
        <v>3.8809966783110994E-3</v>
      </c>
      <c r="H234" s="9">
        <f t="shared" si="13"/>
        <v>1.0628427754831415E-2</v>
      </c>
      <c r="I234" s="5">
        <f t="shared" si="14"/>
        <v>13187825.281583728</v>
      </c>
      <c r="J234" s="5">
        <f t="shared" si="15"/>
        <v>13361135.694745164</v>
      </c>
      <c r="K234" s="5"/>
      <c r="L234" s="5"/>
    </row>
    <row r="235" spans="1:12" x14ac:dyDescent="0.3">
      <c r="A235" s="1">
        <v>44543</v>
      </c>
      <c r="B235" s="5">
        <v>14803105.255663395</v>
      </c>
      <c r="C235" s="5">
        <v>14974427.604784055</v>
      </c>
      <c r="D235" s="5">
        <v>0</v>
      </c>
      <c r="E235" s="5">
        <f t="shared" si="12"/>
        <v>0</v>
      </c>
      <c r="F235" s="5">
        <f t="shared" si="12"/>
        <v>0</v>
      </c>
      <c r="G235" s="9">
        <f t="shared" si="13"/>
        <v>-4.8391535814027442E-3</v>
      </c>
      <c r="H235" s="9">
        <f t="shared" si="13"/>
        <v>-7.5429820642224366E-3</v>
      </c>
      <c r="I235" s="5">
        <f t="shared" si="14"/>
        <v>13124007.369641438</v>
      </c>
      <c r="J235" s="5">
        <f t="shared" si="15"/>
        <v>13260352.887842059</v>
      </c>
      <c r="K235" s="5"/>
      <c r="L235" s="5"/>
    </row>
    <row r="236" spans="1:12" x14ac:dyDescent="0.3">
      <c r="A236" s="1">
        <v>44544</v>
      </c>
      <c r="B236" s="5">
        <v>14851534.288353754</v>
      </c>
      <c r="C236" s="5">
        <v>14903947.030989766</v>
      </c>
      <c r="D236" s="5">
        <v>0</v>
      </c>
      <c r="E236" s="5">
        <f t="shared" si="12"/>
        <v>0</v>
      </c>
      <c r="F236" s="5">
        <f t="shared" si="12"/>
        <v>0</v>
      </c>
      <c r="G236" s="9">
        <f t="shared" si="13"/>
        <v>3.2715455206151489E-3</v>
      </c>
      <c r="H236" s="9">
        <f t="shared" si="13"/>
        <v>-4.7067290753585178E-3</v>
      </c>
      <c r="I236" s="5">
        <f t="shared" si="14"/>
        <v>13166943.157164108</v>
      </c>
      <c r="J236" s="5">
        <f t="shared" si="15"/>
        <v>13197939.999355339</v>
      </c>
      <c r="K236" s="5"/>
      <c r="L236" s="5"/>
    </row>
    <row r="237" spans="1:12" x14ac:dyDescent="0.3">
      <c r="A237" s="1">
        <v>44545</v>
      </c>
      <c r="B237" s="5">
        <v>14728900.927464748</v>
      </c>
      <c r="C237" s="5">
        <v>15227653.266166141</v>
      </c>
      <c r="D237" s="5">
        <v>0</v>
      </c>
      <c r="E237" s="5">
        <f t="shared" si="12"/>
        <v>0</v>
      </c>
      <c r="F237" s="5">
        <f t="shared" si="12"/>
        <v>0</v>
      </c>
      <c r="G237" s="9">
        <f t="shared" si="13"/>
        <v>-8.2572856452395316E-3</v>
      </c>
      <c r="H237" s="9">
        <f t="shared" si="13"/>
        <v>2.17194971575847E-2</v>
      </c>
      <c r="I237" s="5">
        <f t="shared" si="14"/>
        <v>13058219.946440771</v>
      </c>
      <c r="J237" s="5">
        <f t="shared" si="15"/>
        <v>13484592.61965731</v>
      </c>
      <c r="K237" s="5"/>
      <c r="L237" s="5"/>
    </row>
    <row r="238" spans="1:12" x14ac:dyDescent="0.3">
      <c r="A238" s="1">
        <v>44546</v>
      </c>
      <c r="B238" s="5">
        <v>14678090.833910543</v>
      </c>
      <c r="C238" s="5">
        <v>15055624.8493565</v>
      </c>
      <c r="D238" s="5">
        <v>0</v>
      </c>
      <c r="E238" s="5">
        <f t="shared" si="12"/>
        <v>0</v>
      </c>
      <c r="F238" s="5">
        <f t="shared" si="12"/>
        <v>0</v>
      </c>
      <c r="G238" s="9">
        <f t="shared" si="13"/>
        <v>-3.4496866945081806E-3</v>
      </c>
      <c r="H238" s="9">
        <f t="shared" si="13"/>
        <v>-1.1297106244982924E-2</v>
      </c>
      <c r="I238" s="5">
        <f t="shared" si="14"/>
        <v>13013173.178837573</v>
      </c>
      <c r="J238" s="5">
        <f t="shared" si="15"/>
        <v>13332255.744162729</v>
      </c>
      <c r="K238" s="5"/>
      <c r="L238" s="5"/>
    </row>
    <row r="239" spans="1:12" x14ac:dyDescent="0.3">
      <c r="A239" s="1">
        <v>44547</v>
      </c>
      <c r="B239" s="5">
        <v>14337090.505861331</v>
      </c>
      <c r="C239" s="5">
        <v>14862452.725278677</v>
      </c>
      <c r="D239" s="5">
        <v>0</v>
      </c>
      <c r="E239" s="5">
        <f t="shared" si="12"/>
        <v>0</v>
      </c>
      <c r="F239" s="5">
        <f t="shared" si="12"/>
        <v>0</v>
      </c>
      <c r="G239" s="9">
        <f t="shared" si="13"/>
        <v>-2.3231926543294423E-2</v>
      </c>
      <c r="H239" s="9">
        <f t="shared" si="13"/>
        <v>-1.2830561734279655E-2</v>
      </c>
      <c r="I239" s="5">
        <f t="shared" si="14"/>
        <v>12710852.095451649</v>
      </c>
      <c r="J239" s="5">
        <f t="shared" si="15"/>
        <v>13161195.413780045</v>
      </c>
      <c r="K239" s="5"/>
      <c r="L239" s="5"/>
    </row>
    <row r="240" spans="1:12" x14ac:dyDescent="0.3">
      <c r="A240" s="1">
        <v>44550</v>
      </c>
      <c r="B240" s="5">
        <v>13931542.235713646</v>
      </c>
      <c r="C240" s="5">
        <v>14662385.971168332</v>
      </c>
      <c r="D240" s="5">
        <v>0</v>
      </c>
      <c r="E240" s="5">
        <f t="shared" si="12"/>
        <v>0</v>
      </c>
      <c r="F240" s="5">
        <f t="shared" si="12"/>
        <v>0</v>
      </c>
      <c r="G240" s="9">
        <f t="shared" si="13"/>
        <v>-2.828665062704927E-2</v>
      </c>
      <c r="H240" s="9">
        <f t="shared" si="13"/>
        <v>-1.3461220554132569E-2</v>
      </c>
      <c r="I240" s="5">
        <f t="shared" si="14"/>
        <v>12351304.663055511</v>
      </c>
      <c r="J240" s="5">
        <f t="shared" si="15"/>
        <v>12984029.659559114</v>
      </c>
      <c r="K240" s="5"/>
      <c r="L240" s="5"/>
    </row>
    <row r="241" spans="1:13" x14ac:dyDescent="0.3">
      <c r="A241" s="1">
        <v>44551</v>
      </c>
      <c r="B241" s="5">
        <v>14194304.145011649</v>
      </c>
      <c r="C241" s="5">
        <v>14894634.267933408</v>
      </c>
      <c r="D241" s="5">
        <v>0</v>
      </c>
      <c r="E241" s="5">
        <f t="shared" si="12"/>
        <v>0</v>
      </c>
      <c r="F241" s="5">
        <f t="shared" si="12"/>
        <v>0</v>
      </c>
      <c r="G241" s="9">
        <f t="shared" si="13"/>
        <v>1.8860934766031123E-2</v>
      </c>
      <c r="H241" s="9">
        <f t="shared" si="13"/>
        <v>1.5839734216638535E-2</v>
      </c>
      <c r="I241" s="5">
        <f t="shared" si="14"/>
        <v>12584261.814580778</v>
      </c>
      <c r="J241" s="5">
        <f t="shared" si="15"/>
        <v>13189693.238427483</v>
      </c>
      <c r="K241" s="5"/>
      <c r="L241" s="5"/>
    </row>
    <row r="242" spans="1:13" x14ac:dyDescent="0.3">
      <c r="A242" s="1">
        <v>44552</v>
      </c>
      <c r="B242" s="5">
        <v>14389057.470871894</v>
      </c>
      <c r="C242" s="5">
        <v>15004087.126052007</v>
      </c>
      <c r="D242" s="5">
        <v>0</v>
      </c>
      <c r="E242" s="5">
        <f t="shared" si="12"/>
        <v>0</v>
      </c>
      <c r="F242" s="5">
        <f t="shared" si="12"/>
        <v>0</v>
      </c>
      <c r="G242" s="9">
        <f t="shared" si="13"/>
        <v>1.3720526478128825E-2</v>
      </c>
      <c r="H242" s="9">
        <f t="shared" si="13"/>
        <v>7.3484757094197661E-3</v>
      </c>
      <c r="I242" s="5">
        <f t="shared" si="14"/>
        <v>12756924.51201544</v>
      </c>
      <c r="J242" s="5">
        <f t="shared" si="15"/>
        <v>13286617.378804766</v>
      </c>
      <c r="K242" s="5"/>
      <c r="L242" s="5"/>
    </row>
    <row r="243" spans="1:13" x14ac:dyDescent="0.3">
      <c r="A243" s="1">
        <v>44553</v>
      </c>
      <c r="B243" s="5">
        <v>14542816.657754852</v>
      </c>
      <c r="C243" s="5">
        <v>15011676.635835109</v>
      </c>
      <c r="D243" s="5">
        <v>0</v>
      </c>
      <c r="E243" s="5">
        <f t="shared" si="12"/>
        <v>0</v>
      </c>
      <c r="F243" s="5">
        <f t="shared" si="12"/>
        <v>0</v>
      </c>
      <c r="G243" s="9">
        <f t="shared" si="13"/>
        <v>1.0685841459332268E-2</v>
      </c>
      <c r="H243" s="9">
        <f t="shared" si="13"/>
        <v>5.0582949294697421E-4</v>
      </c>
      <c r="I243" s="5">
        <f t="shared" si="14"/>
        <v>12893242.984859506</v>
      </c>
      <c r="J243" s="5">
        <f t="shared" si="15"/>
        <v>13293338.141736466</v>
      </c>
      <c r="K243" s="5"/>
      <c r="L243" s="5"/>
    </row>
    <row r="244" spans="1:13" x14ac:dyDescent="0.3">
      <c r="A244" s="1">
        <v>44554</v>
      </c>
      <c r="B244" s="5">
        <v>14390982.265622562</v>
      </c>
      <c r="C244" s="5">
        <v>15209824.689110007</v>
      </c>
      <c r="D244" s="5">
        <v>0</v>
      </c>
      <c r="E244" s="5">
        <f t="shared" si="12"/>
        <v>0</v>
      </c>
      <c r="F244" s="5">
        <f t="shared" si="12"/>
        <v>0</v>
      </c>
      <c r="G244" s="9">
        <f t="shared" si="13"/>
        <v>-1.0440507895100537E-2</v>
      </c>
      <c r="H244" s="9">
        <f t="shared" si="13"/>
        <v>1.3199595093987604E-2</v>
      </c>
      <c r="I244" s="5">
        <f t="shared" si="14"/>
        <v>12758630.97968263</v>
      </c>
      <c r="J244" s="5">
        <f t="shared" si="15"/>
        <v>13468804.822654849</v>
      </c>
      <c r="K244" s="5"/>
      <c r="L244" s="5"/>
    </row>
    <row r="245" spans="1:13" x14ac:dyDescent="0.3">
      <c r="A245" s="1">
        <v>44557</v>
      </c>
      <c r="B245" s="5">
        <v>14428979.509146092</v>
      </c>
      <c r="C245" s="5">
        <v>15209824.689110007</v>
      </c>
      <c r="D245" s="5">
        <v>0</v>
      </c>
      <c r="E245" s="5">
        <f t="shared" si="12"/>
        <v>0</v>
      </c>
      <c r="F245" s="5">
        <f t="shared" si="12"/>
        <v>0</v>
      </c>
      <c r="G245" s="9">
        <f t="shared" si="13"/>
        <v>2.6403509379828716E-3</v>
      </c>
      <c r="H245" s="9">
        <f t="shared" si="13"/>
        <v>0</v>
      </c>
      <c r="I245" s="5">
        <f t="shared" si="14"/>
        <v>12792318.242957212</v>
      </c>
      <c r="J245" s="5">
        <f t="shared" si="15"/>
        <v>13468804.822654849</v>
      </c>
      <c r="K245" s="5"/>
      <c r="L245" s="5"/>
    </row>
    <row r="246" spans="1:13" x14ac:dyDescent="0.3">
      <c r="A246" s="1">
        <v>44558</v>
      </c>
      <c r="B246" s="5">
        <v>14558972.966024697</v>
      </c>
      <c r="C246" s="5">
        <v>15133657.743325366</v>
      </c>
      <c r="D246" s="5">
        <v>0</v>
      </c>
      <c r="E246" s="5">
        <f t="shared" si="12"/>
        <v>0</v>
      </c>
      <c r="F246" s="5">
        <f t="shared" si="12"/>
        <v>0</v>
      </c>
      <c r="G246" s="9">
        <f t="shared" si="13"/>
        <v>9.0091927011335393E-3</v>
      </c>
      <c r="H246" s="9">
        <f t="shared" si="13"/>
        <v>-5.007746462664775E-3</v>
      </c>
      <c r="I246" s="5">
        <f t="shared" si="14"/>
        <v>12907566.70310224</v>
      </c>
      <c r="J246" s="5">
        <f t="shared" si="15"/>
        <v>13401356.462947877</v>
      </c>
      <c r="K246" s="5"/>
      <c r="L246" s="5"/>
    </row>
    <row r="247" spans="1:13" x14ac:dyDescent="0.3">
      <c r="A247" s="1">
        <v>44559</v>
      </c>
      <c r="B247" s="5">
        <v>14525862.507101305</v>
      </c>
      <c r="C247" s="5">
        <v>15136640.996704821</v>
      </c>
      <c r="D247" s="5">
        <v>0</v>
      </c>
      <c r="E247" s="5">
        <f t="shared" si="12"/>
        <v>0</v>
      </c>
      <c r="F247" s="5">
        <f t="shared" si="12"/>
        <v>0</v>
      </c>
      <c r="G247" s="9">
        <f t="shared" si="13"/>
        <v>-2.2742304007747904E-3</v>
      </c>
      <c r="H247" s="9">
        <f t="shared" si="13"/>
        <v>1.9712705481067516E-4</v>
      </c>
      <c r="I247" s="5">
        <f t="shared" si="14"/>
        <v>12878211.922506018</v>
      </c>
      <c r="J247" s="5">
        <f t="shared" si="15"/>
        <v>13403998.232877886</v>
      </c>
      <c r="K247" s="5"/>
      <c r="L247" s="5"/>
    </row>
    <row r="248" spans="1:13" x14ac:dyDescent="0.3">
      <c r="A248" s="1">
        <v>44560</v>
      </c>
      <c r="B248" s="5">
        <v>14423404.585490016</v>
      </c>
      <c r="C248" s="5">
        <v>15054325.638467394</v>
      </c>
      <c r="D248" s="5">
        <v>0</v>
      </c>
      <c r="E248" s="5">
        <f t="shared" si="12"/>
        <v>0</v>
      </c>
      <c r="F248" s="5">
        <f t="shared" si="12"/>
        <v>0</v>
      </c>
      <c r="G248" s="9">
        <f t="shared" si="13"/>
        <v>-7.0534828180564002E-3</v>
      </c>
      <c r="H248" s="9">
        <f t="shared" si="13"/>
        <v>-5.4381522462840781E-3</v>
      </c>
      <c r="I248" s="5">
        <f t="shared" si="14"/>
        <v>12787375.675983332</v>
      </c>
      <c r="J248" s="5">
        <f t="shared" si="15"/>
        <v>13331105.249778572</v>
      </c>
      <c r="K248" s="5"/>
      <c r="L248" s="5"/>
    </row>
    <row r="249" spans="1:13" x14ac:dyDescent="0.3">
      <c r="A249" s="1">
        <v>44561</v>
      </c>
      <c r="B249" s="5">
        <v>14645556.317457883</v>
      </c>
      <c r="C249" s="5">
        <v>15075708.248546857</v>
      </c>
      <c r="D249" s="5">
        <v>0</v>
      </c>
      <c r="E249" s="5">
        <f t="shared" si="12"/>
        <v>0</v>
      </c>
      <c r="F249" s="5">
        <f t="shared" si="12"/>
        <v>0</v>
      </c>
      <c r="G249" s="9">
        <f t="shared" si="13"/>
        <v>1.540217017772294E-2</v>
      </c>
      <c r="H249" s="9">
        <f t="shared" si="13"/>
        <v>1.4203631961318131E-3</v>
      </c>
      <c r="I249" s="5">
        <f t="shared" si="14"/>
        <v>12984329.012271302</v>
      </c>
      <c r="J249" s="5">
        <f t="shared" si="15"/>
        <v>13350040.261039117</v>
      </c>
      <c r="K249" s="5"/>
      <c r="L249" s="5"/>
    </row>
    <row r="250" spans="1:13" x14ac:dyDescent="0.3">
      <c r="A250" s="1">
        <v>44564</v>
      </c>
      <c r="B250" s="5">
        <v>15260652.561078409</v>
      </c>
      <c r="C250" s="5">
        <v>15597090.656508882</v>
      </c>
      <c r="D250" s="5">
        <v>500000</v>
      </c>
      <c r="E250" s="5">
        <f t="shared" si="12"/>
        <v>-500000</v>
      </c>
      <c r="F250" s="5">
        <f t="shared" si="12"/>
        <v>-500000</v>
      </c>
      <c r="G250" s="9">
        <f t="shared" si="13"/>
        <v>7.8587826317890741E-3</v>
      </c>
      <c r="H250" s="9">
        <f t="shared" si="13"/>
        <v>1.4183352191154963E-3</v>
      </c>
      <c r="I250" s="5">
        <f t="shared" si="14"/>
        <v>13086370.031598374</v>
      </c>
      <c r="J250" s="5">
        <f t="shared" si="15"/>
        <v>13368975.093317959</v>
      </c>
      <c r="K250" s="5"/>
      <c r="L250" s="5"/>
    </row>
    <row r="251" spans="1:13" x14ac:dyDescent="0.3">
      <c r="A251" s="1">
        <v>44565</v>
      </c>
      <c r="B251" s="5">
        <v>15263034.368496371</v>
      </c>
      <c r="C251" s="5">
        <v>15630256.164459851</v>
      </c>
      <c r="D251" s="5">
        <v>0</v>
      </c>
      <c r="E251" s="5">
        <f t="shared" si="12"/>
        <v>0</v>
      </c>
      <c r="F251" s="5">
        <f t="shared" si="12"/>
        <v>0</v>
      </c>
      <c r="G251" s="9">
        <f t="shared" si="13"/>
        <v>1.5607507008175148E-4</v>
      </c>
      <c r="H251" s="9">
        <f t="shared" si="13"/>
        <v>2.1263906635773377E-3</v>
      </c>
      <c r="I251" s="5">
        <f t="shared" si="14"/>
        <v>13088412.487718172</v>
      </c>
      <c r="J251" s="5">
        <f t="shared" si="15"/>
        <v>13397402.75713799</v>
      </c>
      <c r="K251" s="5"/>
      <c r="L251" s="5"/>
    </row>
    <row r="252" spans="1:13" x14ac:dyDescent="0.3">
      <c r="A252" s="1">
        <v>44566</v>
      </c>
      <c r="B252" s="5">
        <v>15336233.703180263</v>
      </c>
      <c r="C252" s="5">
        <v>15285106.650955757</v>
      </c>
      <c r="D252" s="5">
        <v>0</v>
      </c>
      <c r="E252" s="5">
        <f t="shared" si="12"/>
        <v>0</v>
      </c>
      <c r="F252" s="5">
        <f t="shared" si="12"/>
        <v>0</v>
      </c>
      <c r="G252" s="9">
        <f t="shared" si="13"/>
        <v>4.7958572926349863E-3</v>
      </c>
      <c r="H252" s="9">
        <f t="shared" si="13"/>
        <v>-2.2082140553070118E-2</v>
      </c>
      <c r="I252" s="5">
        <f t="shared" si="14"/>
        <v>13151182.64619641</v>
      </c>
      <c r="J252" s="5">
        <f t="shared" si="15"/>
        <v>13101559.426408779</v>
      </c>
      <c r="K252" s="5"/>
      <c r="L252" s="5"/>
    </row>
    <row r="253" spans="1:13" x14ac:dyDescent="0.3">
      <c r="A253" s="1">
        <v>44567</v>
      </c>
      <c r="B253" s="5">
        <v>15296493.09174872</v>
      </c>
      <c r="C253" s="5">
        <v>15289978.84636607</v>
      </c>
      <c r="D253" s="5">
        <v>0</v>
      </c>
      <c r="E253" s="5">
        <f t="shared" si="12"/>
        <v>0</v>
      </c>
      <c r="F253" s="5">
        <f t="shared" si="12"/>
        <v>0</v>
      </c>
      <c r="G253" s="9">
        <f t="shared" si="13"/>
        <v>-2.5912888523146327E-3</v>
      </c>
      <c r="H253" s="9">
        <f t="shared" si="13"/>
        <v>3.1875442687923083E-4</v>
      </c>
      <c r="I253" s="5">
        <f t="shared" si="14"/>
        <v>13117104.133210568</v>
      </c>
      <c r="J253" s="5">
        <f t="shared" si="15"/>
        <v>13105735.606474968</v>
      </c>
      <c r="K253" s="5"/>
      <c r="L253" s="5"/>
    </row>
    <row r="254" spans="1:13" x14ac:dyDescent="0.3">
      <c r="A254" s="1">
        <v>44568</v>
      </c>
      <c r="B254" s="5">
        <v>15359871.337403996</v>
      </c>
      <c r="C254" s="5">
        <v>15204206.449001091</v>
      </c>
      <c r="D254" s="5">
        <v>0</v>
      </c>
      <c r="E254" s="5">
        <f t="shared" si="12"/>
        <v>0</v>
      </c>
      <c r="F254" s="5">
        <f t="shared" si="12"/>
        <v>0</v>
      </c>
      <c r="G254" s="9">
        <f t="shared" si="13"/>
        <v>4.1433186858668147E-3</v>
      </c>
      <c r="H254" s="9">
        <f t="shared" si="13"/>
        <v>-5.6097132786658843E-3</v>
      </c>
      <c r="I254" s="5">
        <f t="shared" si="14"/>
        <v>13171452.47587016</v>
      </c>
      <c r="J254" s="5">
        <f t="shared" si="15"/>
        <v>13032216.187416641</v>
      </c>
      <c r="K254" s="8">
        <f>I254/I2-1</f>
        <v>0.31714524758701601</v>
      </c>
      <c r="L254" s="8">
        <f>J254/J2-1</f>
        <v>0.30322161874166409</v>
      </c>
      <c r="M254" s="8">
        <f>L254-K254</f>
        <v>-1.3923628845351921E-2</v>
      </c>
    </row>
    <row r="255" spans="1:13" x14ac:dyDescent="0.3">
      <c r="A255" s="1">
        <v>44571</v>
      </c>
      <c r="B255" s="5">
        <v>15420109.9278265</v>
      </c>
      <c r="C255" s="5">
        <v>15139380.12774308</v>
      </c>
      <c r="D255" s="5">
        <v>0</v>
      </c>
      <c r="E255" s="5">
        <f t="shared" si="12"/>
        <v>0</v>
      </c>
      <c r="F255" s="5">
        <f t="shared" si="12"/>
        <v>0</v>
      </c>
      <c r="G255" s="9">
        <f t="shared" si="13"/>
        <v>3.9218160816107961E-3</v>
      </c>
      <c r="H255" s="9">
        <f t="shared" si="13"/>
        <v>-4.2637096171678213E-3</v>
      </c>
      <c r="I255" s="5">
        <f t="shared" si="14"/>
        <v>13223108.4900082</v>
      </c>
      <c r="J255" s="5">
        <f t="shared" si="15"/>
        <v>12976650.601925343</v>
      </c>
      <c r="K255" s="8">
        <f t="shared" ref="K255:L255" si="16">I255/I3-1</f>
        <v>0.30182082490963236</v>
      </c>
      <c r="L255" s="8">
        <f t="shared" si="16"/>
        <v>0.29766506019253436</v>
      </c>
      <c r="M255" s="8">
        <f t="shared" ref="M255:M318" si="17">L255-K255</f>
        <v>-4.1557647170979983E-3</v>
      </c>
    </row>
    <row r="256" spans="1:13" x14ac:dyDescent="0.3">
      <c r="A256" s="1">
        <v>44572</v>
      </c>
      <c r="B256" s="5">
        <v>15413304.763775175</v>
      </c>
      <c r="C256" s="5">
        <v>15226477.850795681</v>
      </c>
      <c r="D256" s="5">
        <v>0</v>
      </c>
      <c r="E256" s="5">
        <f t="shared" si="12"/>
        <v>0</v>
      </c>
      <c r="F256" s="5">
        <f t="shared" si="12"/>
        <v>0</v>
      </c>
      <c r="G256" s="9">
        <f t="shared" si="13"/>
        <v>-4.4131747978293223E-4</v>
      </c>
      <c r="H256" s="9">
        <f t="shared" si="13"/>
        <v>5.7530574117095057E-3</v>
      </c>
      <c r="I256" s="5">
        <f t="shared" si="14"/>
        <v>13217272.901094493</v>
      </c>
      <c r="J256" s="5">
        <f t="shared" si="15"/>
        <v>13051306.017849915</v>
      </c>
      <c r="K256" s="8">
        <f t="shared" ref="K256:L256" si="18">I256/I4-1</f>
        <v>0.28058026349407439</v>
      </c>
      <c r="L256" s="8">
        <f t="shared" si="18"/>
        <v>0.29455678932748275</v>
      </c>
      <c r="M256" s="8">
        <f t="shared" si="17"/>
        <v>1.397652583340836E-2</v>
      </c>
    </row>
    <row r="257" spans="1:13" x14ac:dyDescent="0.3">
      <c r="A257" s="1">
        <v>44573</v>
      </c>
      <c r="B257" s="5">
        <v>15528224.39397827</v>
      </c>
      <c r="C257" s="5">
        <v>15261341.830330564</v>
      </c>
      <c r="D257" s="5">
        <v>0</v>
      </c>
      <c r="E257" s="5">
        <f t="shared" si="12"/>
        <v>0</v>
      </c>
      <c r="F257" s="5">
        <f t="shared" si="12"/>
        <v>0</v>
      </c>
      <c r="G257" s="9">
        <f t="shared" si="13"/>
        <v>7.4558721808435369E-3</v>
      </c>
      <c r="H257" s="9">
        <f t="shared" si="13"/>
        <v>2.2896942993984037E-3</v>
      </c>
      <c r="I257" s="5">
        <f t="shared" si="14"/>
        <v>13315819.19842438</v>
      </c>
      <c r="J257" s="5">
        <f t="shared" si="15"/>
        <v>13081189.518838691</v>
      </c>
      <c r="K257" s="8">
        <f t="shared" ref="K257:L257" si="19">I257/I5-1</f>
        <v>0.29254581981305727</v>
      </c>
      <c r="L257" s="8">
        <f t="shared" si="19"/>
        <v>0.29013398909683441</v>
      </c>
      <c r="M257" s="8">
        <f t="shared" si="17"/>
        <v>-2.4118307162228625E-3</v>
      </c>
    </row>
    <row r="258" spans="1:13" x14ac:dyDescent="0.3">
      <c r="A258" s="1">
        <v>44574</v>
      </c>
      <c r="B258" s="5">
        <v>15597443.738777598</v>
      </c>
      <c r="C258" s="5">
        <v>15084390.700737173</v>
      </c>
      <c r="D258" s="5">
        <v>0</v>
      </c>
      <c r="E258" s="5">
        <f t="shared" si="12"/>
        <v>0</v>
      </c>
      <c r="F258" s="5">
        <f t="shared" si="12"/>
        <v>0</v>
      </c>
      <c r="G258" s="9">
        <f t="shared" si="13"/>
        <v>4.4576471232713466E-3</v>
      </c>
      <c r="H258" s="9">
        <f t="shared" si="13"/>
        <v>-1.1594729451752106E-2</v>
      </c>
      <c r="I258" s="5">
        <f t="shared" si="14"/>
        <v>13375176.421568237</v>
      </c>
      <c r="J258" s="5">
        <f t="shared" si="15"/>
        <v>12929516.665460661</v>
      </c>
      <c r="K258" s="8">
        <f t="shared" ref="K258:L258" si="20">I258/I6-1</f>
        <v>0.29317903791261291</v>
      </c>
      <c r="L258" s="8">
        <f t="shared" si="20"/>
        <v>0.25145952579182329</v>
      </c>
      <c r="M258" s="8">
        <f t="shared" si="17"/>
        <v>-4.1719512120789615E-2</v>
      </c>
    </row>
    <row r="259" spans="1:13" x14ac:dyDescent="0.3">
      <c r="A259" s="1">
        <v>44575</v>
      </c>
      <c r="B259" s="5">
        <v>15620050.287539007</v>
      </c>
      <c r="C259" s="5">
        <v>15121518.404201394</v>
      </c>
      <c r="D259" s="5">
        <v>0</v>
      </c>
      <c r="E259" s="5">
        <f t="shared" ref="E259:F322" si="21">$D259*-1</f>
        <v>0</v>
      </c>
      <c r="F259" s="5">
        <f t="shared" si="21"/>
        <v>0</v>
      </c>
      <c r="G259" s="9">
        <f t="shared" si="13"/>
        <v>1.4493752399442617E-3</v>
      </c>
      <c r="H259" s="9">
        <f t="shared" si="13"/>
        <v>2.4613326584286277E-3</v>
      </c>
      <c r="I259" s="5">
        <f t="shared" si="14"/>
        <v>13394562.071103545</v>
      </c>
      <c r="J259" s="5">
        <f t="shared" si="15"/>
        <v>12961340.507087057</v>
      </c>
      <c r="K259" s="8">
        <f t="shared" ref="K259:L259" si="22">I259/I7-1</f>
        <v>0.27839216313386794</v>
      </c>
      <c r="L259" s="8">
        <f t="shared" si="22"/>
        <v>0.2495706220741285</v>
      </c>
      <c r="M259" s="8">
        <f t="shared" si="17"/>
        <v>-2.8821541059739442E-2</v>
      </c>
    </row>
    <row r="260" spans="1:13" x14ac:dyDescent="0.3">
      <c r="A260" s="1">
        <v>44578</v>
      </c>
      <c r="B260" s="5">
        <v>15678719.050345125</v>
      </c>
      <c r="C260" s="5">
        <v>14939879.250815228</v>
      </c>
      <c r="D260" s="5">
        <v>0</v>
      </c>
      <c r="E260" s="5">
        <f t="shared" si="21"/>
        <v>0</v>
      </c>
      <c r="F260" s="5">
        <f t="shared" si="21"/>
        <v>0</v>
      </c>
      <c r="G260" s="9">
        <f t="shared" ref="G260:H323" si="23">((B260-$D260)/B259-1)</f>
        <v>3.7559906483093375E-3</v>
      </c>
      <c r="H260" s="9">
        <f t="shared" si="23"/>
        <v>-1.2011965235958044E-2</v>
      </c>
      <c r="I260" s="5">
        <f t="shared" ref="I260:I323" si="24">I259*(1+G260)</f>
        <v>13444871.920980809</v>
      </c>
      <c r="J260" s="5">
        <f t="shared" ref="J260:J323" si="25">J259*(1+H260)</f>
        <v>12805649.335504513</v>
      </c>
      <c r="K260" s="8">
        <f t="shared" ref="K260:L260" si="26">I260/I8-1</f>
        <v>0.27844284380200057</v>
      </c>
      <c r="L260" s="8">
        <f t="shared" si="26"/>
        <v>0.23949604158547011</v>
      </c>
      <c r="M260" s="8">
        <f t="shared" si="17"/>
        <v>-3.8946802216530463E-2</v>
      </c>
    </row>
    <row r="261" spans="1:13" x14ac:dyDescent="0.3">
      <c r="A261" s="1">
        <v>44579</v>
      </c>
      <c r="B261" s="5">
        <v>15408033.339349054</v>
      </c>
      <c r="C261" s="5">
        <v>14939879.250815228</v>
      </c>
      <c r="D261" s="5">
        <v>0</v>
      </c>
      <c r="E261" s="5">
        <f t="shared" si="21"/>
        <v>0</v>
      </c>
      <c r="F261" s="5">
        <f t="shared" si="21"/>
        <v>0</v>
      </c>
      <c r="G261" s="9">
        <f t="shared" si="23"/>
        <v>-1.7264529718715282E-2</v>
      </c>
      <c r="H261" s="9">
        <f t="shared" si="23"/>
        <v>0</v>
      </c>
      <c r="I261" s="5">
        <f t="shared" si="24"/>
        <v>13212752.530136716</v>
      </c>
      <c r="J261" s="5">
        <f t="shared" si="25"/>
        <v>12805649.335504513</v>
      </c>
      <c r="K261" s="8">
        <f t="shared" ref="K261:L261" si="27">I261/I9-1</f>
        <v>0.25985968170717211</v>
      </c>
      <c r="L261" s="8">
        <f t="shared" si="27"/>
        <v>0.2430374893647187</v>
      </c>
      <c r="M261" s="8">
        <f t="shared" si="17"/>
        <v>-1.6822192342453413E-2</v>
      </c>
    </row>
    <row r="262" spans="1:13" x14ac:dyDescent="0.3">
      <c r="A262" s="1">
        <v>44580</v>
      </c>
      <c r="B262" s="5">
        <v>15397155.387721557</v>
      </c>
      <c r="C262" s="5">
        <v>14761680.473359298</v>
      </c>
      <c r="D262" s="5">
        <v>0</v>
      </c>
      <c r="E262" s="5">
        <f t="shared" si="21"/>
        <v>0</v>
      </c>
      <c r="F262" s="5">
        <f t="shared" si="21"/>
        <v>0</v>
      </c>
      <c r="G262" s="9">
        <f t="shared" si="23"/>
        <v>-7.059922176905209E-4</v>
      </c>
      <c r="H262" s="9">
        <f t="shared" si="23"/>
        <v>-1.1927725416268409E-2</v>
      </c>
      <c r="I262" s="5">
        <f t="shared" si="24"/>
        <v>13203424.429676168</v>
      </c>
      <c r="J262" s="5">
        <f t="shared" si="25"/>
        <v>12652907.066453595</v>
      </c>
      <c r="K262" s="8">
        <f t="shared" ref="K262:L262" si="28">I262/I10-1</f>
        <v>0.26660805629648965</v>
      </c>
      <c r="L262" s="8">
        <f t="shared" si="28"/>
        <v>0.22858668035852014</v>
      </c>
      <c r="M262" s="8">
        <f t="shared" si="17"/>
        <v>-3.8021375937969504E-2</v>
      </c>
    </row>
    <row r="263" spans="1:13" x14ac:dyDescent="0.3">
      <c r="A263" s="1">
        <v>44581</v>
      </c>
      <c r="B263" s="5">
        <v>15386419.21034513</v>
      </c>
      <c r="C263" s="5">
        <v>14586114.598313203</v>
      </c>
      <c r="D263" s="5">
        <v>0</v>
      </c>
      <c r="E263" s="5">
        <f t="shared" si="21"/>
        <v>0</v>
      </c>
      <c r="F263" s="5">
        <f t="shared" si="21"/>
        <v>0</v>
      </c>
      <c r="G263" s="9">
        <f t="shared" si="23"/>
        <v>-6.9728317381201332E-4</v>
      </c>
      <c r="H263" s="9">
        <f t="shared" si="23"/>
        <v>-1.1893352885055442E-2</v>
      </c>
      <c r="I263" s="5">
        <f t="shared" si="24"/>
        <v>13194217.903984657</v>
      </c>
      <c r="J263" s="5">
        <f t="shared" si="25"/>
        <v>12502421.57769045</v>
      </c>
      <c r="K263" s="8">
        <f t="shared" ref="K263:L263" si="29">I263/I11-1</f>
        <v>0.25973298553073598</v>
      </c>
      <c r="L263" s="8">
        <f t="shared" si="29"/>
        <v>0.21774086940644466</v>
      </c>
      <c r="M263" s="8">
        <f t="shared" si="17"/>
        <v>-4.1992116124291323E-2</v>
      </c>
    </row>
    <row r="264" spans="1:13" x14ac:dyDescent="0.3">
      <c r="A264" s="1">
        <v>44582</v>
      </c>
      <c r="B264" s="5">
        <v>15130436.778041773</v>
      </c>
      <c r="C264" s="5">
        <v>14302673.434873246</v>
      </c>
      <c r="D264" s="5">
        <v>0</v>
      </c>
      <c r="E264" s="5">
        <f t="shared" si="21"/>
        <v>0</v>
      </c>
      <c r="F264" s="5">
        <f t="shared" si="21"/>
        <v>0</v>
      </c>
      <c r="G264" s="9">
        <f t="shared" si="23"/>
        <v>-1.6636907444407045E-2</v>
      </c>
      <c r="H264" s="9">
        <f t="shared" si="23"/>
        <v>-1.9432259463581625E-2</v>
      </c>
      <c r="I264" s="5">
        <f t="shared" si="24"/>
        <v>12974706.921914725</v>
      </c>
      <c r="J264" s="5">
        <f t="shared" si="25"/>
        <v>12259471.277669689</v>
      </c>
      <c r="K264" s="8">
        <f t="shared" ref="K264:L264" si="30">I264/I12-1</f>
        <v>0.25848543815880687</v>
      </c>
      <c r="L264" s="8">
        <f t="shared" si="30"/>
        <v>0.20320275942582655</v>
      </c>
      <c r="M264" s="8">
        <f t="shared" si="17"/>
        <v>-5.5282678732980317E-2</v>
      </c>
    </row>
    <row r="265" spans="1:13" x14ac:dyDescent="0.3">
      <c r="A265" s="1">
        <v>44585</v>
      </c>
      <c r="B265" s="5">
        <v>14568665.33017759</v>
      </c>
      <c r="C265" s="5">
        <v>14427275.348268082</v>
      </c>
      <c r="D265" s="5">
        <v>0</v>
      </c>
      <c r="E265" s="5">
        <f t="shared" si="21"/>
        <v>0</v>
      </c>
      <c r="F265" s="5">
        <f t="shared" si="21"/>
        <v>0</v>
      </c>
      <c r="G265" s="9">
        <f t="shared" si="23"/>
        <v>-3.7128567807074853E-2</v>
      </c>
      <c r="H265" s="9">
        <f t="shared" si="23"/>
        <v>8.7117918172576747E-3</v>
      </c>
      <c r="I265" s="5">
        <f t="shared" si="24"/>
        <v>12492974.63618749</v>
      </c>
      <c r="J265" s="5">
        <f t="shared" si="25"/>
        <v>12366273.239230396</v>
      </c>
      <c r="K265" s="8">
        <f t="shared" ref="K265:L265" si="31">I265/I13-1</f>
        <v>0.23446440225724441</v>
      </c>
      <c r="L265" s="8">
        <f t="shared" si="31"/>
        <v>0.20187011414675515</v>
      </c>
      <c r="M265" s="8">
        <f t="shared" si="17"/>
        <v>-3.2594288110489256E-2</v>
      </c>
    </row>
    <row r="266" spans="1:13" x14ac:dyDescent="0.3">
      <c r="A266" s="1">
        <v>44586</v>
      </c>
      <c r="B266" s="5">
        <v>14705936.315490168</v>
      </c>
      <c r="C266" s="5">
        <v>14253640.351847073</v>
      </c>
      <c r="D266" s="5">
        <v>0</v>
      </c>
      <c r="E266" s="5">
        <f t="shared" si="21"/>
        <v>0</v>
      </c>
      <c r="F266" s="5">
        <f t="shared" si="21"/>
        <v>0</v>
      </c>
      <c r="G266" s="9">
        <f t="shared" si="23"/>
        <v>9.4223446143850698E-3</v>
      </c>
      <c r="H266" s="9">
        <f t="shared" si="23"/>
        <v>-1.203518975201745E-2</v>
      </c>
      <c r="I266" s="5">
        <f t="shared" si="24"/>
        <v>12610687.748468421</v>
      </c>
      <c r="J266" s="5">
        <f t="shared" si="25"/>
        <v>12217442.794270962</v>
      </c>
      <c r="K266" s="8">
        <f t="shared" ref="K266:L266" si="32">I266/I14-1</f>
        <v>0.22519945623344961</v>
      </c>
      <c r="L266" s="8">
        <f t="shared" si="32"/>
        <v>0.18740537926571998</v>
      </c>
      <c r="M266" s="8">
        <f t="shared" si="17"/>
        <v>-3.7794076967729628E-2</v>
      </c>
    </row>
    <row r="267" spans="1:13" x14ac:dyDescent="0.3">
      <c r="A267" s="1">
        <v>44588</v>
      </c>
      <c r="B267" s="5">
        <v>14455052.60079799</v>
      </c>
      <c r="C267" s="5">
        <v>14241999.536275389</v>
      </c>
      <c r="D267" s="5">
        <v>0</v>
      </c>
      <c r="E267" s="5">
        <f t="shared" si="21"/>
        <v>0</v>
      </c>
      <c r="F267" s="5">
        <f t="shared" si="21"/>
        <v>0</v>
      </c>
      <c r="G267" s="9">
        <f t="shared" si="23"/>
        <v>-1.7060029998084092E-2</v>
      </c>
      <c r="H267" s="9">
        <f t="shared" si="23"/>
        <v>-8.1669070387169196E-4</v>
      </c>
      <c r="I267" s="5">
        <f t="shared" si="24"/>
        <v>12395549.037183078</v>
      </c>
      <c r="J267" s="5">
        <f t="shared" si="25"/>
        <v>12207464.922315797</v>
      </c>
      <c r="K267" s="8">
        <f t="shared" ref="K267:L267" si="33">I267/I15-1</f>
        <v>0.19747308692581766</v>
      </c>
      <c r="L267" s="8">
        <f t="shared" si="33"/>
        <v>0.1799359456868721</v>
      </c>
      <c r="M267" s="8">
        <f t="shared" si="17"/>
        <v>-1.7537141238945564E-2</v>
      </c>
    </row>
    <row r="268" spans="1:13" x14ac:dyDescent="0.3">
      <c r="A268" s="1">
        <v>44589</v>
      </c>
      <c r="B268" s="5">
        <v>14574810.599533031</v>
      </c>
      <c r="C268" s="5">
        <v>14555524.569648687</v>
      </c>
      <c r="D268" s="5">
        <v>0</v>
      </c>
      <c r="E268" s="5">
        <f t="shared" si="21"/>
        <v>0</v>
      </c>
      <c r="F268" s="5">
        <f t="shared" si="21"/>
        <v>0</v>
      </c>
      <c r="G268" s="9">
        <f t="shared" si="23"/>
        <v>8.284853887590149E-3</v>
      </c>
      <c r="H268" s="9">
        <f t="shared" si="23"/>
        <v>2.2014116246439119E-2</v>
      </c>
      <c r="I268" s="5">
        <f t="shared" si="24"/>
        <v>12498244.349812599</v>
      </c>
      <c r="J268" s="5">
        <f t="shared" si="25"/>
        <v>12476201.474189986</v>
      </c>
      <c r="K268" s="8">
        <f t="shared" ref="K268:L268" si="34">I268/I16-1</f>
        <v>0.21827218014915295</v>
      </c>
      <c r="L268" s="8">
        <f t="shared" si="34"/>
        <v>0.19934082393550034</v>
      </c>
      <c r="M268" s="8">
        <f t="shared" si="17"/>
        <v>-1.8931356213652606E-2</v>
      </c>
    </row>
    <row r="269" spans="1:13" x14ac:dyDescent="0.3">
      <c r="A269" s="1">
        <v>44592</v>
      </c>
      <c r="B269" s="5">
        <v>14741271.614283944</v>
      </c>
      <c r="C269" s="5">
        <v>14751604.281291213</v>
      </c>
      <c r="D269" s="5">
        <v>0</v>
      </c>
      <c r="E269" s="5">
        <f t="shared" si="21"/>
        <v>0</v>
      </c>
      <c r="F269" s="5">
        <f t="shared" si="21"/>
        <v>0</v>
      </c>
      <c r="G269" s="9">
        <f t="shared" si="23"/>
        <v>1.1421144282742546E-2</v>
      </c>
      <c r="H269" s="9">
        <f t="shared" si="23"/>
        <v>1.347115390477871E-2</v>
      </c>
      <c r="I269" s="5">
        <f t="shared" si="24"/>
        <v>12640988.60181278</v>
      </c>
      <c r="J269" s="5">
        <f t="shared" si="25"/>
        <v>12644270.304395827</v>
      </c>
      <c r="K269" s="8">
        <f t="shared" ref="K269:L269" si="35">I269/I17-1</f>
        <v>0.24236526380231083</v>
      </c>
      <c r="L269" s="8">
        <f t="shared" si="35"/>
        <v>0.21882247830033452</v>
      </c>
      <c r="M269" s="8">
        <f t="shared" si="17"/>
        <v>-2.3542785501976304E-2</v>
      </c>
    </row>
    <row r="270" spans="1:13" x14ac:dyDescent="0.3">
      <c r="A270" s="1">
        <v>44593</v>
      </c>
      <c r="B270" s="5">
        <v>14997132.89404548</v>
      </c>
      <c r="C270" s="5">
        <v>14888757.427777512</v>
      </c>
      <c r="D270" s="5">
        <v>0</v>
      </c>
      <c r="E270" s="5">
        <f t="shared" si="21"/>
        <v>0</v>
      </c>
      <c r="F270" s="5">
        <f t="shared" si="21"/>
        <v>0</v>
      </c>
      <c r="G270" s="9">
        <f t="shared" si="23"/>
        <v>1.7356798413076691E-2</v>
      </c>
      <c r="H270" s="9">
        <f t="shared" si="23"/>
        <v>9.2975071640339912E-3</v>
      </c>
      <c r="I270" s="5">
        <f t="shared" si="24"/>
        <v>12860395.692716444</v>
      </c>
      <c r="J270" s="5">
        <f t="shared" si="25"/>
        <v>12761830.49813493</v>
      </c>
      <c r="K270" s="8">
        <f t="shared" ref="K270:L270" si="36">I270/I18-1</f>
        <v>0.27381183835326572</v>
      </c>
      <c r="L270" s="8">
        <f t="shared" si="36"/>
        <v>0.22521847710123577</v>
      </c>
      <c r="M270" s="8">
        <f t="shared" si="17"/>
        <v>-4.8593361252029954E-2</v>
      </c>
    </row>
    <row r="271" spans="1:13" x14ac:dyDescent="0.3">
      <c r="A271" s="1">
        <v>44594</v>
      </c>
      <c r="B271" s="5">
        <v>15155930.366097679</v>
      </c>
      <c r="C271" s="5">
        <v>15027172.630110035</v>
      </c>
      <c r="D271" s="5">
        <v>0</v>
      </c>
      <c r="E271" s="5">
        <f t="shared" si="21"/>
        <v>0</v>
      </c>
      <c r="F271" s="5">
        <f t="shared" si="21"/>
        <v>0</v>
      </c>
      <c r="G271" s="9">
        <f t="shared" si="23"/>
        <v>1.0588522031117709E-2</v>
      </c>
      <c r="H271" s="9">
        <f t="shared" si="23"/>
        <v>9.2966255245912066E-3</v>
      </c>
      <c r="I271" s="5">
        <f t="shared" si="24"/>
        <v>12996568.275837664</v>
      </c>
      <c r="J271" s="5">
        <f t="shared" si="25"/>
        <v>12880472.457284397</v>
      </c>
      <c r="K271" s="8">
        <f t="shared" ref="K271:L271" si="37">I271/I19-1</f>
        <v>0.30447945971370438</v>
      </c>
      <c r="L271" s="8">
        <f t="shared" si="37"/>
        <v>0.27038598599896635</v>
      </c>
      <c r="M271" s="8">
        <f t="shared" si="17"/>
        <v>-3.4093473714738032E-2</v>
      </c>
    </row>
    <row r="272" spans="1:13" x14ac:dyDescent="0.3">
      <c r="A272" s="1">
        <v>44595</v>
      </c>
      <c r="B272" s="5">
        <v>15077379.697864339</v>
      </c>
      <c r="C272" s="5">
        <v>14649583.228123143</v>
      </c>
      <c r="D272" s="5">
        <v>0</v>
      </c>
      <c r="E272" s="5">
        <f t="shared" si="21"/>
        <v>0</v>
      </c>
      <c r="F272" s="5">
        <f t="shared" si="21"/>
        <v>0</v>
      </c>
      <c r="G272" s="9">
        <f t="shared" si="23"/>
        <v>-5.1828338040567079E-3</v>
      </c>
      <c r="H272" s="9">
        <f t="shared" si="23"/>
        <v>-2.5127108823539634E-2</v>
      </c>
      <c r="I272" s="5">
        <f t="shared" si="24"/>
        <v>12929209.222440921</v>
      </c>
      <c r="J272" s="5">
        <f t="shared" si="25"/>
        <v>12556823.424151607</v>
      </c>
      <c r="K272" s="8">
        <f t="shared" ref="K272:L272" si="38">I272/I20-1</f>
        <v>0.3027654590571156</v>
      </c>
      <c r="L272" s="8">
        <f t="shared" si="38"/>
        <v>0.22872481552364521</v>
      </c>
      <c r="M272" s="8">
        <f t="shared" si="17"/>
        <v>-7.4040643533470396E-2</v>
      </c>
    </row>
    <row r="273" spans="1:13" x14ac:dyDescent="0.3">
      <c r="A273" s="1">
        <v>44596</v>
      </c>
      <c r="B273" s="5">
        <v>15069775.442579713</v>
      </c>
      <c r="C273" s="5">
        <v>14707871.665770095</v>
      </c>
      <c r="D273" s="5">
        <v>0</v>
      </c>
      <c r="E273" s="5">
        <f t="shared" si="21"/>
        <v>0</v>
      </c>
      <c r="F273" s="5">
        <f t="shared" si="21"/>
        <v>0</v>
      </c>
      <c r="G273" s="9">
        <f t="shared" si="23"/>
        <v>-5.0434859617576322E-4</v>
      </c>
      <c r="H273" s="9">
        <f t="shared" si="23"/>
        <v>3.9788461377558981E-3</v>
      </c>
      <c r="I273" s="5">
        <f t="shared" si="24"/>
        <v>12922688.393919921</v>
      </c>
      <c r="J273" s="5">
        <f t="shared" si="25"/>
        <v>12606785.092535276</v>
      </c>
      <c r="K273" s="8">
        <f t="shared" ref="K273:L273" si="39">I273/I21-1</f>
        <v>0.33370146260092515</v>
      </c>
      <c r="L273" s="8">
        <f t="shared" si="39"/>
        <v>0.25894699510766261</v>
      </c>
      <c r="M273" s="8">
        <f t="shared" si="17"/>
        <v>-7.4754467493262533E-2</v>
      </c>
    </row>
    <row r="274" spans="1:13" x14ac:dyDescent="0.3">
      <c r="A274" s="1">
        <v>44599</v>
      </c>
      <c r="B274" s="5">
        <v>14968917.240369035</v>
      </c>
      <c r="C274" s="5">
        <v>14667497.154504266</v>
      </c>
      <c r="D274" s="5">
        <v>0</v>
      </c>
      <c r="E274" s="5">
        <f t="shared" si="21"/>
        <v>0</v>
      </c>
      <c r="F274" s="5">
        <f t="shared" si="21"/>
        <v>0</v>
      </c>
      <c r="G274" s="9">
        <f t="shared" si="23"/>
        <v>-6.6927475193626629E-3</v>
      </c>
      <c r="H274" s="9">
        <f t="shared" si="23"/>
        <v>-2.745095428034916E-3</v>
      </c>
      <c r="I274" s="5">
        <f t="shared" si="24"/>
        <v>12836200.103228016</v>
      </c>
      <c r="J274" s="5">
        <f t="shared" si="25"/>
        <v>12572178.264415538</v>
      </c>
      <c r="K274" s="8">
        <f t="shared" ref="K274:L274" si="40">I274/I22-1</f>
        <v>0.28752844643024966</v>
      </c>
      <c r="L274" s="8">
        <f t="shared" si="40"/>
        <v>0.23109226495255708</v>
      </c>
      <c r="M274" s="8">
        <f t="shared" si="17"/>
        <v>-5.6436181477692582E-2</v>
      </c>
    </row>
    <row r="275" spans="1:13" x14ac:dyDescent="0.3">
      <c r="A275" s="1">
        <v>44600</v>
      </c>
      <c r="B275" s="5">
        <v>14899849.980675401</v>
      </c>
      <c r="C275" s="5">
        <v>14796803.170166429</v>
      </c>
      <c r="D275" s="5">
        <v>0</v>
      </c>
      <c r="E275" s="5">
        <f t="shared" si="21"/>
        <v>0</v>
      </c>
      <c r="F275" s="5">
        <f t="shared" si="21"/>
        <v>0</v>
      </c>
      <c r="G275" s="9">
        <f t="shared" si="23"/>
        <v>-4.6140451299556684E-3</v>
      </c>
      <c r="H275" s="9">
        <f t="shared" si="23"/>
        <v>8.8158200611925253E-3</v>
      </c>
      <c r="I275" s="5">
        <f t="shared" si="24"/>
        <v>12776973.29665458</v>
      </c>
      <c r="J275" s="5">
        <f t="shared" si="25"/>
        <v>12683012.325771861</v>
      </c>
      <c r="K275" s="8">
        <f t="shared" ref="K275:L275" si="41">I275/I23-1</f>
        <v>0.25599378897508296</v>
      </c>
      <c r="L275" s="8">
        <f t="shared" si="41"/>
        <v>0.22759313147838478</v>
      </c>
      <c r="M275" s="8">
        <f t="shared" si="17"/>
        <v>-2.8400657496698178E-2</v>
      </c>
    </row>
    <row r="276" spans="1:13" x14ac:dyDescent="0.3">
      <c r="A276" s="1">
        <v>44601</v>
      </c>
      <c r="B276" s="5">
        <v>15068422.142910419</v>
      </c>
      <c r="C276" s="5">
        <v>15031561.844849877</v>
      </c>
      <c r="D276" s="5">
        <v>0</v>
      </c>
      <c r="E276" s="5">
        <f t="shared" si="21"/>
        <v>0</v>
      </c>
      <c r="F276" s="5">
        <f t="shared" si="21"/>
        <v>0</v>
      </c>
      <c r="G276" s="9">
        <f t="shared" si="23"/>
        <v>1.1313681846035317E-2</v>
      </c>
      <c r="H276" s="9">
        <f t="shared" si="23"/>
        <v>1.5865499593640031E-2</v>
      </c>
      <c r="I276" s="5">
        <f t="shared" si="24"/>
        <v>12921527.907488219</v>
      </c>
      <c r="J276" s="5">
        <f t="shared" si="25"/>
        <v>12884234.652672525</v>
      </c>
      <c r="K276" s="8">
        <f t="shared" ref="K276:L276" si="42">I276/I24-1</f>
        <v>0.26417201023248427</v>
      </c>
      <c r="L276" s="8">
        <f t="shared" si="42"/>
        <v>0.24769452007767079</v>
      </c>
      <c r="M276" s="8">
        <f t="shared" si="17"/>
        <v>-1.6477490154813479E-2</v>
      </c>
    </row>
    <row r="277" spans="1:13" x14ac:dyDescent="0.3">
      <c r="A277" s="1">
        <v>44602</v>
      </c>
      <c r="B277" s="5">
        <v>15131290.001261843</v>
      </c>
      <c r="C277" s="5">
        <v>14814446.477027912</v>
      </c>
      <c r="D277" s="5">
        <v>0</v>
      </c>
      <c r="E277" s="5">
        <f t="shared" si="21"/>
        <v>0</v>
      </c>
      <c r="F277" s="5">
        <f t="shared" si="21"/>
        <v>0</v>
      </c>
      <c r="G277" s="9">
        <f t="shared" si="23"/>
        <v>4.1721593512034083E-3</v>
      </c>
      <c r="H277" s="9">
        <f t="shared" si="23"/>
        <v>-1.4443965973925277E-2</v>
      </c>
      <c r="I277" s="5">
        <f t="shared" si="24"/>
        <v>12975438.580979282</v>
      </c>
      <c r="J277" s="5">
        <f t="shared" si="25"/>
        <v>12698135.205749255</v>
      </c>
      <c r="K277" s="8">
        <f t="shared" ref="K277:L277" si="43">I277/I25-1</f>
        <v>0.24937861428537977</v>
      </c>
      <c r="L277" s="8">
        <f t="shared" si="43"/>
        <v>0.2148471530776459</v>
      </c>
      <c r="M277" s="8">
        <f t="shared" si="17"/>
        <v>-3.4531461207733871E-2</v>
      </c>
    </row>
    <row r="278" spans="1:13" x14ac:dyDescent="0.3">
      <c r="A278" s="1">
        <v>44603</v>
      </c>
      <c r="B278" s="5">
        <v>14911570.844668347</v>
      </c>
      <c r="C278" s="5">
        <v>14586254.501922894</v>
      </c>
      <c r="D278" s="5">
        <v>0</v>
      </c>
      <c r="E278" s="5">
        <f t="shared" si="21"/>
        <v>0</v>
      </c>
      <c r="F278" s="5">
        <f t="shared" si="21"/>
        <v>0</v>
      </c>
      <c r="G278" s="9">
        <f t="shared" si="23"/>
        <v>-1.4520847632632283E-2</v>
      </c>
      <c r="H278" s="9">
        <f t="shared" si="23"/>
        <v>-1.5403341289792039E-2</v>
      </c>
      <c r="I278" s="5">
        <f t="shared" si="24"/>
        <v>12787024.214378303</v>
      </c>
      <c r="J278" s="5">
        <f t="shared" si="25"/>
        <v>12502541.495431175</v>
      </c>
      <c r="K278" s="8">
        <f t="shared" ref="K278:L278" si="44">I278/I26-1</f>
        <v>0.23973115464758399</v>
      </c>
      <c r="L278" s="8">
        <f t="shared" si="44"/>
        <v>0.1926743801447468</v>
      </c>
      <c r="M278" s="8">
        <f t="shared" si="17"/>
        <v>-4.7056774502837184E-2</v>
      </c>
    </row>
    <row r="279" spans="1:13" x14ac:dyDescent="0.3">
      <c r="A279" s="1">
        <v>44606</v>
      </c>
      <c r="B279" s="5">
        <v>14413667.408054044</v>
      </c>
      <c r="C279" s="5">
        <v>14587221.507320618</v>
      </c>
      <c r="D279" s="5">
        <v>0</v>
      </c>
      <c r="E279" s="5">
        <f t="shared" si="21"/>
        <v>0</v>
      </c>
      <c r="F279" s="5">
        <f t="shared" si="21"/>
        <v>0</v>
      </c>
      <c r="G279" s="9">
        <f t="shared" si="23"/>
        <v>-3.3390408146860562E-2</v>
      </c>
      <c r="H279" s="9">
        <f t="shared" si="23"/>
        <v>6.6295661960147356E-5</v>
      </c>
      <c r="I279" s="5">
        <f t="shared" si="24"/>
        <v>12360060.256876422</v>
      </c>
      <c r="J279" s="5">
        <f t="shared" si="25"/>
        <v>12503370.3596958</v>
      </c>
      <c r="K279" s="8">
        <f t="shared" ref="K279:L279" si="45">I279/I27-1</f>
        <v>0.18520402604730335</v>
      </c>
      <c r="L279" s="8">
        <f t="shared" si="45"/>
        <v>0.18315552391368062</v>
      </c>
      <c r="M279" s="8">
        <f t="shared" si="17"/>
        <v>-2.0485021336227316E-3</v>
      </c>
    </row>
    <row r="280" spans="1:13" x14ac:dyDescent="0.3">
      <c r="A280" s="1">
        <v>44607</v>
      </c>
      <c r="B280" s="5">
        <v>14763213.112922153</v>
      </c>
      <c r="C280" s="5">
        <v>14734657.777930532</v>
      </c>
      <c r="D280" s="5">
        <v>0</v>
      </c>
      <c r="E280" s="5">
        <f t="shared" si="21"/>
        <v>0</v>
      </c>
      <c r="F280" s="5">
        <f t="shared" si="21"/>
        <v>0</v>
      </c>
      <c r="G280" s="9">
        <f t="shared" si="23"/>
        <v>2.4250990048014343E-2</v>
      </c>
      <c r="H280" s="9">
        <f t="shared" si="23"/>
        <v>1.0107220935523742E-2</v>
      </c>
      <c r="I280" s="5">
        <f t="shared" si="24"/>
        <v>12659803.955158791</v>
      </c>
      <c r="J280" s="5">
        <f t="shared" si="25"/>
        <v>12629744.686359923</v>
      </c>
      <c r="K280" s="8">
        <f t="shared" ref="K280:L280" si="46">I280/I28-1</f>
        <v>0.21458434067099286</v>
      </c>
      <c r="L280" s="8">
        <f t="shared" si="46"/>
        <v>0.19739062667487128</v>
      </c>
      <c r="M280" s="8">
        <f t="shared" si="17"/>
        <v>-1.7193713996121573E-2</v>
      </c>
    </row>
    <row r="281" spans="1:13" x14ac:dyDescent="0.3">
      <c r="A281" s="1">
        <v>44608</v>
      </c>
      <c r="B281" s="5">
        <v>14734280.854849396</v>
      </c>
      <c r="C281" s="5">
        <v>14716263.167803876</v>
      </c>
      <c r="D281" s="5">
        <v>0</v>
      </c>
      <c r="E281" s="5">
        <f t="shared" si="21"/>
        <v>0</v>
      </c>
      <c r="F281" s="5">
        <f t="shared" si="21"/>
        <v>0</v>
      </c>
      <c r="G281" s="9">
        <f t="shared" si="23"/>
        <v>-1.959753466366454E-3</v>
      </c>
      <c r="H281" s="9">
        <f t="shared" si="23"/>
        <v>-1.2483907264005945E-3</v>
      </c>
      <c r="I281" s="5">
        <f t="shared" si="24"/>
        <v>12634993.860474149</v>
      </c>
      <c r="J281" s="5">
        <f t="shared" si="25"/>
        <v>12613977.830216665</v>
      </c>
      <c r="K281" s="8">
        <f t="shared" ref="K281:L281" si="47">I281/I29-1</f>
        <v>0.20735634776852385</v>
      </c>
      <c r="L281" s="8">
        <f t="shared" si="47"/>
        <v>0.19644299873937743</v>
      </c>
      <c r="M281" s="8">
        <f t="shared" si="17"/>
        <v>-1.0913349029146424E-2</v>
      </c>
    </row>
    <row r="282" spans="1:13" x14ac:dyDescent="0.3">
      <c r="A282" s="1">
        <v>44609</v>
      </c>
      <c r="B282" s="5">
        <v>14773652.853228161</v>
      </c>
      <c r="C282" s="5">
        <v>14404541.638127441</v>
      </c>
      <c r="D282" s="5">
        <v>0</v>
      </c>
      <c r="E282" s="5">
        <f t="shared" si="21"/>
        <v>0</v>
      </c>
      <c r="F282" s="5">
        <f t="shared" si="21"/>
        <v>0</v>
      </c>
      <c r="G282" s="9">
        <f t="shared" si="23"/>
        <v>2.6721357334387186E-3</v>
      </c>
      <c r="H282" s="9">
        <f t="shared" si="23"/>
        <v>-2.1182111662586878E-2</v>
      </c>
      <c r="I282" s="5">
        <f t="shared" si="24"/>
        <v>12668756.2790605</v>
      </c>
      <c r="J282" s="5">
        <f t="shared" si="25"/>
        <v>12346787.143307621</v>
      </c>
      <c r="K282" s="8">
        <f t="shared" ref="K282:L282" si="48">I282/I30-1</f>
        <v>0.20135531587005295</v>
      </c>
      <c r="L282" s="8">
        <f t="shared" si="48"/>
        <v>0.17101118588003206</v>
      </c>
      <c r="M282" s="8">
        <f t="shared" si="17"/>
        <v>-3.0344129990020896E-2</v>
      </c>
    </row>
    <row r="283" spans="1:13" x14ac:dyDescent="0.3">
      <c r="A283" s="1">
        <v>44610</v>
      </c>
      <c r="B283" s="5">
        <v>14617443.405686386</v>
      </c>
      <c r="C283" s="5">
        <v>14229081.421628365</v>
      </c>
      <c r="D283" s="5">
        <v>0</v>
      </c>
      <c r="E283" s="5">
        <f t="shared" si="21"/>
        <v>0</v>
      </c>
      <c r="F283" s="5">
        <f t="shared" si="21"/>
        <v>0</v>
      </c>
      <c r="G283" s="9">
        <f t="shared" si="23"/>
        <v>-1.0573515507211972E-2</v>
      </c>
      <c r="H283" s="9">
        <f t="shared" si="23"/>
        <v>-1.2180895505529254E-2</v>
      </c>
      <c r="I283" s="5">
        <f t="shared" si="24"/>
        <v>12534802.988086764</v>
      </c>
      <c r="J283" s="5">
        <f t="shared" si="25"/>
        <v>12196392.219285978</v>
      </c>
      <c r="K283" s="8">
        <f t="shared" ref="K283:L283" si="49">I283/I31-1</f>
        <v>0.18571302517248189</v>
      </c>
      <c r="L283" s="8">
        <f t="shared" si="49"/>
        <v>0.15269098023222316</v>
      </c>
      <c r="M283" s="8">
        <f t="shared" si="17"/>
        <v>-3.3022044940258732E-2</v>
      </c>
    </row>
    <row r="284" spans="1:13" x14ac:dyDescent="0.3">
      <c r="A284" s="1">
        <v>44613</v>
      </c>
      <c r="B284" s="5">
        <v>14426514.732914574</v>
      </c>
      <c r="C284" s="5">
        <v>14088723.438423363</v>
      </c>
      <c r="D284" s="5">
        <v>0</v>
      </c>
      <c r="E284" s="5">
        <f t="shared" si="21"/>
        <v>0</v>
      </c>
      <c r="F284" s="5">
        <f t="shared" si="21"/>
        <v>0</v>
      </c>
      <c r="G284" s="9">
        <f t="shared" si="23"/>
        <v>-1.3061700837339152E-2</v>
      </c>
      <c r="H284" s="9">
        <f t="shared" si="23"/>
        <v>-9.8641633318407029E-3</v>
      </c>
      <c r="I284" s="5">
        <f t="shared" si="24"/>
        <v>12371077.14140139</v>
      </c>
      <c r="J284" s="5">
        <f t="shared" si="25"/>
        <v>12076085.01437575</v>
      </c>
      <c r="K284" s="8">
        <f t="shared" ref="K284:L284" si="50">I284/I32-1</f>
        <v>0.15783530763060938</v>
      </c>
      <c r="L284" s="8">
        <f t="shared" si="50"/>
        <v>0.13775505076395755</v>
      </c>
      <c r="M284" s="8">
        <f t="shared" si="17"/>
        <v>-2.0080256866651824E-2</v>
      </c>
    </row>
    <row r="285" spans="1:13" x14ac:dyDescent="0.3">
      <c r="A285" s="1">
        <v>44614</v>
      </c>
      <c r="B285" s="5">
        <v>14397605.674264722</v>
      </c>
      <c r="C285" s="5">
        <v>14088723.438423363</v>
      </c>
      <c r="D285" s="5">
        <v>0</v>
      </c>
      <c r="E285" s="5">
        <f t="shared" si="21"/>
        <v>0</v>
      </c>
      <c r="F285" s="5">
        <f t="shared" si="21"/>
        <v>0</v>
      </c>
      <c r="G285" s="9">
        <f t="shared" si="23"/>
        <v>-2.0038837643783225E-3</v>
      </c>
      <c r="H285" s="9">
        <f t="shared" si="23"/>
        <v>0</v>
      </c>
      <c r="I285" s="5">
        <f t="shared" si="24"/>
        <v>12346286.940769864</v>
      </c>
      <c r="J285" s="5">
        <f t="shared" si="25"/>
        <v>12076085.01437575</v>
      </c>
      <c r="K285" s="8">
        <f t="shared" ref="K285:L285" si="51">I285/I33-1</f>
        <v>0.15092971074772676</v>
      </c>
      <c r="L285" s="8">
        <f t="shared" si="51"/>
        <v>0.13775505076395755</v>
      </c>
      <c r="M285" s="8">
        <f t="shared" si="17"/>
        <v>-1.317465998376921E-2</v>
      </c>
    </row>
    <row r="286" spans="1:13" x14ac:dyDescent="0.3">
      <c r="A286" s="1">
        <v>44615</v>
      </c>
      <c r="B286" s="5">
        <v>14518704.084100779</v>
      </c>
      <c r="C286" s="5">
        <v>13820126.883217001</v>
      </c>
      <c r="D286" s="5">
        <v>0</v>
      </c>
      <c r="E286" s="5">
        <f t="shared" si="21"/>
        <v>0</v>
      </c>
      <c r="F286" s="5">
        <f t="shared" si="21"/>
        <v>0</v>
      </c>
      <c r="G286" s="9">
        <f t="shared" si="23"/>
        <v>8.4110103148968829E-3</v>
      </c>
      <c r="H286" s="9">
        <f t="shared" si="23"/>
        <v>-1.9064648147882224E-2</v>
      </c>
      <c r="I286" s="5">
        <f t="shared" si="24"/>
        <v>12450131.687579356</v>
      </c>
      <c r="J286" s="5">
        <f t="shared" si="25"/>
        <v>11845858.702572763</v>
      </c>
      <c r="K286" s="8">
        <f t="shared" ref="K286:L286" si="52">I286/I34-1</f>
        <v>0.15823856474061326</v>
      </c>
      <c r="L286" s="8">
        <f t="shared" si="52"/>
        <v>0.11700624844055874</v>
      </c>
      <c r="M286" s="8">
        <f t="shared" si="17"/>
        <v>-4.1232316300054528E-2</v>
      </c>
    </row>
    <row r="287" spans="1:13" x14ac:dyDescent="0.3">
      <c r="A287" s="1">
        <v>44616</v>
      </c>
      <c r="B287" s="5">
        <v>13703976.439765155</v>
      </c>
      <c r="C287" s="5">
        <v>14217882.450889673</v>
      </c>
      <c r="D287" s="5">
        <v>0</v>
      </c>
      <c r="E287" s="5">
        <f t="shared" si="21"/>
        <v>0</v>
      </c>
      <c r="F287" s="5">
        <f t="shared" si="21"/>
        <v>0</v>
      </c>
      <c r="G287" s="9">
        <f t="shared" si="23"/>
        <v>-5.6115727658353487E-2</v>
      </c>
      <c r="H287" s="9">
        <f t="shared" si="23"/>
        <v>2.8780891162128341E-2</v>
      </c>
      <c r="I287" s="5">
        <f t="shared" si="24"/>
        <v>11751483.488488516</v>
      </c>
      <c r="J287" s="5">
        <f t="shared" si="25"/>
        <v>12186793.072613461</v>
      </c>
      <c r="K287" s="8">
        <f t="shared" ref="K287:L287" si="53">I287/I35-1</f>
        <v>8.7927577497749931E-2</v>
      </c>
      <c r="L287" s="8">
        <f t="shared" si="53"/>
        <v>0.15675151497277628</v>
      </c>
      <c r="M287" s="8">
        <f t="shared" si="17"/>
        <v>6.8823937475026353E-2</v>
      </c>
    </row>
    <row r="288" spans="1:13" x14ac:dyDescent="0.3">
      <c r="A288" s="1">
        <v>44617</v>
      </c>
      <c r="B288" s="5">
        <v>14222555.717612669</v>
      </c>
      <c r="C288" s="5">
        <v>14437581.859263759</v>
      </c>
      <c r="D288" s="5">
        <v>0</v>
      </c>
      <c r="E288" s="5">
        <f t="shared" si="21"/>
        <v>0</v>
      </c>
      <c r="F288" s="5">
        <f t="shared" si="21"/>
        <v>0</v>
      </c>
      <c r="G288" s="9">
        <f t="shared" si="23"/>
        <v>3.7841518491139592E-2</v>
      </c>
      <c r="H288" s="9">
        <f t="shared" si="23"/>
        <v>1.5452329777866369E-2</v>
      </c>
      <c r="I288" s="5">
        <f t="shared" si="24"/>
        <v>12196177.468216475</v>
      </c>
      <c r="J288" s="5">
        <f t="shared" si="25"/>
        <v>12375107.418106101</v>
      </c>
      <c r="K288" s="8">
        <f t="shared" ref="K288:L288" si="54">I288/I36-1</f>
        <v>0.14430618540408724</v>
      </c>
      <c r="L288" s="8">
        <f t="shared" si="54"/>
        <v>0.17917530759428635</v>
      </c>
      <c r="M288" s="8">
        <f t="shared" si="17"/>
        <v>3.4869122190199109E-2</v>
      </c>
    </row>
    <row r="289" spans="1:13" x14ac:dyDescent="0.3">
      <c r="A289" s="1">
        <v>44620</v>
      </c>
      <c r="B289" s="5">
        <v>14381507.852484219</v>
      </c>
      <c r="C289" s="5">
        <v>14480630.617588254</v>
      </c>
      <c r="D289" s="5">
        <v>0</v>
      </c>
      <c r="E289" s="5">
        <f t="shared" si="21"/>
        <v>0</v>
      </c>
      <c r="F289" s="5">
        <f t="shared" si="21"/>
        <v>0</v>
      </c>
      <c r="G289" s="9">
        <f t="shared" si="23"/>
        <v>1.1176059916904402E-2</v>
      </c>
      <c r="H289" s="9">
        <f t="shared" si="23"/>
        <v>2.9817152722755313E-3</v>
      </c>
      <c r="I289" s="5">
        <f t="shared" si="24"/>
        <v>12332482.678358462</v>
      </c>
      <c r="J289" s="5">
        <f t="shared" si="25"/>
        <v>12412006.464890718</v>
      </c>
      <c r="K289" s="8">
        <f t="shared" ref="K289:L289" si="55">I289/I37-1</f>
        <v>0.17612020467528655</v>
      </c>
      <c r="L289" s="8">
        <f t="shared" si="55"/>
        <v>0.19213735982272251</v>
      </c>
      <c r="M289" s="8">
        <f t="shared" si="17"/>
        <v>1.6017155147435957E-2</v>
      </c>
    </row>
    <row r="290" spans="1:13" x14ac:dyDescent="0.3">
      <c r="A290" s="1">
        <v>44622</v>
      </c>
      <c r="B290" s="5">
        <v>14385745.613734363</v>
      </c>
      <c r="C290" s="5">
        <v>14546309.097997233</v>
      </c>
      <c r="D290" s="5">
        <v>0</v>
      </c>
      <c r="E290" s="5">
        <f t="shared" si="21"/>
        <v>0</v>
      </c>
      <c r="F290" s="5">
        <f t="shared" si="21"/>
        <v>0</v>
      </c>
      <c r="G290" s="9">
        <f t="shared" si="23"/>
        <v>2.9466738075112353E-4</v>
      </c>
      <c r="H290" s="9">
        <f t="shared" si="23"/>
        <v>4.5356091280448485E-3</v>
      </c>
      <c r="I290" s="5">
        <f t="shared" si="24"/>
        <v>12336116.658727452</v>
      </c>
      <c r="J290" s="5">
        <f t="shared" si="25"/>
        <v>12468302.474710228</v>
      </c>
      <c r="K290" s="8">
        <f t="shared" ref="K290:L290" si="56">I290/I38-1</f>
        <v>0.16828237987448413</v>
      </c>
      <c r="L290" s="8">
        <f t="shared" si="56"/>
        <v>0.19667737322686363</v>
      </c>
      <c r="M290" s="8">
        <f t="shared" si="17"/>
        <v>2.8394993352379494E-2</v>
      </c>
    </row>
    <row r="291" spans="1:13" x14ac:dyDescent="0.3">
      <c r="A291" s="1">
        <v>44623</v>
      </c>
      <c r="B291" s="5">
        <v>14366570.001848828</v>
      </c>
      <c r="C291" s="5">
        <v>14534855.586213449</v>
      </c>
      <c r="D291" s="5">
        <v>0</v>
      </c>
      <c r="E291" s="5">
        <f t="shared" si="21"/>
        <v>0</v>
      </c>
      <c r="F291" s="5">
        <f t="shared" si="21"/>
        <v>0</v>
      </c>
      <c r="G291" s="9">
        <f t="shared" si="23"/>
        <v>-1.3329591944978292E-3</v>
      </c>
      <c r="H291" s="9">
        <f t="shared" si="23"/>
        <v>-7.8738267601929923E-4</v>
      </c>
      <c r="I291" s="5">
        <f t="shared" si="24"/>
        <v>12319673.118602803</v>
      </c>
      <c r="J291" s="5">
        <f t="shared" si="25"/>
        <v>12458485.149342272</v>
      </c>
      <c r="K291" s="8">
        <f t="shared" ref="K291:L291" si="57">I291/I39-1</f>
        <v>0.16052398913391541</v>
      </c>
      <c r="L291" s="8">
        <f t="shared" si="57"/>
        <v>0.18327983202522891</v>
      </c>
      <c r="M291" s="8">
        <f t="shared" si="17"/>
        <v>2.2755842891313494E-2</v>
      </c>
    </row>
    <row r="292" spans="1:13" x14ac:dyDescent="0.3">
      <c r="A292" s="1">
        <v>44624</v>
      </c>
      <c r="B292" s="5">
        <v>14018926.649658706</v>
      </c>
      <c r="C292" s="5">
        <v>14511690.680619061</v>
      </c>
      <c r="D292" s="5">
        <v>0</v>
      </c>
      <c r="E292" s="5">
        <f t="shared" si="21"/>
        <v>0</v>
      </c>
      <c r="F292" s="5">
        <f t="shared" si="21"/>
        <v>0</v>
      </c>
      <c r="G292" s="9">
        <f t="shared" si="23"/>
        <v>-2.4198075960050636E-2</v>
      </c>
      <c r="H292" s="9">
        <f t="shared" si="23"/>
        <v>-1.5937485898628312E-3</v>
      </c>
      <c r="I292" s="5">
        <f t="shared" si="24"/>
        <v>12021560.732675858</v>
      </c>
      <c r="J292" s="5">
        <f t="shared" si="25"/>
        <v>12438629.45620368</v>
      </c>
      <c r="K292" s="8">
        <f t="shared" ref="K292:L292" si="58">I292/I40-1</f>
        <v>0.12497647038868198</v>
      </c>
      <c r="L292" s="8">
        <f t="shared" si="58"/>
        <v>0.20487366603444701</v>
      </c>
      <c r="M292" s="8">
        <f t="shared" si="17"/>
        <v>7.9897195645765029E-2</v>
      </c>
    </row>
    <row r="293" spans="1:13" x14ac:dyDescent="0.3">
      <c r="A293" s="1">
        <v>44627</v>
      </c>
      <c r="B293" s="5">
        <v>13650009.426667223</v>
      </c>
      <c r="C293" s="5">
        <v>14173825.342518616</v>
      </c>
      <c r="D293" s="5">
        <v>0</v>
      </c>
      <c r="E293" s="5">
        <f t="shared" si="21"/>
        <v>0</v>
      </c>
      <c r="F293" s="5">
        <f t="shared" si="21"/>
        <v>0</v>
      </c>
      <c r="G293" s="9">
        <f t="shared" si="23"/>
        <v>-2.6315653987708409E-2</v>
      </c>
      <c r="H293" s="9">
        <f t="shared" si="23"/>
        <v>-2.3282286367340865E-2</v>
      </c>
      <c r="I293" s="5">
        <f t="shared" si="24"/>
        <v>11705205.500042537</v>
      </c>
      <c r="J293" s="5">
        <f t="shared" si="25"/>
        <v>12149029.723187106</v>
      </c>
      <c r="K293" s="8">
        <f t="shared" ref="K293:L293" si="59">I293/I41-1</f>
        <v>0.12002922223300905</v>
      </c>
      <c r="L293" s="8">
        <f t="shared" si="59"/>
        <v>0.16342756535021397</v>
      </c>
      <c r="M293" s="8">
        <f t="shared" si="17"/>
        <v>4.3398343117204918E-2</v>
      </c>
    </row>
    <row r="294" spans="1:13" x14ac:dyDescent="0.3">
      <c r="A294" s="1">
        <v>44628</v>
      </c>
      <c r="B294" s="5">
        <v>13855731.598109696</v>
      </c>
      <c r="C294" s="5">
        <v>14100943.705512794</v>
      </c>
      <c r="D294" s="5">
        <v>0</v>
      </c>
      <c r="E294" s="5">
        <f t="shared" si="21"/>
        <v>0</v>
      </c>
      <c r="F294" s="5">
        <f t="shared" si="21"/>
        <v>0</v>
      </c>
      <c r="G294" s="9">
        <f t="shared" si="23"/>
        <v>1.5071210942943836E-2</v>
      </c>
      <c r="H294" s="9">
        <f t="shared" si="23"/>
        <v>-5.141987801076664E-3</v>
      </c>
      <c r="I294" s="5">
        <f t="shared" si="24"/>
        <v>11881617.121264184</v>
      </c>
      <c r="J294" s="5">
        <f t="shared" si="25"/>
        <v>12086559.560555561</v>
      </c>
      <c r="K294" s="8">
        <f t="shared" ref="K294:L294" si="60">I294/I42-1</f>
        <v>0.12619204257369687</v>
      </c>
      <c r="L294" s="8">
        <f t="shared" si="60"/>
        <v>0.13853063223572493</v>
      </c>
      <c r="M294" s="8">
        <f t="shared" si="17"/>
        <v>1.2338589662028054E-2</v>
      </c>
    </row>
    <row r="295" spans="1:13" x14ac:dyDescent="0.3">
      <c r="A295" s="1">
        <v>44629</v>
      </c>
      <c r="B295" s="5">
        <v>14072073.949814089</v>
      </c>
      <c r="C295" s="5">
        <v>14332254.278245766</v>
      </c>
      <c r="D295" s="5">
        <v>0</v>
      </c>
      <c r="E295" s="5">
        <f t="shared" si="21"/>
        <v>0</v>
      </c>
      <c r="F295" s="5">
        <f t="shared" si="21"/>
        <v>0</v>
      </c>
      <c r="G295" s="9">
        <f t="shared" si="23"/>
        <v>1.5613924834824822E-2</v>
      </c>
      <c r="H295" s="9">
        <f t="shared" si="23"/>
        <v>1.6403907253564887E-2</v>
      </c>
      <c r="I295" s="5">
        <f t="shared" si="24"/>
        <v>12067135.797911771</v>
      </c>
      <c r="J295" s="5">
        <f t="shared" si="25"/>
        <v>12284826.362601602</v>
      </c>
      <c r="K295" s="8">
        <f t="shared" ref="K295:L295" si="61">I295/I43-1</f>
        <v>0.12427713523131612</v>
      </c>
      <c r="L295" s="8">
        <f t="shared" si="61"/>
        <v>0.16837667273183077</v>
      </c>
      <c r="M295" s="8">
        <f t="shared" si="17"/>
        <v>4.4099537500514652E-2</v>
      </c>
    </row>
    <row r="296" spans="1:13" x14ac:dyDescent="0.3">
      <c r="A296" s="1">
        <v>44630</v>
      </c>
      <c r="B296" s="5">
        <v>14344613.036928682</v>
      </c>
      <c r="C296" s="5">
        <v>14273931.595536143</v>
      </c>
      <c r="D296" s="5">
        <v>0</v>
      </c>
      <c r="E296" s="5">
        <f t="shared" si="21"/>
        <v>0</v>
      </c>
      <c r="F296" s="5">
        <f t="shared" si="21"/>
        <v>0</v>
      </c>
      <c r="G296" s="9">
        <f t="shared" si="23"/>
        <v>1.9367371724065885E-2</v>
      </c>
      <c r="H296" s="9">
        <f t="shared" si="23"/>
        <v>-4.0693307261613354E-3</v>
      </c>
      <c r="I296" s="5">
        <f t="shared" si="24"/>
        <v>12300844.502554711</v>
      </c>
      <c r="J296" s="5">
        <f t="shared" si="25"/>
        <v>12234835.341218712</v>
      </c>
      <c r="K296" s="8">
        <f t="shared" ref="K296:L296" si="62">I296/I44-1</f>
        <v>0.12803558723189412</v>
      </c>
      <c r="L296" s="8">
        <f t="shared" si="62"/>
        <v>0.18608830523189468</v>
      </c>
      <c r="M296" s="8">
        <f t="shared" si="17"/>
        <v>5.8052718000000558E-2</v>
      </c>
    </row>
    <row r="297" spans="1:13" x14ac:dyDescent="0.3">
      <c r="A297" s="1">
        <v>44631</v>
      </c>
      <c r="B297" s="5">
        <v>14415208.880820209</v>
      </c>
      <c r="C297" s="5">
        <v>14110038.901822185</v>
      </c>
      <c r="D297" s="5">
        <v>0</v>
      </c>
      <c r="E297" s="5">
        <f t="shared" si="21"/>
        <v>0</v>
      </c>
      <c r="F297" s="5">
        <f t="shared" si="21"/>
        <v>0</v>
      </c>
      <c r="G297" s="9">
        <f t="shared" si="23"/>
        <v>4.9214184941612782E-3</v>
      </c>
      <c r="H297" s="9">
        <f t="shared" si="23"/>
        <v>-1.1481958745354404E-2</v>
      </c>
      <c r="I297" s="5">
        <f t="shared" si="24"/>
        <v>12361382.106183385</v>
      </c>
      <c r="J297" s="5">
        <f t="shared" si="25"/>
        <v>12094355.466574635</v>
      </c>
      <c r="K297" s="8">
        <f t="shared" ref="K297:L297" si="63">I297/I45-1</f>
        <v>0.13153632280226568</v>
      </c>
      <c r="L297" s="8">
        <f t="shared" si="63"/>
        <v>0.19016430990030608</v>
      </c>
      <c r="M297" s="8">
        <f t="shared" si="17"/>
        <v>5.8627987098040402E-2</v>
      </c>
    </row>
    <row r="298" spans="1:13" x14ac:dyDescent="0.3">
      <c r="A298" s="1">
        <v>44634</v>
      </c>
      <c r="B298" s="5">
        <v>14362247.176048042</v>
      </c>
      <c r="C298" s="5">
        <v>14002895.706048582</v>
      </c>
      <c r="D298" s="5">
        <v>0</v>
      </c>
      <c r="E298" s="5">
        <f t="shared" si="21"/>
        <v>0</v>
      </c>
      <c r="F298" s="5">
        <f t="shared" si="21"/>
        <v>0</v>
      </c>
      <c r="G298" s="9">
        <f t="shared" si="23"/>
        <v>-3.6740157711230292E-3</v>
      </c>
      <c r="H298" s="9">
        <f t="shared" si="23"/>
        <v>-7.5934018693433192E-3</v>
      </c>
      <c r="I298" s="5">
        <f t="shared" si="24"/>
        <v>12315966.193372389</v>
      </c>
      <c r="J298" s="5">
        <f t="shared" si="25"/>
        <v>12002518.165166246</v>
      </c>
      <c r="K298" s="8">
        <f t="shared" ref="K298:L298" si="64">I298/I46-1</f>
        <v>0.14397419390338917</v>
      </c>
      <c r="L298" s="8">
        <f t="shared" si="64"/>
        <v>0.15089555716578951</v>
      </c>
      <c r="M298" s="8">
        <f t="shared" si="17"/>
        <v>6.9213632624003374E-3</v>
      </c>
    </row>
    <row r="299" spans="1:13" x14ac:dyDescent="0.3">
      <c r="A299" s="1">
        <v>44635</v>
      </c>
      <c r="B299" s="5">
        <v>14228311.752206078</v>
      </c>
      <c r="C299" s="5">
        <v>14295512.249359306</v>
      </c>
      <c r="D299" s="5">
        <v>0</v>
      </c>
      <c r="E299" s="5">
        <f t="shared" si="21"/>
        <v>0</v>
      </c>
      <c r="F299" s="5">
        <f t="shared" si="21"/>
        <v>0</v>
      </c>
      <c r="G299" s="9">
        <f t="shared" si="23"/>
        <v>-9.3255200387672987E-3</v>
      </c>
      <c r="H299" s="9">
        <f t="shared" si="23"/>
        <v>2.0896859439174964E-2</v>
      </c>
      <c r="I299" s="5">
        <f t="shared" si="24"/>
        <v>12201113.403839314</v>
      </c>
      <c r="J299" s="5">
        <f t="shared" si="25"/>
        <v>12253333.10017987</v>
      </c>
      <c r="K299" s="8">
        <f t="shared" ref="K299:L299" si="65">I299/I47-1</f>
        <v>0.13521170326559306</v>
      </c>
      <c r="L299" s="8">
        <f t="shared" si="65"/>
        <v>0.17949164963881103</v>
      </c>
      <c r="M299" s="8">
        <f t="shared" si="17"/>
        <v>4.4279946373217971E-2</v>
      </c>
    </row>
    <row r="300" spans="1:13" x14ac:dyDescent="0.3">
      <c r="A300" s="1">
        <v>44636</v>
      </c>
      <c r="B300" s="5">
        <v>14550520.803754374</v>
      </c>
      <c r="C300" s="5">
        <v>14569938.817673968</v>
      </c>
      <c r="D300" s="5">
        <v>0</v>
      </c>
      <c r="E300" s="5">
        <f t="shared" si="21"/>
        <v>0</v>
      </c>
      <c r="F300" s="5">
        <f t="shared" si="21"/>
        <v>0</v>
      </c>
      <c r="G300" s="9">
        <f t="shared" si="23"/>
        <v>2.264562775680945E-2</v>
      </c>
      <c r="H300" s="9">
        <f t="shared" si="23"/>
        <v>1.9196693586615687E-2</v>
      </c>
      <c r="I300" s="5">
        <f t="shared" si="24"/>
        <v>12477415.276201278</v>
      </c>
      <c r="J300" s="5">
        <f t="shared" si="25"/>
        <v>12488556.581118759</v>
      </c>
      <c r="K300" s="8">
        <f t="shared" ref="K300:L300" si="66">I300/I48-1</f>
        <v>0.16995228778218929</v>
      </c>
      <c r="L300" s="8">
        <f t="shared" si="66"/>
        <v>0.19223916190525858</v>
      </c>
      <c r="M300" s="8">
        <f t="shared" si="17"/>
        <v>2.2286874123069289E-2</v>
      </c>
    </row>
    <row r="301" spans="1:13" x14ac:dyDescent="0.3">
      <c r="A301" s="1">
        <v>44637</v>
      </c>
      <c r="B301" s="5">
        <v>14765195.374723459</v>
      </c>
      <c r="C301" s="5">
        <v>14706176.117545187</v>
      </c>
      <c r="D301" s="5">
        <v>0</v>
      </c>
      <c r="E301" s="5">
        <f t="shared" si="21"/>
        <v>0</v>
      </c>
      <c r="F301" s="5">
        <f t="shared" si="21"/>
        <v>0</v>
      </c>
      <c r="G301" s="9">
        <f t="shared" si="23"/>
        <v>1.4753737949619872E-2</v>
      </c>
      <c r="H301" s="9">
        <f t="shared" si="23"/>
        <v>9.3505746026851799E-3</v>
      </c>
      <c r="I301" s="5">
        <f t="shared" si="24"/>
        <v>12661503.791474935</v>
      </c>
      <c r="J301" s="5">
        <f t="shared" si="25"/>
        <v>12605331.761110365</v>
      </c>
      <c r="K301" s="8">
        <f t="shared" ref="K301:L301" si="67">I301/I49-1</f>
        <v>0.17982165970338038</v>
      </c>
      <c r="L301" s="8">
        <f t="shared" si="67"/>
        <v>0.19660260437423616</v>
      </c>
      <c r="M301" s="8">
        <f t="shared" si="17"/>
        <v>1.678094467085578E-2</v>
      </c>
    </row>
    <row r="302" spans="1:13" x14ac:dyDescent="0.3">
      <c r="A302" s="1">
        <v>44641</v>
      </c>
      <c r="B302" s="5">
        <v>14576821.216184549</v>
      </c>
      <c r="C302" s="5">
        <v>14921112.956471777</v>
      </c>
      <c r="D302" s="5">
        <v>0</v>
      </c>
      <c r="E302" s="5">
        <f t="shared" si="21"/>
        <v>0</v>
      </c>
      <c r="F302" s="5">
        <f t="shared" si="21"/>
        <v>0</v>
      </c>
      <c r="G302" s="9">
        <f t="shared" si="23"/>
        <v>-1.2757986180215952E-2</v>
      </c>
      <c r="H302" s="9">
        <f t="shared" si="23"/>
        <v>1.4615413089617446E-2</v>
      </c>
      <c r="I302" s="5">
        <f t="shared" si="24"/>
        <v>12499968.501082545</v>
      </c>
      <c r="J302" s="5">
        <f t="shared" si="25"/>
        <v>12789563.891930668</v>
      </c>
      <c r="K302" s="8">
        <f t="shared" ref="K302:L302" si="68">I302/I50-1</f>
        <v>0.17577972876739256</v>
      </c>
      <c r="L302" s="8">
        <f t="shared" si="68"/>
        <v>0.20247697793170549</v>
      </c>
      <c r="M302" s="8">
        <f t="shared" si="17"/>
        <v>2.6697249164312931E-2</v>
      </c>
    </row>
    <row r="303" spans="1:13" x14ac:dyDescent="0.3">
      <c r="A303" s="1">
        <v>44642</v>
      </c>
      <c r="B303" s="5">
        <v>14601518.290720817</v>
      </c>
      <c r="C303" s="5">
        <v>15064036.604829416</v>
      </c>
      <c r="D303" s="5">
        <v>0</v>
      </c>
      <c r="E303" s="5">
        <f t="shared" si="21"/>
        <v>0</v>
      </c>
      <c r="F303" s="5">
        <f t="shared" si="21"/>
        <v>0</v>
      </c>
      <c r="G303" s="9">
        <f t="shared" si="23"/>
        <v>1.6942702506941298E-3</v>
      </c>
      <c r="H303" s="9">
        <f t="shared" si="23"/>
        <v>9.5786184833919208E-3</v>
      </c>
      <c r="I303" s="5">
        <f t="shared" si="24"/>
        <v>12521146.825848542</v>
      </c>
      <c r="J303" s="5">
        <f t="shared" si="25"/>
        <v>12912070.245020436</v>
      </c>
      <c r="K303" s="8">
        <f t="shared" ref="K303:L303" si="69">I303/I51-1</f>
        <v>0.18406026611304016</v>
      </c>
      <c r="L303" s="8">
        <f t="shared" si="69"/>
        <v>0.20827190869302536</v>
      </c>
      <c r="M303" s="8">
        <f t="shared" si="17"/>
        <v>2.4211642579985204E-2</v>
      </c>
    </row>
    <row r="304" spans="1:13" x14ac:dyDescent="0.3">
      <c r="A304" s="1">
        <v>44643</v>
      </c>
      <c r="B304" s="5">
        <v>14633224.168687215</v>
      </c>
      <c r="C304" s="5">
        <v>14958247.759522161</v>
      </c>
      <c r="D304" s="5">
        <v>0</v>
      </c>
      <c r="E304" s="5">
        <f t="shared" si="21"/>
        <v>0</v>
      </c>
      <c r="F304" s="5">
        <f t="shared" si="21"/>
        <v>0</v>
      </c>
      <c r="G304" s="9">
        <f t="shared" si="23"/>
        <v>2.1714096667979632E-3</v>
      </c>
      <c r="H304" s="9">
        <f t="shared" si="23"/>
        <v>-7.0226094162131325E-3</v>
      </c>
      <c r="I304" s="5">
        <f t="shared" si="24"/>
        <v>12548335.365105586</v>
      </c>
      <c r="J304" s="5">
        <f t="shared" si="25"/>
        <v>12821393.818934951</v>
      </c>
      <c r="K304" s="8">
        <f t="shared" ref="K304:L304" si="70">I304/I52-1</f>
        <v>0.18110821240137631</v>
      </c>
      <c r="L304" s="8">
        <f t="shared" si="70"/>
        <v>0.20263453965479661</v>
      </c>
      <c r="M304" s="8">
        <f t="shared" si="17"/>
        <v>2.1526327253420297E-2</v>
      </c>
    </row>
    <row r="305" spans="1:13" x14ac:dyDescent="0.3">
      <c r="A305" s="1">
        <v>44644</v>
      </c>
      <c r="B305" s="5">
        <v>14660955.212196363</v>
      </c>
      <c r="C305" s="5">
        <v>15118551.821241878</v>
      </c>
      <c r="D305" s="5">
        <v>0</v>
      </c>
      <c r="E305" s="5">
        <f t="shared" si="21"/>
        <v>0</v>
      </c>
      <c r="F305" s="5">
        <f t="shared" si="21"/>
        <v>0</v>
      </c>
      <c r="G305" s="9">
        <f t="shared" si="23"/>
        <v>1.8950740581482606E-3</v>
      </c>
      <c r="H305" s="9">
        <f t="shared" si="23"/>
        <v>1.0716767384580272E-2</v>
      </c>
      <c r="I305" s="5">
        <f t="shared" si="24"/>
        <v>12572115.389928943</v>
      </c>
      <c r="J305" s="5">
        <f t="shared" si="25"/>
        <v>12958797.714038571</v>
      </c>
      <c r="K305" s="8">
        <f t="shared" ref="K305:L305" si="71">I305/I53-1</f>
        <v>0.20707844062330238</v>
      </c>
      <c r="L305" s="8">
        <f t="shared" si="71"/>
        <v>0.21135456236963268</v>
      </c>
      <c r="M305" s="8">
        <f t="shared" si="17"/>
        <v>4.276121746330297E-3</v>
      </c>
    </row>
    <row r="306" spans="1:13" x14ac:dyDescent="0.3">
      <c r="A306" s="1">
        <v>44645</v>
      </c>
      <c r="B306" s="5">
        <v>14666909.730741275</v>
      </c>
      <c r="C306" s="5">
        <v>15209203.304791978</v>
      </c>
      <c r="D306" s="5">
        <v>0</v>
      </c>
      <c r="E306" s="5">
        <f t="shared" si="21"/>
        <v>0</v>
      </c>
      <c r="F306" s="5">
        <f t="shared" si="21"/>
        <v>0</v>
      </c>
      <c r="G306" s="9">
        <f t="shared" si="23"/>
        <v>4.0614806189154251E-4</v>
      </c>
      <c r="H306" s="9">
        <f t="shared" si="23"/>
        <v>5.9960427838552377E-3</v>
      </c>
      <c r="I306" s="5">
        <f t="shared" si="24"/>
        <v>12577221.53022844</v>
      </c>
      <c r="J306" s="5">
        <f t="shared" si="25"/>
        <v>13036499.219559273</v>
      </c>
      <c r="K306" s="8">
        <f t="shared" ref="K306:L306" si="72">I306/I54-1</f>
        <v>0.22212334790029042</v>
      </c>
      <c r="L306" s="8">
        <f t="shared" si="72"/>
        <v>0.23562067507826656</v>
      </c>
      <c r="M306" s="8">
        <f t="shared" si="17"/>
        <v>1.3497327177976137E-2</v>
      </c>
    </row>
    <row r="307" spans="1:13" x14ac:dyDescent="0.3">
      <c r="A307" s="1">
        <v>44648</v>
      </c>
      <c r="B307" s="5">
        <v>14621031.58309526</v>
      </c>
      <c r="C307" s="5">
        <v>15279716.81218959</v>
      </c>
      <c r="D307" s="5">
        <v>0</v>
      </c>
      <c r="E307" s="5">
        <f t="shared" si="21"/>
        <v>0</v>
      </c>
      <c r="F307" s="5">
        <f t="shared" si="21"/>
        <v>0</v>
      </c>
      <c r="G307" s="9">
        <f t="shared" si="23"/>
        <v>-3.1280036823201351E-3</v>
      </c>
      <c r="H307" s="9">
        <f t="shared" si="23"/>
        <v>4.6362393864112228E-3</v>
      </c>
      <c r="I307" s="5">
        <f t="shared" si="24"/>
        <v>12537879.934968529</v>
      </c>
      <c r="J307" s="5">
        <f t="shared" si="25"/>
        <v>13096939.550701912</v>
      </c>
      <c r="K307" s="8">
        <f t="shared" ref="K307:L307" si="73">I307/I55-1</f>
        <v>0.204512814196538</v>
      </c>
      <c r="L307" s="8">
        <f t="shared" si="73"/>
        <v>0.24505316119398035</v>
      </c>
      <c r="M307" s="8">
        <f t="shared" si="17"/>
        <v>4.0540346997442356E-2</v>
      </c>
    </row>
    <row r="308" spans="1:13" x14ac:dyDescent="0.3">
      <c r="A308" s="1">
        <v>44649</v>
      </c>
      <c r="B308" s="5">
        <v>14691998.617753224</v>
      </c>
      <c r="C308" s="5">
        <v>15369421.962666377</v>
      </c>
      <c r="D308" s="5">
        <v>0</v>
      </c>
      <c r="E308" s="5">
        <f t="shared" si="21"/>
        <v>0</v>
      </c>
      <c r="F308" s="5">
        <f t="shared" si="21"/>
        <v>0</v>
      </c>
      <c r="G308" s="9">
        <f t="shared" si="23"/>
        <v>4.8537638575389952E-3</v>
      </c>
      <c r="H308" s="9">
        <f t="shared" si="23"/>
        <v>5.8708647273635339E-3</v>
      </c>
      <c r="I308" s="5">
        <f t="shared" si="24"/>
        <v>12598735.843447043</v>
      </c>
      <c r="J308" s="5">
        <f t="shared" si="25"/>
        <v>13173829.91114654</v>
      </c>
      <c r="K308" s="8">
        <f t="shared" ref="K308:L308" si="74">I308/I56-1</f>
        <v>0.19850685633202292</v>
      </c>
      <c r="L308" s="8">
        <f t="shared" si="74"/>
        <v>0.2449975783179974</v>
      </c>
      <c r="M308" s="8">
        <f t="shared" si="17"/>
        <v>4.6490721985974481E-2</v>
      </c>
    </row>
    <row r="309" spans="1:13" x14ac:dyDescent="0.3">
      <c r="A309" s="1">
        <v>44650</v>
      </c>
      <c r="B309" s="5">
        <v>14785858.327388391</v>
      </c>
      <c r="C309" s="5">
        <v>15310633.630628979</v>
      </c>
      <c r="D309" s="5">
        <v>0</v>
      </c>
      <c r="E309" s="5">
        <f t="shared" si="21"/>
        <v>0</v>
      </c>
      <c r="F309" s="5">
        <f t="shared" si="21"/>
        <v>0</v>
      </c>
      <c r="G309" s="9">
        <f t="shared" si="23"/>
        <v>6.3884915917260532E-3</v>
      </c>
      <c r="H309" s="9">
        <f t="shared" si="23"/>
        <v>-3.8250190657918015E-3</v>
      </c>
      <c r="I309" s="5">
        <f t="shared" si="24"/>
        <v>12679222.761449281</v>
      </c>
      <c r="J309" s="5">
        <f t="shared" si="25"/>
        <v>13123439.760566907</v>
      </c>
      <c r="K309" s="8">
        <f t="shared" ref="K309:L309" si="75">I309/I57-1</f>
        <v>0.19164259921047799</v>
      </c>
      <c r="L309" s="8">
        <f t="shared" si="75"/>
        <v>0.24718301257387298</v>
      </c>
      <c r="M309" s="8">
        <f t="shared" si="17"/>
        <v>5.5540413363394991E-2</v>
      </c>
    </row>
    <row r="310" spans="1:13" x14ac:dyDescent="0.3">
      <c r="A310" s="1">
        <v>44651</v>
      </c>
      <c r="B310" s="5">
        <v>14807725.072330583</v>
      </c>
      <c r="C310" s="5">
        <v>15093895.376119103</v>
      </c>
      <c r="D310" s="5">
        <v>0</v>
      </c>
      <c r="E310" s="5">
        <f t="shared" si="21"/>
        <v>0</v>
      </c>
      <c r="F310" s="5">
        <f t="shared" si="21"/>
        <v>0</v>
      </c>
      <c r="G310" s="9">
        <f t="shared" si="23"/>
        <v>1.4788958786171591E-3</v>
      </c>
      <c r="H310" s="9">
        <f t="shared" si="23"/>
        <v>-1.4156060404730053E-2</v>
      </c>
      <c r="I310" s="5">
        <f t="shared" si="24"/>
        <v>12697974.011735257</v>
      </c>
      <c r="J310" s="5">
        <f t="shared" si="25"/>
        <v>12937663.554598486</v>
      </c>
      <c r="K310" s="8">
        <f t="shared" ref="K310:L310" si="76">I310/I58-1</f>
        <v>0.21156880399393363</v>
      </c>
      <c r="L310" s="8">
        <f t="shared" si="76"/>
        <v>0.23501934936298974</v>
      </c>
      <c r="M310" s="8">
        <f t="shared" si="17"/>
        <v>2.3450545369056108E-2</v>
      </c>
    </row>
    <row r="311" spans="1:13" x14ac:dyDescent="0.3">
      <c r="A311" s="1">
        <v>44652</v>
      </c>
      <c r="B311" s="5">
        <v>15537742.194979018</v>
      </c>
      <c r="C311" s="5">
        <v>15663333.713835675</v>
      </c>
      <c r="D311" s="5">
        <v>500000</v>
      </c>
      <c r="E311" s="5">
        <f t="shared" si="21"/>
        <v>-500000</v>
      </c>
      <c r="F311" s="5">
        <f t="shared" si="21"/>
        <v>-500000</v>
      </c>
      <c r="G311" s="9">
        <f t="shared" si="23"/>
        <v>1.5533589496352862E-2</v>
      </c>
      <c r="H311" s="9">
        <f t="shared" si="23"/>
        <v>4.6004252703668591E-3</v>
      </c>
      <c r="I311" s="5">
        <f t="shared" si="24"/>
        <v>12895219.12746891</v>
      </c>
      <c r="J311" s="5">
        <f t="shared" si="25"/>
        <v>12997182.308954565</v>
      </c>
      <c r="K311" s="8">
        <f t="shared" ref="K311:L311" si="77">I311/I59-1</f>
        <v>0.25810356439730242</v>
      </c>
      <c r="L311" s="8">
        <f t="shared" si="77"/>
        <v>0.23249612450676627</v>
      </c>
      <c r="M311" s="8">
        <f t="shared" si="17"/>
        <v>-2.5607439890536154E-2</v>
      </c>
    </row>
    <row r="312" spans="1:13" x14ac:dyDescent="0.3">
      <c r="A312" s="1">
        <v>44655</v>
      </c>
      <c r="B312" s="5">
        <v>15786060.998737643</v>
      </c>
      <c r="C312" s="5">
        <v>15677928.835220482</v>
      </c>
      <c r="D312" s="5">
        <v>0</v>
      </c>
      <c r="E312" s="5">
        <f t="shared" si="21"/>
        <v>0</v>
      </c>
      <c r="F312" s="5">
        <f t="shared" si="21"/>
        <v>0</v>
      </c>
      <c r="G312" s="9">
        <f t="shared" si="23"/>
        <v>1.5981652973935168E-2</v>
      </c>
      <c r="H312" s="9">
        <f t="shared" si="23"/>
        <v>9.3180172570250797E-4</v>
      </c>
      <c r="I312" s="5">
        <f t="shared" si="24"/>
        <v>13101306.04458697</v>
      </c>
      <c r="J312" s="5">
        <f t="shared" si="25"/>
        <v>13009293.105859319</v>
      </c>
      <c r="K312" s="8">
        <f t="shared" ref="K312:L312" si="78">I312/I60-1</f>
        <v>0.26283989910891314</v>
      </c>
      <c r="L312" s="8">
        <f t="shared" si="78"/>
        <v>0.21412165005319395</v>
      </c>
      <c r="M312" s="8">
        <f t="shared" si="17"/>
        <v>-4.8718249055719198E-2</v>
      </c>
    </row>
    <row r="313" spans="1:13" x14ac:dyDescent="0.3">
      <c r="A313" s="1">
        <v>44656</v>
      </c>
      <c r="B313" s="5">
        <v>15916113.221327605</v>
      </c>
      <c r="C313" s="5">
        <v>15461058.898768559</v>
      </c>
      <c r="D313" s="5">
        <v>0</v>
      </c>
      <c r="E313" s="5">
        <f t="shared" si="21"/>
        <v>0</v>
      </c>
      <c r="F313" s="5">
        <f t="shared" si="21"/>
        <v>0</v>
      </c>
      <c r="G313" s="9">
        <f t="shared" si="23"/>
        <v>8.2384213896273817E-3</v>
      </c>
      <c r="H313" s="9">
        <f t="shared" si="23"/>
        <v>-1.3832818016415782E-2</v>
      </c>
      <c r="I313" s="5">
        <f t="shared" si="24"/>
        <v>13209240.124536749</v>
      </c>
      <c r="J313" s="5">
        <f t="shared" si="25"/>
        <v>12829337.921803754</v>
      </c>
      <c r="K313" s="8">
        <f t="shared" ref="K313:L313" si="79">I313/I61-1</f>
        <v>0.26836657699103617</v>
      </c>
      <c r="L313" s="8">
        <f t="shared" si="79"/>
        <v>0.1889433630745001</v>
      </c>
      <c r="M313" s="8">
        <f t="shared" si="17"/>
        <v>-7.9423213916536062E-2</v>
      </c>
    </row>
    <row r="314" spans="1:13" x14ac:dyDescent="0.3">
      <c r="A314" s="1">
        <v>44657</v>
      </c>
      <c r="B314" s="5">
        <v>15974631.261478417</v>
      </c>
      <c r="C314" s="5">
        <v>15434897.901321165</v>
      </c>
      <c r="D314" s="5">
        <v>0</v>
      </c>
      <c r="E314" s="5">
        <f t="shared" si="21"/>
        <v>0</v>
      </c>
      <c r="F314" s="5">
        <f t="shared" si="21"/>
        <v>0</v>
      </c>
      <c r="G314" s="9">
        <f t="shared" si="23"/>
        <v>3.6766539253061392E-3</v>
      </c>
      <c r="H314" s="9">
        <f t="shared" si="23"/>
        <v>-1.6920572917212828E-3</v>
      </c>
      <c r="I314" s="5">
        <f t="shared" si="24"/>
        <v>13257805.929090938</v>
      </c>
      <c r="J314" s="5">
        <f t="shared" si="25"/>
        <v>12807629.94702521</v>
      </c>
      <c r="K314" s="8">
        <f t="shared" ref="K314:L314" si="80">I314/I62-1</f>
        <v>0.26942057699116906</v>
      </c>
      <c r="L314" s="8">
        <f t="shared" si="80"/>
        <v>0.1875669048931603</v>
      </c>
      <c r="M314" s="8">
        <f t="shared" si="17"/>
        <v>-8.1853672098008756E-2</v>
      </c>
    </row>
    <row r="315" spans="1:13" x14ac:dyDescent="0.3">
      <c r="A315" s="1">
        <v>44658</v>
      </c>
      <c r="B315" s="5">
        <v>15927680.462162113</v>
      </c>
      <c r="C315" s="5">
        <v>15498396.439623548</v>
      </c>
      <c r="D315" s="5">
        <v>0</v>
      </c>
      <c r="E315" s="5">
        <f t="shared" si="21"/>
        <v>0</v>
      </c>
      <c r="F315" s="5">
        <f t="shared" si="21"/>
        <v>0</v>
      </c>
      <c r="G315" s="9">
        <f t="shared" si="23"/>
        <v>-2.9390850122169576E-3</v>
      </c>
      <c r="H315" s="9">
        <f t="shared" si="23"/>
        <v>4.1139590756182898E-3</v>
      </c>
      <c r="I315" s="5">
        <f t="shared" si="24"/>
        <v>13218840.110389866</v>
      </c>
      <c r="J315" s="5">
        <f t="shared" si="25"/>
        <v>12860320.012482934</v>
      </c>
      <c r="K315" s="8">
        <f t="shared" ref="K315:L315" si="81">I315/I63-1</f>
        <v>0.24696206936888743</v>
      </c>
      <c r="L315" s="8">
        <f t="shared" si="81"/>
        <v>0.175621900999124</v>
      </c>
      <c r="M315" s="8">
        <f t="shared" si="17"/>
        <v>-7.1340168369763424E-2</v>
      </c>
    </row>
    <row r="316" spans="1:13" x14ac:dyDescent="0.3">
      <c r="A316" s="1">
        <v>44659</v>
      </c>
      <c r="B316" s="5">
        <v>16173983.055625612</v>
      </c>
      <c r="C316" s="5">
        <v>15463708.733486837</v>
      </c>
      <c r="D316" s="5">
        <v>0</v>
      </c>
      <c r="E316" s="5">
        <f t="shared" si="21"/>
        <v>0</v>
      </c>
      <c r="F316" s="5">
        <f t="shared" si="21"/>
        <v>0</v>
      </c>
      <c r="G316" s="9">
        <f t="shared" si="23"/>
        <v>1.5463808057213146E-2</v>
      </c>
      <c r="H316" s="9">
        <f t="shared" si="23"/>
        <v>-2.2381480736953785E-3</v>
      </c>
      <c r="I316" s="5">
        <f t="shared" si="24"/>
        <v>13423253.716595925</v>
      </c>
      <c r="J316" s="5">
        <f t="shared" si="25"/>
        <v>12831536.712019889</v>
      </c>
      <c r="K316" s="8">
        <f t="shared" ref="K316:L316" si="82">I316/I64-1</f>
        <v>0.27799327987029288</v>
      </c>
      <c r="L316" s="8">
        <f t="shared" si="82"/>
        <v>0.15661398691620221</v>
      </c>
      <c r="M316" s="8">
        <f t="shared" si="17"/>
        <v>-0.12137929295409067</v>
      </c>
    </row>
    <row r="317" spans="1:13" x14ac:dyDescent="0.3">
      <c r="A317" s="1">
        <v>44662</v>
      </c>
      <c r="B317" s="5">
        <v>16334899.009919528</v>
      </c>
      <c r="C317" s="5">
        <v>15186693.696287684</v>
      </c>
      <c r="D317" s="5">
        <v>0</v>
      </c>
      <c r="E317" s="5">
        <f t="shared" si="21"/>
        <v>0</v>
      </c>
      <c r="F317" s="5">
        <f t="shared" si="21"/>
        <v>0</v>
      </c>
      <c r="G317" s="9">
        <f t="shared" si="23"/>
        <v>9.9490616343849148E-3</v>
      </c>
      <c r="H317" s="9">
        <f t="shared" si="23"/>
        <v>-1.7913880943662197E-2</v>
      </c>
      <c r="I317" s="5">
        <f t="shared" si="24"/>
        <v>13556802.495156325</v>
      </c>
      <c r="J317" s="5">
        <f t="shared" si="25"/>
        <v>12601674.091036534</v>
      </c>
      <c r="K317" s="8">
        <f t="shared" ref="K317:L317" si="83">I317/I65-1</f>
        <v>0.27794025964500313</v>
      </c>
      <c r="L317" s="8">
        <f t="shared" si="83"/>
        <v>0.13385703276665173</v>
      </c>
      <c r="M317" s="8">
        <f t="shared" si="17"/>
        <v>-0.1440832268783514</v>
      </c>
    </row>
    <row r="318" spans="1:13" x14ac:dyDescent="0.3">
      <c r="A318" s="1">
        <v>44663</v>
      </c>
      <c r="B318" s="5">
        <v>16150265.284584556</v>
      </c>
      <c r="C318" s="5">
        <v>15169227.219610265</v>
      </c>
      <c r="D318" s="5">
        <v>0</v>
      </c>
      <c r="E318" s="5">
        <f t="shared" si="21"/>
        <v>0</v>
      </c>
      <c r="F318" s="5">
        <f t="shared" si="21"/>
        <v>0</v>
      </c>
      <c r="G318" s="9">
        <f t="shared" si="23"/>
        <v>-1.1303022150479847E-2</v>
      </c>
      <c r="H318" s="9">
        <f t="shared" si="23"/>
        <v>-1.150117137194151E-3</v>
      </c>
      <c r="I318" s="5">
        <f t="shared" si="24"/>
        <v>13403569.656263893</v>
      </c>
      <c r="J318" s="5">
        <f t="shared" si="25"/>
        <v>12587180.689707097</v>
      </c>
      <c r="K318" s="8">
        <f t="shared" ref="K318:L318" si="84">I318/I66-1</f>
        <v>0.25112666286194663</v>
      </c>
      <c r="L318" s="8">
        <f t="shared" si="84"/>
        <v>0.11778200201875011</v>
      </c>
      <c r="M318" s="8">
        <f t="shared" si="17"/>
        <v>-0.13334466084319652</v>
      </c>
    </row>
    <row r="319" spans="1:13" x14ac:dyDescent="0.3">
      <c r="A319" s="1">
        <v>44664</v>
      </c>
      <c r="B319" s="5">
        <v>16173237.297524374</v>
      </c>
      <c r="C319" s="5">
        <v>15365845.387100102</v>
      </c>
      <c r="D319" s="5">
        <v>0</v>
      </c>
      <c r="E319" s="5">
        <f t="shared" si="21"/>
        <v>0</v>
      </c>
      <c r="F319" s="5">
        <f t="shared" si="21"/>
        <v>0</v>
      </c>
      <c r="G319" s="9">
        <f t="shared" si="23"/>
        <v>1.4223922972798064E-3</v>
      </c>
      <c r="H319" s="9">
        <f t="shared" si="23"/>
        <v>1.2961646934502857E-2</v>
      </c>
      <c r="I319" s="5">
        <f t="shared" si="24"/>
        <v>13422634.790499017</v>
      </c>
      <c r="J319" s="5">
        <f t="shared" si="25"/>
        <v>12750331.281707872</v>
      </c>
      <c r="K319" s="8">
        <f t="shared" ref="K319:L319" si="85">I319/I67-1</f>
        <v>0.24354518381568191</v>
      </c>
      <c r="L319" s="8">
        <f t="shared" si="85"/>
        <v>0.12392526047167096</v>
      </c>
      <c r="M319" s="8">
        <f t="shared" ref="M319:M382" si="86">L319-K319</f>
        <v>-0.11961992334401095</v>
      </c>
    </row>
    <row r="320" spans="1:13" x14ac:dyDescent="0.3">
      <c r="A320" s="1">
        <v>44669</v>
      </c>
      <c r="B320" s="5">
        <v>16115710.050279487</v>
      </c>
      <c r="C320" s="5">
        <v>15192070.585164955</v>
      </c>
      <c r="D320" s="5">
        <v>0</v>
      </c>
      <c r="E320" s="5">
        <f t="shared" si="21"/>
        <v>0</v>
      </c>
      <c r="F320" s="5">
        <f t="shared" si="21"/>
        <v>0</v>
      </c>
      <c r="G320" s="9">
        <f t="shared" si="23"/>
        <v>-3.5569407773230477E-3</v>
      </c>
      <c r="H320" s="9">
        <f t="shared" si="23"/>
        <v>-1.1309159864450691E-2</v>
      </c>
      <c r="I320" s="5">
        <f t="shared" si="24"/>
        <v>13374891.273473576</v>
      </c>
      <c r="J320" s="5">
        <f t="shared" si="25"/>
        <v>12606135.746918332</v>
      </c>
      <c r="K320" s="8">
        <f t="shared" ref="K320:L320" si="87">I320/I68-1</f>
        <v>0.23779851519509854</v>
      </c>
      <c r="L320" s="8">
        <f t="shared" si="87"/>
        <v>0.10047508091903556</v>
      </c>
      <c r="M320" s="8">
        <f t="shared" si="86"/>
        <v>-0.13732343427606297</v>
      </c>
    </row>
    <row r="321" spans="1:13" x14ac:dyDescent="0.3">
      <c r="A321" s="1">
        <v>44670</v>
      </c>
      <c r="B321" s="5">
        <v>15822001.212373571</v>
      </c>
      <c r="C321" s="5">
        <v>15470672.287743647</v>
      </c>
      <c r="D321" s="5">
        <v>0</v>
      </c>
      <c r="E321" s="5">
        <f t="shared" si="21"/>
        <v>0</v>
      </c>
      <c r="F321" s="5">
        <f t="shared" si="21"/>
        <v>0</v>
      </c>
      <c r="G321" s="9">
        <f t="shared" si="23"/>
        <v>-1.8225001379993278E-2</v>
      </c>
      <c r="H321" s="9">
        <f t="shared" si="23"/>
        <v>1.8338626128471702E-2</v>
      </c>
      <c r="I321" s="5">
        <f t="shared" si="24"/>
        <v>13131133.86155726</v>
      </c>
      <c r="J321" s="5">
        <f t="shared" si="25"/>
        <v>12837314.95730583</v>
      </c>
      <c r="K321" s="8">
        <f t="shared" ref="K321:L321" si="88">I321/I69-1</f>
        <v>0.27453310579530887</v>
      </c>
      <c r="L321" s="8">
        <f t="shared" si="88"/>
        <v>0.11622677488207334</v>
      </c>
      <c r="M321" s="8">
        <f t="shared" si="86"/>
        <v>-0.15830633091323554</v>
      </c>
    </row>
    <row r="322" spans="1:13" x14ac:dyDescent="0.3">
      <c r="A322" s="1">
        <v>44671</v>
      </c>
      <c r="B322" s="5">
        <v>15901131.473758154</v>
      </c>
      <c r="C322" s="5">
        <v>15430969.847592667</v>
      </c>
      <c r="D322" s="5">
        <v>0</v>
      </c>
      <c r="E322" s="5">
        <f t="shared" si="21"/>
        <v>0</v>
      </c>
      <c r="F322" s="5">
        <f t="shared" si="21"/>
        <v>0</v>
      </c>
      <c r="G322" s="9">
        <f t="shared" si="23"/>
        <v>5.0012801997953993E-3</v>
      </c>
      <c r="H322" s="9">
        <f t="shared" si="23"/>
        <v>-2.5663034813576679E-3</v>
      </c>
      <c r="I322" s="5">
        <f t="shared" si="24"/>
        <v>13196806.341339929</v>
      </c>
      <c r="J322" s="5">
        <f t="shared" si="25"/>
        <v>12804370.511239611</v>
      </c>
      <c r="K322" s="8">
        <f t="shared" ref="K322:L322" si="89">I322/I70-1</f>
        <v>0.26776303816907476</v>
      </c>
      <c r="L322" s="8">
        <f t="shared" si="89"/>
        <v>0.10616719588094803</v>
      </c>
      <c r="M322" s="8">
        <f t="shared" si="86"/>
        <v>-0.16159584228812673</v>
      </c>
    </row>
    <row r="323" spans="1:13" x14ac:dyDescent="0.3">
      <c r="A323" s="1">
        <v>44672</v>
      </c>
      <c r="B323" s="5">
        <v>16103327.802377203</v>
      </c>
      <c r="C323" s="5">
        <v>15202564.664018329</v>
      </c>
      <c r="D323" s="5">
        <v>0</v>
      </c>
      <c r="E323" s="5">
        <f t="shared" ref="E323:F386" si="90">$D323*-1</f>
        <v>0</v>
      </c>
      <c r="F323" s="5">
        <f t="shared" si="90"/>
        <v>0</v>
      </c>
      <c r="G323" s="9">
        <f t="shared" si="23"/>
        <v>1.2715845344259735E-2</v>
      </c>
      <c r="H323" s="9">
        <f t="shared" si="23"/>
        <v>-1.4801738700174427E-2</v>
      </c>
      <c r="I323" s="5">
        <f t="shared" si="24"/>
        <v>13364614.889814554</v>
      </c>
      <c r="J323" s="5">
        <f t="shared" si="25"/>
        <v>12614843.564712023</v>
      </c>
      <c r="K323" s="8">
        <f t="shared" ref="K323:L323" si="91">I323/I71-1</f>
        <v>0.27602687671991899</v>
      </c>
      <c r="L323" s="8">
        <f t="shared" si="91"/>
        <v>8.8760419321392225E-2</v>
      </c>
      <c r="M323" s="8">
        <f t="shared" si="86"/>
        <v>-0.18726645739852676</v>
      </c>
    </row>
    <row r="324" spans="1:13" x14ac:dyDescent="0.3">
      <c r="A324" s="1">
        <v>44673</v>
      </c>
      <c r="B324" s="5">
        <v>15983606.992911134</v>
      </c>
      <c r="C324" s="5">
        <v>14831473.699872272</v>
      </c>
      <c r="D324" s="5">
        <v>0</v>
      </c>
      <c r="E324" s="5">
        <f t="shared" si="90"/>
        <v>0</v>
      </c>
      <c r="F324" s="5">
        <f t="shared" si="90"/>
        <v>0</v>
      </c>
      <c r="G324" s="9">
        <f t="shared" ref="G324:H387" si="92">((B324-$D324)/B323-1)</f>
        <v>-7.434538434248128E-3</v>
      </c>
      <c r="H324" s="9">
        <f t="shared" si="92"/>
        <v>-2.4409760612586706E-2</v>
      </c>
      <c r="I324" s="5">
        <f t="shared" ref="I324:I387" si="93">I323*(1+G324)</f>
        <v>13265255.146757303</v>
      </c>
      <c r="J324" s="5">
        <f t="shared" ref="J324:J387" si="94">J323*(1+H324)</f>
        <v>12306918.253132174</v>
      </c>
      <c r="K324" s="8">
        <f t="shared" ref="K324:L324" si="95">I324/I72-1</f>
        <v>0.25310553753518805</v>
      </c>
      <c r="L324" s="8">
        <f t="shared" si="95"/>
        <v>6.3054907043250896E-2</v>
      </c>
      <c r="M324" s="8">
        <f t="shared" si="86"/>
        <v>-0.19005063049193716</v>
      </c>
    </row>
    <row r="325" spans="1:13" x14ac:dyDescent="0.3">
      <c r="A325" s="1">
        <v>44676</v>
      </c>
      <c r="B325" s="5">
        <v>15669986.413702251</v>
      </c>
      <c r="C325" s="5">
        <v>14961046.195812508</v>
      </c>
      <c r="D325" s="5">
        <v>0</v>
      </c>
      <c r="E325" s="5">
        <f t="shared" si="90"/>
        <v>0</v>
      </c>
      <c r="F325" s="5">
        <f t="shared" si="90"/>
        <v>0</v>
      </c>
      <c r="G325" s="9">
        <f t="shared" si="92"/>
        <v>-1.962138954917847E-2</v>
      </c>
      <c r="H325" s="9">
        <f t="shared" si="92"/>
        <v>8.7363197051248953E-3</v>
      </c>
      <c r="I325" s="5">
        <f t="shared" si="93"/>
        <v>13004972.408053532</v>
      </c>
      <c r="J325" s="5">
        <f t="shared" si="94"/>
        <v>12414435.425576374</v>
      </c>
      <c r="K325" s="8">
        <f t="shared" ref="K325:L325" si="96">I325/I73-1</f>
        <v>0.24992967902191188</v>
      </c>
      <c r="L325" s="8">
        <f t="shared" si="96"/>
        <v>7.244786002120307E-2</v>
      </c>
      <c r="M325" s="8">
        <f t="shared" si="86"/>
        <v>-0.17748181900070881</v>
      </c>
    </row>
    <row r="326" spans="1:13" x14ac:dyDescent="0.3">
      <c r="A326" s="1">
        <v>44677</v>
      </c>
      <c r="B326" s="5">
        <v>16037812.953183735</v>
      </c>
      <c r="C326" s="5">
        <v>14519227.832090287</v>
      </c>
      <c r="D326" s="5">
        <v>0</v>
      </c>
      <c r="E326" s="5">
        <f t="shared" si="90"/>
        <v>0</v>
      </c>
      <c r="F326" s="5">
        <f t="shared" si="90"/>
        <v>0</v>
      </c>
      <c r="G326" s="9">
        <f t="shared" si="92"/>
        <v>2.347331578793499E-2</v>
      </c>
      <c r="H326" s="9">
        <f t="shared" si="92"/>
        <v>-2.9531247877964795E-2</v>
      </c>
      <c r="I326" s="5">
        <f t="shared" si="93"/>
        <v>13310242.232201153</v>
      </c>
      <c r="J326" s="5">
        <f t="shared" si="94"/>
        <v>12047821.65575869</v>
      </c>
      <c r="K326" s="8">
        <f t="shared" ref="K326:L326" si="97">I326/I74-1</f>
        <v>0.27357981157850952</v>
      </c>
      <c r="L326" s="8">
        <f t="shared" si="97"/>
        <v>4.0780161774301105E-2</v>
      </c>
      <c r="M326" s="8">
        <f t="shared" si="86"/>
        <v>-0.23279964980420842</v>
      </c>
    </row>
    <row r="327" spans="1:13" x14ac:dyDescent="0.3">
      <c r="A327" s="1">
        <v>44678</v>
      </c>
      <c r="B327" s="5">
        <v>15826521.039151415</v>
      </c>
      <c r="C327" s="5">
        <v>14549847.712996878</v>
      </c>
      <c r="D327" s="5">
        <v>0</v>
      </c>
      <c r="E327" s="5">
        <f t="shared" si="90"/>
        <v>0</v>
      </c>
      <c r="F327" s="5">
        <f t="shared" si="90"/>
        <v>0</v>
      </c>
      <c r="G327" s="9">
        <f t="shared" si="92"/>
        <v>-1.3174608947560729E-2</v>
      </c>
      <c r="H327" s="9">
        <f t="shared" si="92"/>
        <v>2.1089193764778358E-3</v>
      </c>
      <c r="I327" s="5">
        <f t="shared" si="93"/>
        <v>13134884.995794596</v>
      </c>
      <c r="J327" s="5">
        <f t="shared" si="94"/>
        <v>12073229.540292868</v>
      </c>
      <c r="K327" s="8">
        <f t="shared" ref="K327:L327" si="98">I327/I75-1</f>
        <v>0.25493442623296869</v>
      </c>
      <c r="L327" s="8">
        <f t="shared" si="98"/>
        <v>4.6629144890504737E-2</v>
      </c>
      <c r="M327" s="8">
        <f t="shared" si="86"/>
        <v>-0.20830528134246395</v>
      </c>
    </row>
    <row r="328" spans="1:13" x14ac:dyDescent="0.3">
      <c r="A328" s="1">
        <v>44679</v>
      </c>
      <c r="B328" s="5">
        <v>16042969.337769415</v>
      </c>
      <c r="C328" s="5">
        <v>14920508.146406451</v>
      </c>
      <c r="D328" s="5">
        <v>0</v>
      </c>
      <c r="E328" s="5">
        <f t="shared" si="90"/>
        <v>0</v>
      </c>
      <c r="F328" s="5">
        <f t="shared" si="90"/>
        <v>0</v>
      </c>
      <c r="G328" s="9">
        <f t="shared" si="92"/>
        <v>1.3676303091662012E-2</v>
      </c>
      <c r="H328" s="9">
        <f t="shared" si="92"/>
        <v>2.5475210512236224E-2</v>
      </c>
      <c r="I328" s="5">
        <f t="shared" si="93"/>
        <v>13314521.664071206</v>
      </c>
      <c r="J328" s="5">
        <f t="shared" si="94"/>
        <v>12380797.604394378</v>
      </c>
      <c r="K328" s="8">
        <f t="shared" ref="K328:L328" si="99">I328/I76-1</f>
        <v>0.27053938582808157</v>
      </c>
      <c r="L328" s="8">
        <f t="shared" si="99"/>
        <v>6.3635942604179263E-2</v>
      </c>
      <c r="M328" s="8">
        <f t="shared" si="86"/>
        <v>-0.20690344322390231</v>
      </c>
    </row>
    <row r="329" spans="1:13" x14ac:dyDescent="0.3">
      <c r="A329" s="1">
        <v>44680</v>
      </c>
      <c r="B329" s="5">
        <v>15837377.146367958</v>
      </c>
      <c r="C329" s="5">
        <v>14346418.488860797</v>
      </c>
      <c r="D329" s="5">
        <v>0</v>
      </c>
      <c r="E329" s="5">
        <f t="shared" si="90"/>
        <v>0</v>
      </c>
      <c r="F329" s="5">
        <f t="shared" si="90"/>
        <v>0</v>
      </c>
      <c r="G329" s="9">
        <f t="shared" si="92"/>
        <v>-1.2815095950937105E-2</v>
      </c>
      <c r="H329" s="9">
        <f t="shared" si="92"/>
        <v>-3.8476548647836895E-2</v>
      </c>
      <c r="I329" s="5">
        <f t="shared" si="93"/>
        <v>13143894.791405303</v>
      </c>
      <c r="J329" s="5">
        <f t="shared" si="94"/>
        <v>11904427.243069876</v>
      </c>
      <c r="K329" s="8">
        <f t="shared" ref="K329:L329" si="100">I329/I77-1</f>
        <v>0.24796804531279193</v>
      </c>
      <c r="L329" s="8">
        <f t="shared" si="100"/>
        <v>2.3896125495914244E-2</v>
      </c>
      <c r="M329" s="8">
        <f t="shared" si="86"/>
        <v>-0.22407191981687768</v>
      </c>
    </row>
    <row r="330" spans="1:13" x14ac:dyDescent="0.3">
      <c r="A330" s="1">
        <v>44683</v>
      </c>
      <c r="B330" s="5">
        <v>15780483.793509124</v>
      </c>
      <c r="C330" s="5">
        <v>14429797.581998266</v>
      </c>
      <c r="D330" s="5">
        <v>0</v>
      </c>
      <c r="E330" s="5">
        <f t="shared" si="90"/>
        <v>0</v>
      </c>
      <c r="F330" s="5">
        <f t="shared" si="90"/>
        <v>0</v>
      </c>
      <c r="G330" s="9">
        <f t="shared" si="92"/>
        <v>-3.5923469102888683E-3</v>
      </c>
      <c r="H330" s="9">
        <f t="shared" si="92"/>
        <v>5.8118403002260788E-3</v>
      </c>
      <c r="I330" s="5">
        <f t="shared" si="93"/>
        <v>13096677.361562237</v>
      </c>
      <c r="J330" s="5">
        <f t="shared" si="94"/>
        <v>11973613.873072259</v>
      </c>
      <c r="K330" s="8">
        <f t="shared" ref="K330:L330" si="101">I330/I78-1</f>
        <v>0.2339222183601406</v>
      </c>
      <c r="L330" s="8">
        <f t="shared" si="101"/>
        <v>3.240935046913429E-2</v>
      </c>
      <c r="M330" s="8">
        <f t="shared" si="86"/>
        <v>-0.20151286789100631</v>
      </c>
    </row>
    <row r="331" spans="1:13" x14ac:dyDescent="0.3">
      <c r="A331" s="1">
        <v>44685</v>
      </c>
      <c r="B331" s="5">
        <v>15326666.018111696</v>
      </c>
      <c r="C331" s="5">
        <v>14883952.722009618</v>
      </c>
      <c r="D331" s="5">
        <v>0</v>
      </c>
      <c r="E331" s="5">
        <f t="shared" si="90"/>
        <v>0</v>
      </c>
      <c r="F331" s="5">
        <f t="shared" si="90"/>
        <v>0</v>
      </c>
      <c r="G331" s="9">
        <f t="shared" si="92"/>
        <v>-2.8758166183985634E-2</v>
      </c>
      <c r="H331" s="9">
        <f t="shared" si="92"/>
        <v>3.1473424171793551E-2</v>
      </c>
      <c r="I331" s="5">
        <f t="shared" si="93"/>
        <v>12720040.937540388</v>
      </c>
      <c r="J331" s="5">
        <f t="shared" si="94"/>
        <v>12350464.501368735</v>
      </c>
      <c r="K331" s="8">
        <f t="shared" ref="K331:L331" si="102">I331/I79-1</f>
        <v>0.19111333922283213</v>
      </c>
      <c r="L331" s="8">
        <f t="shared" si="102"/>
        <v>6.7083547027434021E-2</v>
      </c>
      <c r="M331" s="8">
        <f t="shared" si="86"/>
        <v>-0.12402979219539811</v>
      </c>
    </row>
    <row r="332" spans="1:13" x14ac:dyDescent="0.3">
      <c r="A332" s="1">
        <v>44686</v>
      </c>
      <c r="B332" s="5">
        <v>15353966.091460468</v>
      </c>
      <c r="C332" s="5">
        <v>14411428.1986761</v>
      </c>
      <c r="D332" s="5">
        <v>0</v>
      </c>
      <c r="E332" s="5">
        <f t="shared" si="90"/>
        <v>0</v>
      </c>
      <c r="F332" s="5">
        <f t="shared" si="90"/>
        <v>0</v>
      </c>
      <c r="G332" s="9">
        <f t="shared" si="92"/>
        <v>1.7812140824697842E-3</v>
      </c>
      <c r="H332" s="9">
        <f t="shared" si="92"/>
        <v>-3.1747246995401546E-2</v>
      </c>
      <c r="I332" s="5">
        <f t="shared" si="93"/>
        <v>12742698.053587927</v>
      </c>
      <c r="J332" s="5">
        <f t="shared" si="94"/>
        <v>11958371.254335843</v>
      </c>
      <c r="K332" s="8">
        <f t="shared" ref="K332:L332" si="103">I332/I80-1</f>
        <v>0.19364460948438356</v>
      </c>
      <c r="L332" s="8">
        <f t="shared" si="103"/>
        <v>3.2029785338140826E-2</v>
      </c>
      <c r="M332" s="8">
        <f t="shared" si="86"/>
        <v>-0.16161482414624273</v>
      </c>
    </row>
    <row r="333" spans="1:13" x14ac:dyDescent="0.3">
      <c r="A333" s="1">
        <v>44687</v>
      </c>
      <c r="B333" s="5">
        <v>15029422.819490289</v>
      </c>
      <c r="C333" s="5">
        <v>14399195.172529377</v>
      </c>
      <c r="D333" s="5">
        <v>0</v>
      </c>
      <c r="E333" s="5">
        <f t="shared" si="90"/>
        <v>0</v>
      </c>
      <c r="F333" s="5">
        <f t="shared" si="90"/>
        <v>0</v>
      </c>
      <c r="G333" s="9">
        <f t="shared" si="92"/>
        <v>-2.1137422737352751E-2</v>
      </c>
      <c r="H333" s="9">
        <f t="shared" si="92"/>
        <v>-8.4884204244561889E-4</v>
      </c>
      <c r="I333" s="5">
        <f t="shared" si="93"/>
        <v>12473350.258014796</v>
      </c>
      <c r="J333" s="5">
        <f t="shared" si="94"/>
        <v>11948220.486055989</v>
      </c>
      <c r="K333" s="8">
        <f t="shared" ref="K333:L333" si="104">I333/I81-1</f>
        <v>0.17402681272598386</v>
      </c>
      <c r="L333" s="8">
        <f t="shared" si="104"/>
        <v>3.952567538915619E-2</v>
      </c>
      <c r="M333" s="8">
        <f t="shared" si="86"/>
        <v>-0.13450113733682767</v>
      </c>
    </row>
    <row r="334" spans="1:13" x14ac:dyDescent="0.3">
      <c r="A334" s="1">
        <v>44690</v>
      </c>
      <c r="B334" s="5">
        <v>14739061.902774559</v>
      </c>
      <c r="C334" s="5">
        <v>14038647.034704855</v>
      </c>
      <c r="D334" s="5">
        <v>0</v>
      </c>
      <c r="E334" s="5">
        <f t="shared" si="90"/>
        <v>0</v>
      </c>
      <c r="F334" s="5">
        <f t="shared" si="90"/>
        <v>0</v>
      </c>
      <c r="G334" s="9">
        <f t="shared" si="92"/>
        <v>-1.9319498839249327E-2</v>
      </c>
      <c r="H334" s="9">
        <f t="shared" si="92"/>
        <v>-2.5039464602325312E-2</v>
      </c>
      <c r="I334" s="5">
        <f t="shared" si="93"/>
        <v>12232371.382183529</v>
      </c>
      <c r="J334" s="5">
        <f t="shared" si="94"/>
        <v>11649043.442134611</v>
      </c>
      <c r="K334" s="8">
        <f t="shared" ref="K334:L334" si="105">I334/I82-1</f>
        <v>0.14148249022582049</v>
      </c>
      <c r="L334" s="8">
        <f t="shared" si="105"/>
        <v>1.318095092210303E-2</v>
      </c>
      <c r="M334" s="8">
        <f t="shared" si="86"/>
        <v>-0.12830153930371746</v>
      </c>
    </row>
    <row r="335" spans="1:13" x14ac:dyDescent="0.3">
      <c r="A335" s="1">
        <v>44691</v>
      </c>
      <c r="B335" s="5">
        <v>14409647.232350243</v>
      </c>
      <c r="C335" s="5">
        <v>14047788.694861967</v>
      </c>
      <c r="D335" s="5">
        <v>0</v>
      </c>
      <c r="E335" s="5">
        <f t="shared" si="90"/>
        <v>0</v>
      </c>
      <c r="F335" s="5">
        <f t="shared" si="90"/>
        <v>0</v>
      </c>
      <c r="G335" s="9">
        <f t="shared" si="92"/>
        <v>-2.2349771823829911E-2</v>
      </c>
      <c r="H335" s="9">
        <f t="shared" si="92"/>
        <v>6.5117814662007945E-4</v>
      </c>
      <c r="I335" s="5">
        <f t="shared" si="93"/>
        <v>11958980.672927381</v>
      </c>
      <c r="J335" s="5">
        <f t="shared" si="94"/>
        <v>11656629.044653157</v>
      </c>
      <c r="K335" s="8">
        <f t="shared" ref="K335:L335" si="106">I335/I83-1</f>
        <v>0.12038283778080383</v>
      </c>
      <c r="L335" s="8">
        <f t="shared" si="106"/>
        <v>2.0934173998093941E-2</v>
      </c>
      <c r="M335" s="8">
        <f t="shared" si="86"/>
        <v>-9.944866378270989E-2</v>
      </c>
    </row>
    <row r="336" spans="1:13" x14ac:dyDescent="0.3">
      <c r="A336" s="1">
        <v>44692</v>
      </c>
      <c r="B336" s="5">
        <v>14393088.739081042</v>
      </c>
      <c r="C336" s="5">
        <v>13811671.273570733</v>
      </c>
      <c r="D336" s="5">
        <v>0</v>
      </c>
      <c r="E336" s="5">
        <f t="shared" si="90"/>
        <v>0</v>
      </c>
      <c r="F336" s="5">
        <f t="shared" si="90"/>
        <v>0</v>
      </c>
      <c r="G336" s="9">
        <f t="shared" si="92"/>
        <v>-1.1491255130817724E-3</v>
      </c>
      <c r="H336" s="9">
        <f t="shared" si="92"/>
        <v>-1.6808155818687331E-2</v>
      </c>
      <c r="I336" s="5">
        <f t="shared" si="93"/>
        <v>11945238.303125668</v>
      </c>
      <c r="J336" s="5">
        <f t="shared" si="94"/>
        <v>11460702.60734999</v>
      </c>
      <c r="K336" s="8">
        <f t="shared" ref="K336:L336" si="107">I336/I84-1</f>
        <v>0.10097637579670127</v>
      </c>
      <c r="L336" s="8">
        <f t="shared" si="107"/>
        <v>2.9269204175794705E-3</v>
      </c>
      <c r="M336" s="8">
        <f t="shared" si="86"/>
        <v>-9.8049455379121797E-2</v>
      </c>
    </row>
    <row r="337" spans="1:13" x14ac:dyDescent="0.3">
      <c r="A337" s="1">
        <v>44693</v>
      </c>
      <c r="B337" s="5">
        <v>14031880.802748017</v>
      </c>
      <c r="C337" s="5">
        <v>13818343.852895921</v>
      </c>
      <c r="D337" s="5">
        <v>0</v>
      </c>
      <c r="E337" s="5">
        <f t="shared" si="90"/>
        <v>0</v>
      </c>
      <c r="F337" s="5">
        <f t="shared" si="90"/>
        <v>0</v>
      </c>
      <c r="G337" s="9">
        <f t="shared" si="92"/>
        <v>-2.5095929225549041E-2</v>
      </c>
      <c r="H337" s="9">
        <f t="shared" si="92"/>
        <v>4.8311165195169536E-4</v>
      </c>
      <c r="I337" s="5">
        <f t="shared" si="93"/>
        <v>11645461.448088109</v>
      </c>
      <c r="J337" s="5">
        <f t="shared" si="94"/>
        <v>11466239.406319154</v>
      </c>
      <c r="K337" s="8">
        <f t="shared" ref="K337:L337" si="108">I337/I85-1</f>
        <v>6.7287087169093152E-2</v>
      </c>
      <c r="L337" s="8">
        <f t="shared" si="108"/>
        <v>-2.5743937292703745E-3</v>
      </c>
      <c r="M337" s="8">
        <f t="shared" si="86"/>
        <v>-6.9861480898363526E-2</v>
      </c>
    </row>
    <row r="338" spans="1:13" x14ac:dyDescent="0.3">
      <c r="A338" s="1">
        <v>44694</v>
      </c>
      <c r="B338" s="5">
        <v>13969183.8538085</v>
      </c>
      <c r="C338" s="5">
        <v>14155230.487348383</v>
      </c>
      <c r="D338" s="5">
        <v>0</v>
      </c>
      <c r="E338" s="5">
        <f t="shared" si="90"/>
        <v>0</v>
      </c>
      <c r="F338" s="5">
        <f t="shared" si="90"/>
        <v>0</v>
      </c>
      <c r="G338" s="9">
        <f t="shared" si="92"/>
        <v>-4.4681785585891642E-3</v>
      </c>
      <c r="H338" s="9">
        <f t="shared" si="92"/>
        <v>2.4379667928285054E-2</v>
      </c>
      <c r="I338" s="5">
        <f t="shared" si="93"/>
        <v>11593427.446940886</v>
      </c>
      <c r="J338" s="5">
        <f t="shared" si="94"/>
        <v>11745782.515431432</v>
      </c>
      <c r="K338" s="8">
        <f t="shared" ref="K338:L338" si="109">I338/I86-1</f>
        <v>5.8980615065038045E-2</v>
      </c>
      <c r="L338" s="8">
        <f t="shared" si="109"/>
        <v>1.9215399454907134E-2</v>
      </c>
      <c r="M338" s="8">
        <f t="shared" si="86"/>
        <v>-3.9765215610130911E-2</v>
      </c>
    </row>
    <row r="339" spans="1:13" x14ac:dyDescent="0.3">
      <c r="A339" s="1">
        <v>44697</v>
      </c>
      <c r="B339" s="5">
        <v>14180196.108552855</v>
      </c>
      <c r="C339" s="5">
        <v>14172939.407186028</v>
      </c>
      <c r="D339" s="5">
        <v>0</v>
      </c>
      <c r="E339" s="5">
        <f t="shared" si="90"/>
        <v>0</v>
      </c>
      <c r="F339" s="5">
        <f t="shared" si="90"/>
        <v>0</v>
      </c>
      <c r="G339" s="9">
        <f t="shared" si="92"/>
        <v>1.5105553549345396E-2</v>
      </c>
      <c r="H339" s="9">
        <f t="shared" si="92"/>
        <v>1.251051323641228E-3</v>
      </c>
      <c r="I339" s="5">
        <f t="shared" si="93"/>
        <v>11768552.586061101</v>
      </c>
      <c r="J339" s="5">
        <f t="shared" si="94"/>
        <v>11760477.092194565</v>
      </c>
      <c r="K339" s="8">
        <f t="shared" ref="K339:L339" si="110">I339/I87-1</f>
        <v>6.3891198004922822E-2</v>
      </c>
      <c r="L339" s="8">
        <f t="shared" si="110"/>
        <v>2.9264671939217557E-2</v>
      </c>
      <c r="M339" s="8">
        <f t="shared" si="86"/>
        <v>-3.4626526065705265E-2</v>
      </c>
    </row>
    <row r="340" spans="1:13" x14ac:dyDescent="0.3">
      <c r="A340" s="1">
        <v>44698</v>
      </c>
      <c r="B340" s="5">
        <v>14542826.312121809</v>
      </c>
      <c r="C340" s="5">
        <v>14392678.110569421</v>
      </c>
      <c r="D340" s="5">
        <v>0</v>
      </c>
      <c r="E340" s="5">
        <f t="shared" si="90"/>
        <v>0</v>
      </c>
      <c r="F340" s="5">
        <f t="shared" si="90"/>
        <v>0</v>
      </c>
      <c r="G340" s="9">
        <f t="shared" si="92"/>
        <v>2.5573003419200324E-2</v>
      </c>
      <c r="H340" s="9">
        <f t="shared" si="92"/>
        <v>1.5504102365101469E-2</v>
      </c>
      <c r="I340" s="5">
        <f t="shared" si="93"/>
        <v>12069509.821583482</v>
      </c>
      <c r="J340" s="5">
        <f t="shared" si="94"/>
        <v>11942812.73289438</v>
      </c>
      <c r="K340" s="8">
        <f t="shared" ref="K340:L340" si="111">I340/I88-1</f>
        <v>8.8771220026260034E-2</v>
      </c>
      <c r="L340" s="8">
        <f t="shared" si="111"/>
        <v>5.4640545507550708E-2</v>
      </c>
      <c r="M340" s="8">
        <f t="shared" si="86"/>
        <v>-3.4130674518709325E-2</v>
      </c>
    </row>
    <row r="341" spans="1:13" x14ac:dyDescent="0.3">
      <c r="A341" s="1">
        <v>44699</v>
      </c>
      <c r="B341" s="5">
        <v>14550744.665103847</v>
      </c>
      <c r="C341" s="5">
        <v>13859188.838793973</v>
      </c>
      <c r="D341" s="5">
        <v>0</v>
      </c>
      <c r="E341" s="5">
        <f t="shared" si="90"/>
        <v>0</v>
      </c>
      <c r="F341" s="5">
        <f t="shared" si="90"/>
        <v>0</v>
      </c>
      <c r="G341" s="9">
        <f t="shared" si="92"/>
        <v>5.444851511042792E-4</v>
      </c>
      <c r="H341" s="9">
        <f t="shared" si="92"/>
        <v>-3.7066713204936819E-2</v>
      </c>
      <c r="I341" s="5">
        <f t="shared" si="93"/>
        <v>12076081.490462441</v>
      </c>
      <c r="J341" s="5">
        <f t="shared" si="94"/>
        <v>11500131.918463916</v>
      </c>
      <c r="K341" s="8">
        <f t="shared" ref="K341:L341" si="112">I341/I89-1</f>
        <v>8.8007234824502456E-2</v>
      </c>
      <c r="L341" s="8">
        <f t="shared" si="112"/>
        <v>3.5688648625788577E-2</v>
      </c>
      <c r="M341" s="8">
        <f t="shared" si="86"/>
        <v>-5.2318586198713879E-2</v>
      </c>
    </row>
    <row r="342" spans="1:13" x14ac:dyDescent="0.3">
      <c r="A342" s="1">
        <v>44700</v>
      </c>
      <c r="B342" s="5">
        <v>14152616.375916123</v>
      </c>
      <c r="C342" s="5">
        <v>13733717.60108193</v>
      </c>
      <c r="D342" s="5">
        <v>0</v>
      </c>
      <c r="E342" s="5">
        <f t="shared" si="90"/>
        <v>0</v>
      </c>
      <c r="F342" s="5">
        <f t="shared" si="90"/>
        <v>0</v>
      </c>
      <c r="G342" s="9">
        <f t="shared" si="92"/>
        <v>-2.7361368668816666E-2</v>
      </c>
      <c r="H342" s="9">
        <f t="shared" si="92"/>
        <v>-9.0532887004778351E-3</v>
      </c>
      <c r="I342" s="5">
        <f t="shared" si="93"/>
        <v>11745663.372727225</v>
      </c>
      <c r="J342" s="5">
        <f t="shared" si="94"/>
        <v>11396017.904112482</v>
      </c>
      <c r="K342" s="8">
        <f t="shared" ref="K342:L342" si="113">I342/I90-1</f>
        <v>7.3549398311355541E-2</v>
      </c>
      <c r="L342" s="8">
        <f t="shared" si="113"/>
        <v>2.9098704570706957E-3</v>
      </c>
      <c r="M342" s="8">
        <f t="shared" si="86"/>
        <v>-7.0639527854284845E-2</v>
      </c>
    </row>
    <row r="343" spans="1:13" x14ac:dyDescent="0.3">
      <c r="A343" s="1">
        <v>44701</v>
      </c>
      <c r="B343" s="5">
        <v>14364579.472239556</v>
      </c>
      <c r="C343" s="5">
        <v>13796255.857400935</v>
      </c>
      <c r="D343" s="5">
        <v>0</v>
      </c>
      <c r="E343" s="5">
        <f t="shared" si="90"/>
        <v>0</v>
      </c>
      <c r="F343" s="5">
        <f t="shared" si="90"/>
        <v>0</v>
      </c>
      <c r="G343" s="9">
        <f t="shared" si="92"/>
        <v>1.4976954839540202E-2</v>
      </c>
      <c r="H343" s="9">
        <f t="shared" si="92"/>
        <v>4.5536291145289454E-3</v>
      </c>
      <c r="I343" s="5">
        <f t="shared" si="93"/>
        <v>11921577.642621001</v>
      </c>
      <c r="J343" s="5">
        <f t="shared" si="94"/>
        <v>11447911.143030342</v>
      </c>
      <c r="K343" s="8">
        <f t="shared" ref="K343:L343" si="114">I343/I91-1</f>
        <v>7.6051954270664135E-2</v>
      </c>
      <c r="L343" s="8">
        <f t="shared" si="114"/>
        <v>9.0659571927804716E-3</v>
      </c>
      <c r="M343" s="8">
        <f t="shared" si="86"/>
        <v>-6.6985997077883663E-2</v>
      </c>
    </row>
    <row r="344" spans="1:13" x14ac:dyDescent="0.3">
      <c r="A344" s="1">
        <v>44704</v>
      </c>
      <c r="B344" s="5">
        <v>14239819.468746571</v>
      </c>
      <c r="C344" s="5">
        <v>14003328.846933508</v>
      </c>
      <c r="D344" s="5">
        <v>0</v>
      </c>
      <c r="E344" s="5">
        <f t="shared" si="90"/>
        <v>0</v>
      </c>
      <c r="F344" s="5">
        <f t="shared" si="90"/>
        <v>0</v>
      </c>
      <c r="G344" s="9">
        <f t="shared" si="92"/>
        <v>-8.6852527589890149E-3</v>
      </c>
      <c r="H344" s="9">
        <f t="shared" si="92"/>
        <v>1.5009361356653095E-2</v>
      </c>
      <c r="I344" s="5">
        <f t="shared" si="93"/>
        <v>11818035.727508925</v>
      </c>
      <c r="J344" s="5">
        <f t="shared" si="94"/>
        <v>11619736.978154941</v>
      </c>
      <c r="K344" s="8">
        <f t="shared" ref="K344:L344" si="115">I344/I92-1</f>
        <v>5.265356831350898E-2</v>
      </c>
      <c r="L344" s="8">
        <f t="shared" si="115"/>
        <v>3.6558415014876333E-2</v>
      </c>
      <c r="M344" s="8">
        <f t="shared" si="86"/>
        <v>-1.6095153298632647E-2</v>
      </c>
    </row>
    <row r="345" spans="1:13" x14ac:dyDescent="0.3">
      <c r="A345" s="1">
        <v>44705</v>
      </c>
      <c r="B345" s="5">
        <v>14120010.766361427</v>
      </c>
      <c r="C345" s="5">
        <v>13888017.358094107</v>
      </c>
      <c r="D345" s="5">
        <v>0</v>
      </c>
      <c r="E345" s="5">
        <f t="shared" si="90"/>
        <v>0</v>
      </c>
      <c r="F345" s="5">
        <f t="shared" si="90"/>
        <v>0</v>
      </c>
      <c r="G345" s="9">
        <f t="shared" si="92"/>
        <v>-8.4136391369356023E-3</v>
      </c>
      <c r="H345" s="9">
        <f t="shared" si="92"/>
        <v>-8.2345769423712856E-3</v>
      </c>
      <c r="I345" s="5">
        <f t="shared" si="93"/>
        <v>11718603.039590253</v>
      </c>
      <c r="J345" s="5">
        <f t="shared" si="94"/>
        <v>11524053.359958207</v>
      </c>
      <c r="K345" s="8">
        <f t="shared" ref="K345:L345" si="116">I345/I93-1</f>
        <v>3.6988012774532564E-2</v>
      </c>
      <c r="L345" s="8">
        <f t="shared" si="116"/>
        <v>2.8658401391315369E-2</v>
      </c>
      <c r="M345" s="8">
        <f t="shared" si="86"/>
        <v>-8.3296113832171947E-3</v>
      </c>
    </row>
    <row r="346" spans="1:13" x14ac:dyDescent="0.3">
      <c r="A346" s="1">
        <v>44706</v>
      </c>
      <c r="B346" s="5">
        <v>13880097.721772434</v>
      </c>
      <c r="C346" s="5">
        <v>14033964.258006943</v>
      </c>
      <c r="D346" s="5">
        <v>0</v>
      </c>
      <c r="E346" s="5">
        <f t="shared" si="90"/>
        <v>0</v>
      </c>
      <c r="F346" s="5">
        <f t="shared" si="90"/>
        <v>0</v>
      </c>
      <c r="G346" s="9">
        <f t="shared" si="92"/>
        <v>-1.6990995868115477E-2</v>
      </c>
      <c r="H346" s="9">
        <f t="shared" si="92"/>
        <v>1.0508836225480156E-2</v>
      </c>
      <c r="I346" s="5">
        <f t="shared" si="93"/>
        <v>11519492.303764489</v>
      </c>
      <c r="J346" s="5">
        <f t="shared" si="94"/>
        <v>11645157.749371702</v>
      </c>
      <c r="K346" s="8">
        <f t="shared" ref="K346:L346" si="117">I346/I94-1</f>
        <v>1.994053420574815E-2</v>
      </c>
      <c r="L346" s="8">
        <f t="shared" si="117"/>
        <v>3.091339607221455E-2</v>
      </c>
      <c r="M346" s="8">
        <f t="shared" si="86"/>
        <v>1.0972861866466399E-2</v>
      </c>
    </row>
    <row r="347" spans="1:13" x14ac:dyDescent="0.3">
      <c r="A347" s="1">
        <v>44707</v>
      </c>
      <c r="B347" s="5">
        <v>14072197.018385122</v>
      </c>
      <c r="C347" s="5">
        <v>14328278.391196385</v>
      </c>
      <c r="D347" s="5">
        <v>0</v>
      </c>
      <c r="E347" s="5">
        <f t="shared" si="90"/>
        <v>0</v>
      </c>
      <c r="F347" s="5">
        <f t="shared" si="90"/>
        <v>0</v>
      </c>
      <c r="G347" s="9">
        <f t="shared" si="92"/>
        <v>1.3839909521051741E-2</v>
      </c>
      <c r="H347" s="9">
        <f t="shared" si="92"/>
        <v>2.0971560692234492E-2</v>
      </c>
      <c r="I347" s="5">
        <f t="shared" si="93"/>
        <v>11678921.034977041</v>
      </c>
      <c r="J347" s="5">
        <f t="shared" si="94"/>
        <v>11889374.881883295</v>
      </c>
      <c r="K347" s="8">
        <f t="shared" ref="K347:L347" si="118">I347/I95-1</f>
        <v>2.9645631389605853E-2</v>
      </c>
      <c r="L347" s="8">
        <f t="shared" si="118"/>
        <v>5.6354553994793166E-2</v>
      </c>
      <c r="M347" s="8">
        <f t="shared" si="86"/>
        <v>2.6708922605187313E-2</v>
      </c>
    </row>
    <row r="348" spans="1:13" x14ac:dyDescent="0.3">
      <c r="A348" s="1">
        <v>44708</v>
      </c>
      <c r="B348" s="5">
        <v>14167350.425259089</v>
      </c>
      <c r="C348" s="5">
        <v>14670198.309584625</v>
      </c>
      <c r="D348" s="5">
        <v>0</v>
      </c>
      <c r="E348" s="5">
        <f t="shared" si="90"/>
        <v>0</v>
      </c>
      <c r="F348" s="5">
        <f t="shared" si="90"/>
        <v>0</v>
      </c>
      <c r="G348" s="9">
        <f t="shared" si="92"/>
        <v>6.7618017818860121E-3</v>
      </c>
      <c r="H348" s="9">
        <f t="shared" si="92"/>
        <v>2.3863293904055061E-2</v>
      </c>
      <c r="I348" s="5">
        <f t="shared" si="93"/>
        <v>11757891.584041854</v>
      </c>
      <c r="J348" s="5">
        <f t="shared" si="94"/>
        <v>12173094.529025165</v>
      </c>
      <c r="K348" s="8">
        <f t="shared" ref="K348:L348" si="119">I348/I96-1</f>
        <v>2.9219560482765417E-2</v>
      </c>
      <c r="L348" s="8">
        <f t="shared" si="119"/>
        <v>7.025461752892781E-2</v>
      </c>
      <c r="M348" s="8">
        <f t="shared" si="86"/>
        <v>4.1035057046162393E-2</v>
      </c>
    </row>
    <row r="349" spans="1:13" x14ac:dyDescent="0.3">
      <c r="A349" s="1">
        <v>44711</v>
      </c>
      <c r="B349" s="5">
        <v>14504867.224768963</v>
      </c>
      <c r="C349" s="5">
        <v>14581330.380950525</v>
      </c>
      <c r="D349" s="5">
        <v>0</v>
      </c>
      <c r="E349" s="5">
        <f t="shared" si="90"/>
        <v>0</v>
      </c>
      <c r="F349" s="5">
        <f t="shared" si="90"/>
        <v>0</v>
      </c>
      <c r="G349" s="9">
        <f t="shared" si="92"/>
        <v>2.3823565407693481E-2</v>
      </c>
      <c r="H349" s="9">
        <f t="shared" si="92"/>
        <v>-6.0577182911043526E-3</v>
      </c>
      <c r="I349" s="5">
        <f t="shared" si="93"/>
        <v>12038006.483250843</v>
      </c>
      <c r="J349" s="5">
        <f t="shared" si="94"/>
        <v>12099353.351637347</v>
      </c>
      <c r="K349" s="8">
        <f t="shared" ref="K349:L349" si="120">I349/I97-1</f>
        <v>5.7457989169405588E-2</v>
      </c>
      <c r="L349" s="8">
        <f t="shared" si="120"/>
        <v>6.7193200355996741E-2</v>
      </c>
      <c r="M349" s="8">
        <f t="shared" si="86"/>
        <v>9.7352111865911528E-3</v>
      </c>
    </row>
    <row r="350" spans="1:13" x14ac:dyDescent="0.3">
      <c r="A350" s="1">
        <v>44712</v>
      </c>
      <c r="B350" s="5">
        <v>14518269.563216865</v>
      </c>
      <c r="C350" s="5">
        <v>14581330.380950525</v>
      </c>
      <c r="D350" s="5">
        <v>0</v>
      </c>
      <c r="E350" s="5">
        <f t="shared" si="90"/>
        <v>0</v>
      </c>
      <c r="F350" s="5">
        <f t="shared" si="90"/>
        <v>0</v>
      </c>
      <c r="G350" s="9">
        <f t="shared" si="92"/>
        <v>9.239890472776402E-4</v>
      </c>
      <c r="H350" s="9">
        <f t="shared" si="92"/>
        <v>0</v>
      </c>
      <c r="I350" s="5">
        <f t="shared" si="93"/>
        <v>12049129.469392424</v>
      </c>
      <c r="J350" s="5">
        <f t="shared" si="94"/>
        <v>12099353.351637347</v>
      </c>
      <c r="K350" s="8">
        <f t="shared" ref="K350:L350" si="121">I350/I98-1</f>
        <v>5.9771192958633979E-2</v>
      </c>
      <c r="L350" s="8">
        <f t="shared" si="121"/>
        <v>6.6205460144725059E-2</v>
      </c>
      <c r="M350" s="8">
        <f t="shared" si="86"/>
        <v>6.4342671860910805E-3</v>
      </c>
    </row>
    <row r="351" spans="1:13" x14ac:dyDescent="0.3">
      <c r="A351" s="1">
        <v>44713</v>
      </c>
      <c r="B351" s="5">
        <v>14381923.67493684</v>
      </c>
      <c r="C351" s="5">
        <v>14473685.186417766</v>
      </c>
      <c r="D351" s="5">
        <v>0</v>
      </c>
      <c r="E351" s="5">
        <f t="shared" si="90"/>
        <v>0</v>
      </c>
      <c r="F351" s="5">
        <f t="shared" si="90"/>
        <v>0</v>
      </c>
      <c r="G351" s="9">
        <f t="shared" si="92"/>
        <v>-9.3913319136508244E-3</v>
      </c>
      <c r="H351" s="9">
        <f t="shared" si="92"/>
        <v>-7.3823987057717311E-3</v>
      </c>
      <c r="I351" s="5">
        <f t="shared" si="93"/>
        <v>11935972.095274808</v>
      </c>
      <c r="J351" s="5">
        <f t="shared" si="94"/>
        <v>12010031.101113545</v>
      </c>
      <c r="K351" s="8">
        <f t="shared" ref="K351:L351" si="122">I351/I99-1</f>
        <v>4.4938943220280692E-2</v>
      </c>
      <c r="L351" s="8">
        <f t="shared" si="122"/>
        <v>5.8756784341523316E-2</v>
      </c>
      <c r="M351" s="8">
        <f t="shared" si="86"/>
        <v>1.3817841121242624E-2</v>
      </c>
    </row>
    <row r="352" spans="1:13" x14ac:dyDescent="0.3">
      <c r="A352" s="1">
        <v>44714</v>
      </c>
      <c r="B352" s="5">
        <v>14457452.990061177</v>
      </c>
      <c r="C352" s="5">
        <v>14708763.812104339</v>
      </c>
      <c r="D352" s="5">
        <v>0</v>
      </c>
      <c r="E352" s="5">
        <f t="shared" si="90"/>
        <v>0</v>
      </c>
      <c r="F352" s="5">
        <f t="shared" si="90"/>
        <v>0</v>
      </c>
      <c r="G352" s="9">
        <f t="shared" si="92"/>
        <v>5.2516837685601114E-3</v>
      </c>
      <c r="H352" s="9">
        <f t="shared" si="92"/>
        <v>1.6241794861420189E-2</v>
      </c>
      <c r="I352" s="5">
        <f t="shared" si="93"/>
        <v>11998656.046189548</v>
      </c>
      <c r="J352" s="5">
        <f t="shared" si="94"/>
        <v>12205095.562537108</v>
      </c>
      <c r="K352" s="8">
        <f t="shared" ref="K352:L352" si="123">I352/I100-1</f>
        <v>4.9642584145536128E-2</v>
      </c>
      <c r="L352" s="8">
        <f t="shared" si="123"/>
        <v>7.7515985640593366E-2</v>
      </c>
      <c r="M352" s="8">
        <f t="shared" si="86"/>
        <v>2.7873401495057237E-2</v>
      </c>
    </row>
    <row r="353" spans="1:13" x14ac:dyDescent="0.3">
      <c r="A353" s="1">
        <v>44715</v>
      </c>
      <c r="B353" s="5">
        <v>14250033.691311697</v>
      </c>
      <c r="C353" s="5">
        <v>14503006.357121771</v>
      </c>
      <c r="D353" s="5">
        <v>0</v>
      </c>
      <c r="E353" s="5">
        <f t="shared" si="90"/>
        <v>0</v>
      </c>
      <c r="F353" s="5">
        <f t="shared" si="90"/>
        <v>0</v>
      </c>
      <c r="G353" s="9">
        <f t="shared" si="92"/>
        <v>-1.4346876928603591E-2</v>
      </c>
      <c r="H353" s="9">
        <f t="shared" si="92"/>
        <v>-1.3988765990874286E-2</v>
      </c>
      <c r="I353" s="5">
        <f t="shared" si="93"/>
        <v>11826512.804586222</v>
      </c>
      <c r="J353" s="5">
        <f t="shared" si="94"/>
        <v>12034361.336816518</v>
      </c>
      <c r="K353" s="8">
        <f t="shared" ref="K353:L353" si="124">I353/I101-1</f>
        <v>2.5420899426483068E-2</v>
      </c>
      <c r="L353" s="8">
        <f t="shared" si="124"/>
        <v>5.6949220759830554E-2</v>
      </c>
      <c r="M353" s="8">
        <f t="shared" si="86"/>
        <v>3.1528321333347487E-2</v>
      </c>
    </row>
    <row r="354" spans="1:13" x14ac:dyDescent="0.3">
      <c r="A354" s="1">
        <v>44718</v>
      </c>
      <c r="B354" s="5">
        <v>14208561.550617676</v>
      </c>
      <c r="C354" s="5">
        <v>14593630.057396634</v>
      </c>
      <c r="D354" s="5">
        <v>0</v>
      </c>
      <c r="E354" s="5">
        <f t="shared" si="90"/>
        <v>0</v>
      </c>
      <c r="F354" s="5">
        <f t="shared" si="90"/>
        <v>0</v>
      </c>
      <c r="G354" s="9">
        <f t="shared" si="92"/>
        <v>-2.9103187818640963E-3</v>
      </c>
      <c r="H354" s="9">
        <f t="shared" si="92"/>
        <v>6.2486148073954695E-3</v>
      </c>
      <c r="I354" s="5">
        <f t="shared" si="93"/>
        <v>11792093.882247079</v>
      </c>
      <c r="J354" s="5">
        <f t="shared" si="94"/>
        <v>12109559.425263297</v>
      </c>
      <c r="K354" s="8">
        <f t="shared" ref="K354:L354" si="125">I354/I102-1</f>
        <v>2.3534158691383311E-2</v>
      </c>
      <c r="L354" s="8">
        <f t="shared" si="125"/>
        <v>6.3553689311335537E-2</v>
      </c>
      <c r="M354" s="8">
        <f t="shared" si="86"/>
        <v>4.0019530619952226E-2</v>
      </c>
    </row>
    <row r="355" spans="1:13" x14ac:dyDescent="0.3">
      <c r="A355" s="1">
        <v>44719</v>
      </c>
      <c r="B355" s="5">
        <v>14089330.81076099</v>
      </c>
      <c r="C355" s="5">
        <v>14700837.603199774</v>
      </c>
      <c r="D355" s="5">
        <v>0</v>
      </c>
      <c r="E355" s="5">
        <f t="shared" si="90"/>
        <v>0</v>
      </c>
      <c r="F355" s="5">
        <f t="shared" si="90"/>
        <v>0</v>
      </c>
      <c r="G355" s="9">
        <f t="shared" si="92"/>
        <v>-8.3914715386163019E-3</v>
      </c>
      <c r="H355" s="9">
        <f t="shared" si="92"/>
        <v>7.3461877121383523E-3</v>
      </c>
      <c r="I355" s="5">
        <f t="shared" si="93"/>
        <v>11693140.862053512</v>
      </c>
      <c r="J355" s="5">
        <f t="shared" si="94"/>
        <v>12198518.521912575</v>
      </c>
      <c r="K355" s="8">
        <f t="shared" ref="K355:L355" si="126">I355/I103-1</f>
        <v>-3.350027893348817E-3</v>
      </c>
      <c r="L355" s="8">
        <f t="shared" si="126"/>
        <v>6.7653779363466615E-2</v>
      </c>
      <c r="M355" s="8">
        <f t="shared" si="86"/>
        <v>7.1003807256815432E-2</v>
      </c>
    </row>
    <row r="356" spans="1:13" x14ac:dyDescent="0.3">
      <c r="A356" s="1">
        <v>44720</v>
      </c>
      <c r="B356" s="5">
        <v>14045323.092522772</v>
      </c>
      <c r="C356" s="5">
        <v>14540818.646549404</v>
      </c>
      <c r="D356" s="5">
        <v>0</v>
      </c>
      <c r="E356" s="5">
        <f t="shared" si="90"/>
        <v>0</v>
      </c>
      <c r="F356" s="5">
        <f t="shared" si="90"/>
        <v>0</v>
      </c>
      <c r="G356" s="9">
        <f t="shared" si="92"/>
        <v>-3.1234782424589547E-3</v>
      </c>
      <c r="H356" s="9">
        <f t="shared" si="92"/>
        <v>-1.0885023083007317E-2</v>
      </c>
      <c r="I356" s="5">
        <f t="shared" si="93"/>
        <v>11656617.590984879</v>
      </c>
      <c r="J356" s="5">
        <f t="shared" si="94"/>
        <v>12065737.366223063</v>
      </c>
      <c r="K356" s="8">
        <f t="shared" ref="K356:L356" si="127">I356/I104-1</f>
        <v>-1.5604241549149744E-2</v>
      </c>
      <c r="L356" s="8">
        <f t="shared" si="127"/>
        <v>5.9125718329892551E-2</v>
      </c>
      <c r="M356" s="8">
        <f t="shared" si="86"/>
        <v>7.4729959879042296E-2</v>
      </c>
    </row>
    <row r="357" spans="1:13" x14ac:dyDescent="0.3">
      <c r="A357" s="1">
        <v>44721</v>
      </c>
      <c r="B357" s="5">
        <v>14158910.041606188</v>
      </c>
      <c r="C357" s="5">
        <v>14230913.735722851</v>
      </c>
      <c r="D357" s="5">
        <v>0</v>
      </c>
      <c r="E357" s="5">
        <f t="shared" si="90"/>
        <v>0</v>
      </c>
      <c r="F357" s="5">
        <f t="shared" si="90"/>
        <v>0</v>
      </c>
      <c r="G357" s="9">
        <f t="shared" si="92"/>
        <v>8.0871723872186774E-3</v>
      </c>
      <c r="H357" s="9">
        <f t="shared" si="92"/>
        <v>-2.1312755379154225E-2</v>
      </c>
      <c r="I357" s="5">
        <f t="shared" si="93"/>
        <v>11750886.66689506</v>
      </c>
      <c r="J357" s="5">
        <f t="shared" si="94"/>
        <v>11808583.25726763</v>
      </c>
      <c r="K357" s="8">
        <f t="shared" ref="K357:L357" si="128">I357/I105-1</f>
        <v>-1.2186794186536232E-2</v>
      </c>
      <c r="L357" s="8">
        <f t="shared" si="128"/>
        <v>2.9438951764954924E-2</v>
      </c>
      <c r="M357" s="8">
        <f t="shared" si="86"/>
        <v>4.1625745951491155E-2</v>
      </c>
    </row>
    <row r="358" spans="1:13" x14ac:dyDescent="0.3">
      <c r="A358" s="1">
        <v>44722</v>
      </c>
      <c r="B358" s="5">
        <v>14030072.339352524</v>
      </c>
      <c r="C358" s="5">
        <v>13859679.333230222</v>
      </c>
      <c r="D358" s="5">
        <v>0</v>
      </c>
      <c r="E358" s="5">
        <f t="shared" si="90"/>
        <v>0</v>
      </c>
      <c r="F358" s="5">
        <f t="shared" si="90"/>
        <v>0</v>
      </c>
      <c r="G358" s="9">
        <f t="shared" si="92"/>
        <v>-9.0994082083346584E-3</v>
      </c>
      <c r="H358" s="9">
        <f t="shared" si="92"/>
        <v>-2.6086476904202294E-2</v>
      </c>
      <c r="I358" s="5">
        <f t="shared" si="93"/>
        <v>11643960.552303106</v>
      </c>
      <c r="J358" s="5">
        <f t="shared" si="94"/>
        <v>11500538.922855567</v>
      </c>
      <c r="K358" s="8">
        <f t="shared" ref="K358:L358" si="129">I358/I106-1</f>
        <v>-2.2018515544573125E-2</v>
      </c>
      <c r="L358" s="8">
        <f t="shared" si="129"/>
        <v>4.3250502925380463E-3</v>
      </c>
      <c r="M358" s="8">
        <f t="shared" si="86"/>
        <v>2.6343565837111171E-2</v>
      </c>
    </row>
    <row r="359" spans="1:13" x14ac:dyDescent="0.3">
      <c r="A359" s="1">
        <v>44725</v>
      </c>
      <c r="B359" s="5">
        <v>13726373.006311852</v>
      </c>
      <c r="C359" s="5">
        <v>13322432.192471305</v>
      </c>
      <c r="D359" s="5">
        <v>0</v>
      </c>
      <c r="E359" s="5">
        <f t="shared" si="90"/>
        <v>0</v>
      </c>
      <c r="F359" s="5">
        <f t="shared" si="90"/>
        <v>0</v>
      </c>
      <c r="G359" s="9">
        <f t="shared" si="92"/>
        <v>-2.1646312698533565E-2</v>
      </c>
      <c r="H359" s="9">
        <f t="shared" si="92"/>
        <v>-3.8763316801334824E-2</v>
      </c>
      <c r="I359" s="5">
        <f t="shared" si="93"/>
        <v>11391911.741138563</v>
      </c>
      <c r="J359" s="5">
        <f t="shared" si="94"/>
        <v>11054739.889202835</v>
      </c>
      <c r="K359" s="8">
        <f t="shared" ref="K359:L359" si="130">I359/I107-1</f>
        <v>-4.682727407404963E-2</v>
      </c>
      <c r="L359" s="8">
        <f t="shared" si="130"/>
        <v>-3.6515339486628773E-2</v>
      </c>
      <c r="M359" s="8">
        <f t="shared" si="86"/>
        <v>1.0311934587420857E-2</v>
      </c>
    </row>
    <row r="360" spans="1:13" x14ac:dyDescent="0.3">
      <c r="A360" s="1">
        <v>44726</v>
      </c>
      <c r="B360" s="5">
        <v>13770146.34343254</v>
      </c>
      <c r="C360" s="5">
        <v>13264905.434715139</v>
      </c>
      <c r="D360" s="5">
        <v>0</v>
      </c>
      <c r="E360" s="5">
        <f t="shared" si="90"/>
        <v>0</v>
      </c>
      <c r="F360" s="5">
        <f t="shared" si="90"/>
        <v>0</v>
      </c>
      <c r="G360" s="9">
        <f t="shared" si="92"/>
        <v>3.1889951628560897E-3</v>
      </c>
      <c r="H360" s="9">
        <f t="shared" si="92"/>
        <v>-4.3180371965920727E-3</v>
      </c>
      <c r="I360" s="5">
        <f t="shared" si="93"/>
        <v>11428240.492576737</v>
      </c>
      <c r="J360" s="5">
        <f t="shared" si="94"/>
        <v>11007005.111162607</v>
      </c>
      <c r="K360" s="8">
        <f t="shared" ref="K360:L360" si="131">I360/I108-1</f>
        <v>-3.4853283622044651E-2</v>
      </c>
      <c r="L360" s="8">
        <f t="shared" si="131"/>
        <v>-3.961868364498633E-2</v>
      </c>
      <c r="M360" s="8">
        <f t="shared" si="86"/>
        <v>-4.7654000229416793E-3</v>
      </c>
    </row>
    <row r="361" spans="1:13" x14ac:dyDescent="0.3">
      <c r="A361" s="1">
        <v>44727</v>
      </c>
      <c r="B361" s="5">
        <v>13800192.404646929</v>
      </c>
      <c r="C361" s="5">
        <v>13477859.396457223</v>
      </c>
      <c r="D361" s="5">
        <v>0</v>
      </c>
      <c r="E361" s="5">
        <f t="shared" si="90"/>
        <v>0</v>
      </c>
      <c r="F361" s="5">
        <f t="shared" si="90"/>
        <v>0</v>
      </c>
      <c r="G361" s="9">
        <f t="shared" si="92"/>
        <v>2.1819710891248789E-3</v>
      </c>
      <c r="H361" s="9">
        <f t="shared" si="92"/>
        <v>1.6053937420825504E-2</v>
      </c>
      <c r="I361" s="5">
        <f t="shared" si="93"/>
        <v>11453176.582931105</v>
      </c>
      <c r="J361" s="5">
        <f t="shared" si="94"/>
        <v>11183710.882407917</v>
      </c>
      <c r="K361" s="8">
        <f t="shared" ref="K361:L361" si="132">I361/I109-1</f>
        <v>-4.4411968823650283E-2</v>
      </c>
      <c r="L361" s="8">
        <f t="shared" si="132"/>
        <v>-3.036114292623604E-2</v>
      </c>
      <c r="M361" s="8">
        <f t="shared" si="86"/>
        <v>1.4050825897414243E-2</v>
      </c>
    </row>
    <row r="362" spans="1:13" x14ac:dyDescent="0.3">
      <c r="A362" s="1">
        <v>44728</v>
      </c>
      <c r="B362" s="5">
        <v>13514532.427390769</v>
      </c>
      <c r="C362" s="5">
        <v>13021018.616065141</v>
      </c>
      <c r="D362" s="5">
        <v>0</v>
      </c>
      <c r="E362" s="5">
        <f t="shared" si="90"/>
        <v>0</v>
      </c>
      <c r="F362" s="5">
        <f t="shared" si="90"/>
        <v>0</v>
      </c>
      <c r="G362" s="9">
        <f t="shared" si="92"/>
        <v>-2.0699709748972062E-2</v>
      </c>
      <c r="H362" s="9">
        <f t="shared" si="92"/>
        <v>-3.3895648185213068E-2</v>
      </c>
      <c r="I362" s="5">
        <f t="shared" si="93"/>
        <v>11216099.151960708</v>
      </c>
      <c r="J362" s="5">
        <f t="shared" si="94"/>
        <v>10804631.752932679</v>
      </c>
      <c r="K362" s="8">
        <f t="shared" ref="K362:L362" si="133">I362/I110-1</f>
        <v>-6.6268647488040733E-2</v>
      </c>
      <c r="L362" s="8">
        <f t="shared" si="133"/>
        <v>-6.6858046022770568E-2</v>
      </c>
      <c r="M362" s="8">
        <f t="shared" si="86"/>
        <v>-5.8939853472983472E-4</v>
      </c>
    </row>
    <row r="363" spans="1:13" x14ac:dyDescent="0.3">
      <c r="A363" s="1">
        <v>44729</v>
      </c>
      <c r="B363" s="5">
        <v>13297847.084233448</v>
      </c>
      <c r="C363" s="5">
        <v>13049973.317970909</v>
      </c>
      <c r="D363" s="5">
        <v>0</v>
      </c>
      <c r="E363" s="5">
        <f t="shared" si="90"/>
        <v>0</v>
      </c>
      <c r="F363" s="5">
        <f t="shared" si="90"/>
        <v>0</v>
      </c>
      <c r="G363" s="9">
        <f t="shared" si="92"/>
        <v>-1.6033506473235537E-2</v>
      </c>
      <c r="H363" s="9">
        <f t="shared" si="92"/>
        <v>2.2236894638982818E-3</v>
      </c>
      <c r="I363" s="5">
        <f t="shared" si="93"/>
        <v>11036265.753603294</v>
      </c>
      <c r="J363" s="5">
        <f t="shared" si="94"/>
        <v>10828657.898722976</v>
      </c>
      <c r="K363" s="8">
        <f t="shared" ref="K363:L363" si="134">I363/I111-1</f>
        <v>-7.7179338650811502E-2</v>
      </c>
      <c r="L363" s="8">
        <f t="shared" si="134"/>
        <v>-6.5688664810648612E-2</v>
      </c>
      <c r="M363" s="8">
        <f t="shared" si="86"/>
        <v>1.1490673840162891E-2</v>
      </c>
    </row>
    <row r="364" spans="1:13" x14ac:dyDescent="0.3">
      <c r="A364" s="1">
        <v>44732</v>
      </c>
      <c r="B364" s="5">
        <v>13199873.11368374</v>
      </c>
      <c r="C364" s="5">
        <v>13383836.746610474</v>
      </c>
      <c r="D364" s="5">
        <v>0</v>
      </c>
      <c r="E364" s="5">
        <f t="shared" si="90"/>
        <v>0</v>
      </c>
      <c r="F364" s="5">
        <f t="shared" si="90"/>
        <v>0</v>
      </c>
      <c r="G364" s="9">
        <f t="shared" si="92"/>
        <v>-7.3676565784750458E-3</v>
      </c>
      <c r="H364" s="9">
        <f t="shared" si="92"/>
        <v>2.5583456801387294E-2</v>
      </c>
      <c r="I364" s="5">
        <f t="shared" si="93"/>
        <v>10954954.337621961</v>
      </c>
      <c r="J364" s="5">
        <f t="shared" si="94"/>
        <v>11105692.400291957</v>
      </c>
      <c r="K364" s="8">
        <f t="shared" ref="K364:L364" si="135">I364/I112-1</f>
        <v>-8.6937449473715844E-2</v>
      </c>
      <c r="L364" s="8">
        <f t="shared" si="135"/>
        <v>-4.2375556414090521E-2</v>
      </c>
      <c r="M364" s="8">
        <f t="shared" si="86"/>
        <v>4.4561893059625324E-2</v>
      </c>
    </row>
    <row r="365" spans="1:13" x14ac:dyDescent="0.3">
      <c r="A365" s="1">
        <v>44733</v>
      </c>
      <c r="B365" s="5">
        <v>13563627.281248124</v>
      </c>
      <c r="C365" s="5">
        <v>13383836.746610474</v>
      </c>
      <c r="D365" s="5">
        <v>0</v>
      </c>
      <c r="E365" s="5">
        <f t="shared" si="90"/>
        <v>0</v>
      </c>
      <c r="F365" s="5">
        <f t="shared" si="90"/>
        <v>0</v>
      </c>
      <c r="G365" s="9">
        <f t="shared" si="92"/>
        <v>2.7557398804636701E-2</v>
      </c>
      <c r="H365" s="9">
        <f t="shared" si="92"/>
        <v>0</v>
      </c>
      <c r="I365" s="5">
        <f t="shared" si="93"/>
        <v>11256844.383190393</v>
      </c>
      <c r="J365" s="5">
        <f t="shared" si="94"/>
        <v>11105692.400291957</v>
      </c>
      <c r="K365" s="8">
        <f t="shared" ref="K365:L365" si="136">I365/I113-1</f>
        <v>-5.3018823190319142E-2</v>
      </c>
      <c r="L365" s="8">
        <f t="shared" si="136"/>
        <v>-3.6673102061329899E-2</v>
      </c>
      <c r="M365" s="8">
        <f t="shared" si="86"/>
        <v>1.6345721128989243E-2</v>
      </c>
    </row>
    <row r="366" spans="1:13" x14ac:dyDescent="0.3">
      <c r="A366" s="1">
        <v>44734</v>
      </c>
      <c r="B366" s="5">
        <v>13318307.490425181</v>
      </c>
      <c r="C366" s="5">
        <v>13388879.521203769</v>
      </c>
      <c r="D366" s="5">
        <v>0</v>
      </c>
      <c r="E366" s="5">
        <f t="shared" si="90"/>
        <v>0</v>
      </c>
      <c r="F366" s="5">
        <f t="shared" si="90"/>
        <v>0</v>
      </c>
      <c r="G366" s="9">
        <f t="shared" si="92"/>
        <v>-1.808659186338013E-2</v>
      </c>
      <c r="H366" s="9">
        <f t="shared" si="92"/>
        <v>3.767809402317468E-4</v>
      </c>
      <c r="I366" s="5">
        <f t="shared" si="93"/>
        <v>11053246.433162047</v>
      </c>
      <c r="J366" s="5">
        <f t="shared" si="94"/>
        <v>11109876.813516464</v>
      </c>
      <c r="K366" s="8">
        <f t="shared" ref="K366:L366" si="137">I366/I114-1</f>
        <v>-6.1499120234604021E-2</v>
      </c>
      <c r="L366" s="8">
        <f t="shared" si="137"/>
        <v>-4.6965165748312221E-2</v>
      </c>
      <c r="M366" s="8">
        <f t="shared" si="86"/>
        <v>1.45339544862918E-2</v>
      </c>
    </row>
    <row r="367" spans="1:13" x14ac:dyDescent="0.3">
      <c r="A367" s="1">
        <v>44735</v>
      </c>
      <c r="B367" s="5">
        <v>13476741.135610702</v>
      </c>
      <c r="C367" s="5">
        <v>13505007.637983212</v>
      </c>
      <c r="D367" s="5">
        <v>0</v>
      </c>
      <c r="E367" s="5">
        <f t="shared" si="90"/>
        <v>0</v>
      </c>
      <c r="F367" s="5">
        <f t="shared" si="90"/>
        <v>0</v>
      </c>
      <c r="G367" s="9">
        <f t="shared" si="92"/>
        <v>1.1895929366356972E-2</v>
      </c>
      <c r="H367" s="9">
        <f t="shared" si="92"/>
        <v>8.673475371522521E-3</v>
      </c>
      <c r="I367" s="5">
        <f t="shared" si="93"/>
        <v>11184735.07199988</v>
      </c>
      <c r="J367" s="5">
        <f t="shared" si="94"/>
        <v>11206238.056439148</v>
      </c>
      <c r="K367" s="8">
        <f t="shared" ref="K367:L367" si="138">I367/I115-1</f>
        <v>-4.5275287840933931E-2</v>
      </c>
      <c r="L367" s="8">
        <f t="shared" si="138"/>
        <v>-2.5702143292196888E-2</v>
      </c>
      <c r="M367" s="8">
        <f t="shared" si="86"/>
        <v>1.9573144548737043E-2</v>
      </c>
    </row>
    <row r="368" spans="1:13" x14ac:dyDescent="0.3">
      <c r="A368" s="1">
        <v>44736</v>
      </c>
      <c r="B368" s="5">
        <v>13653938.587307647</v>
      </c>
      <c r="C368" s="5">
        <v>13937604.102352947</v>
      </c>
      <c r="D368" s="5">
        <v>0</v>
      </c>
      <c r="E368" s="5">
        <f t="shared" si="90"/>
        <v>0</v>
      </c>
      <c r="F368" s="5">
        <f t="shared" si="90"/>
        <v>0</v>
      </c>
      <c r="G368" s="9">
        <f t="shared" si="92"/>
        <v>1.3148390246119801E-2</v>
      </c>
      <c r="H368" s="9">
        <f t="shared" si="92"/>
        <v>3.2032300607742314E-2</v>
      </c>
      <c r="I368" s="5">
        <f t="shared" si="93"/>
        <v>11331796.333525997</v>
      </c>
      <c r="J368" s="5">
        <f t="shared" si="94"/>
        <v>11565199.642544929</v>
      </c>
      <c r="K368" s="8">
        <f t="shared" ref="K368:L368" si="139">I368/I116-1</f>
        <v>-4.1129314783879822E-2</v>
      </c>
      <c r="L368" s="8">
        <f t="shared" si="139"/>
        <v>-8.9569646834385397E-3</v>
      </c>
      <c r="M368" s="8">
        <f t="shared" si="86"/>
        <v>3.2172350100441283E-2</v>
      </c>
    </row>
    <row r="369" spans="1:13" x14ac:dyDescent="0.3">
      <c r="A369" s="1">
        <v>44739</v>
      </c>
      <c r="B369" s="5">
        <v>13753177.683207663</v>
      </c>
      <c r="C369" s="5">
        <v>13932108.364559947</v>
      </c>
      <c r="D369" s="5">
        <v>0</v>
      </c>
      <c r="E369" s="5">
        <f t="shared" si="90"/>
        <v>0</v>
      </c>
      <c r="F369" s="5">
        <f t="shared" si="90"/>
        <v>0</v>
      </c>
      <c r="G369" s="9">
        <f t="shared" si="92"/>
        <v>7.268166270519627E-3</v>
      </c>
      <c r="H369" s="9">
        <f t="shared" si="92"/>
        <v>-3.9431008031520776E-4</v>
      </c>
      <c r="I369" s="5">
        <f t="shared" si="93"/>
        <v>11414157.713421728</v>
      </c>
      <c r="J369" s="5">
        <f t="shared" si="94"/>
        <v>11560639.367745016</v>
      </c>
      <c r="K369" s="8">
        <f t="shared" ref="K369:L369" si="140">I369/I117-1</f>
        <v>-3.888748465842029E-2</v>
      </c>
      <c r="L369" s="8">
        <f t="shared" si="140"/>
        <v>-1.6916265276044062E-2</v>
      </c>
      <c r="M369" s="8">
        <f t="shared" si="86"/>
        <v>2.1971219382376228E-2</v>
      </c>
    </row>
    <row r="370" spans="1:13" x14ac:dyDescent="0.3">
      <c r="A370" s="1">
        <v>44740</v>
      </c>
      <c r="B370" s="5">
        <v>13773614.118603285</v>
      </c>
      <c r="C370" s="5">
        <v>13741937.373279253</v>
      </c>
      <c r="D370" s="5">
        <v>0</v>
      </c>
      <c r="E370" s="5">
        <f t="shared" si="90"/>
        <v>0</v>
      </c>
      <c r="F370" s="5">
        <f t="shared" si="90"/>
        <v>0</v>
      </c>
      <c r="G370" s="9">
        <f t="shared" si="92"/>
        <v>1.4859428029185828E-3</v>
      </c>
      <c r="H370" s="9">
        <f t="shared" si="92"/>
        <v>-1.364983578253276E-2</v>
      </c>
      <c r="I370" s="5">
        <f t="shared" si="93"/>
        <v>11431118.498927366</v>
      </c>
      <c r="J370" s="5">
        <f t="shared" si="94"/>
        <v>11402838.538834212</v>
      </c>
      <c r="K370" s="8">
        <f t="shared" ref="K370:L370" si="141">I370/I118-1</f>
        <v>-2.961282636397744E-2</v>
      </c>
      <c r="L370" s="8">
        <f t="shared" si="141"/>
        <v>-2.6143125263957678E-2</v>
      </c>
      <c r="M370" s="8">
        <f t="shared" si="86"/>
        <v>3.469701100019762E-3</v>
      </c>
    </row>
    <row r="371" spans="1:13" x14ac:dyDescent="0.3">
      <c r="A371" s="1">
        <v>44741</v>
      </c>
      <c r="B371" s="5">
        <v>13677398.006435059</v>
      </c>
      <c r="C371" s="5">
        <v>13723258.680800717</v>
      </c>
      <c r="D371" s="5">
        <v>0</v>
      </c>
      <c r="E371" s="5">
        <f t="shared" si="90"/>
        <v>0</v>
      </c>
      <c r="F371" s="5">
        <f t="shared" si="90"/>
        <v>0</v>
      </c>
      <c r="G371" s="9">
        <f t="shared" si="92"/>
        <v>-6.9855385332940889E-3</v>
      </c>
      <c r="H371" s="9">
        <f t="shared" si="92"/>
        <v>-1.3592473878433209E-3</v>
      </c>
      <c r="I371" s="5">
        <f t="shared" si="93"/>
        <v>11351265.980174458</v>
      </c>
      <c r="J371" s="5">
        <f t="shared" si="94"/>
        <v>11387339.260336302</v>
      </c>
      <c r="K371" s="8">
        <f t="shared" ref="K371:L371" si="142">I371/I119-1</f>
        <v>-3.1765089850628203E-2</v>
      </c>
      <c r="L371" s="8">
        <f t="shared" si="142"/>
        <v>-3.3299625980726777E-2</v>
      </c>
      <c r="M371" s="8">
        <f t="shared" si="86"/>
        <v>-1.5345361300985738E-3</v>
      </c>
    </row>
    <row r="372" spans="1:13" x14ac:dyDescent="0.3">
      <c r="A372" s="1">
        <v>44742</v>
      </c>
      <c r="B372" s="5">
        <v>13615699.840666838</v>
      </c>
      <c r="C372" s="5">
        <v>13624288.378632609</v>
      </c>
      <c r="D372" s="5">
        <v>0</v>
      </c>
      <c r="E372" s="5">
        <f t="shared" si="90"/>
        <v>0</v>
      </c>
      <c r="F372" s="5">
        <f t="shared" si="90"/>
        <v>0</v>
      </c>
      <c r="G372" s="9">
        <f t="shared" si="92"/>
        <v>-4.5109578400214234E-3</v>
      </c>
      <c r="H372" s="9">
        <f t="shared" si="92"/>
        <v>-7.2118659620233894E-3</v>
      </c>
      <c r="I372" s="5">
        <f t="shared" si="93"/>
        <v>11300060.897907021</v>
      </c>
      <c r="J372" s="5">
        <f t="shared" si="94"/>
        <v>11305215.29592667</v>
      </c>
      <c r="K372" s="8">
        <f t="shared" ref="K372:L372" si="143">I372/I120-1</f>
        <v>-4.2687698628274484E-2</v>
      </c>
      <c r="L372" s="8">
        <f t="shared" si="143"/>
        <v>-4.347481736979153E-2</v>
      </c>
      <c r="M372" s="8">
        <f t="shared" si="86"/>
        <v>-7.8711874151704553E-4</v>
      </c>
    </row>
    <row r="373" spans="1:13" x14ac:dyDescent="0.3">
      <c r="A373" s="1">
        <v>44743</v>
      </c>
      <c r="B373" s="5">
        <v>14263327.983649826</v>
      </c>
      <c r="C373" s="5">
        <v>14245594.080481453</v>
      </c>
      <c r="D373" s="5">
        <v>500000</v>
      </c>
      <c r="E373" s="5">
        <f t="shared" si="90"/>
        <v>-500000</v>
      </c>
      <c r="F373" s="5">
        <f t="shared" si="90"/>
        <v>-500000</v>
      </c>
      <c r="G373" s="9">
        <f t="shared" si="92"/>
        <v>1.0842493937921471E-2</v>
      </c>
      <c r="H373" s="9">
        <f t="shared" si="92"/>
        <v>8.9036358067031696E-3</v>
      </c>
      <c r="I373" s="5">
        <f t="shared" si="93"/>
        <v>11422581.739690721</v>
      </c>
      <c r="J373" s="5">
        <f t="shared" si="94"/>
        <v>11405872.81563797</v>
      </c>
      <c r="K373" s="8">
        <f t="shared" ref="K373:L373" si="144">I373/I121-1</f>
        <v>-3.607650897044179E-2</v>
      </c>
      <c r="L373" s="8">
        <f t="shared" si="144"/>
        <v>-3.9130220740118071E-2</v>
      </c>
      <c r="M373" s="8">
        <f t="shared" si="86"/>
        <v>-3.0537117696762817E-3</v>
      </c>
    </row>
    <row r="374" spans="1:13" x14ac:dyDescent="0.3">
      <c r="A374" s="1">
        <v>44746</v>
      </c>
      <c r="B374" s="5">
        <v>14407395.563267386</v>
      </c>
      <c r="C374" s="5">
        <v>14339481.830621343</v>
      </c>
      <c r="D374" s="5">
        <v>0</v>
      </c>
      <c r="E374" s="5">
        <f t="shared" si="90"/>
        <v>0</v>
      </c>
      <c r="F374" s="5">
        <f t="shared" si="90"/>
        <v>0</v>
      </c>
      <c r="G374" s="9">
        <f t="shared" si="92"/>
        <v>1.0100558564081652E-2</v>
      </c>
      <c r="H374" s="9">
        <f t="shared" si="92"/>
        <v>6.5906517909652962E-3</v>
      </c>
      <c r="I374" s="5">
        <f t="shared" si="93"/>
        <v>11537956.195505477</v>
      </c>
      <c r="J374" s="5">
        <f t="shared" si="94"/>
        <v>11481044.951737877</v>
      </c>
      <c r="K374" s="8">
        <f t="shared" ref="K374:L374" si="145">I374/I122-1</f>
        <v>-2.4579617933186859E-2</v>
      </c>
      <c r="L374" s="8">
        <f t="shared" si="145"/>
        <v>-3.3151595530017119E-2</v>
      </c>
      <c r="M374" s="8">
        <f t="shared" si="86"/>
        <v>-8.5719775968302603E-3</v>
      </c>
    </row>
    <row r="375" spans="1:13" x14ac:dyDescent="0.3">
      <c r="A375" s="1">
        <v>44747</v>
      </c>
      <c r="B375" s="5">
        <v>14422198.407016579</v>
      </c>
      <c r="C375" s="5">
        <v>14339481.830621343</v>
      </c>
      <c r="D375" s="5">
        <v>0</v>
      </c>
      <c r="E375" s="5">
        <f t="shared" si="90"/>
        <v>0</v>
      </c>
      <c r="F375" s="5">
        <f t="shared" si="90"/>
        <v>0</v>
      </c>
      <c r="G375" s="9">
        <f t="shared" si="92"/>
        <v>1.0274475830269747E-3</v>
      </c>
      <c r="H375" s="9">
        <f t="shared" si="92"/>
        <v>0</v>
      </c>
      <c r="I375" s="5">
        <f t="shared" si="93"/>
        <v>11549810.840711622</v>
      </c>
      <c r="J375" s="5">
        <f t="shared" si="94"/>
        <v>11481044.951737877</v>
      </c>
      <c r="K375" s="8">
        <f t="shared" ref="K375:L375" si="146">I375/I123-1</f>
        <v>-1.9396090228950169E-2</v>
      </c>
      <c r="L375" s="8">
        <f t="shared" si="146"/>
        <v>-3.4980473790914401E-2</v>
      </c>
      <c r="M375" s="8">
        <f t="shared" si="86"/>
        <v>-1.5584383561964232E-2</v>
      </c>
    </row>
    <row r="376" spans="1:13" x14ac:dyDescent="0.3">
      <c r="A376" s="1">
        <v>44748</v>
      </c>
      <c r="B376" s="5">
        <v>14666397.025733404</v>
      </c>
      <c r="C376" s="5">
        <v>14345590.808108965</v>
      </c>
      <c r="D376" s="5">
        <v>0</v>
      </c>
      <c r="E376" s="5">
        <f t="shared" si="90"/>
        <v>0</v>
      </c>
      <c r="F376" s="5">
        <f t="shared" si="90"/>
        <v>0</v>
      </c>
      <c r="G376" s="9">
        <f t="shared" si="92"/>
        <v>1.6932135574977192E-2</v>
      </c>
      <c r="H376" s="9">
        <f t="shared" si="92"/>
        <v>4.2602498191923743E-4</v>
      </c>
      <c r="I376" s="5">
        <f t="shared" si="93"/>
        <v>11745373.803731892</v>
      </c>
      <c r="J376" s="5">
        <f t="shared" si="94"/>
        <v>11485936.163705856</v>
      </c>
      <c r="K376" s="8">
        <f t="shared" ref="K376:L376" si="147">I376/I124-1</f>
        <v>-6.4929139994597262E-3</v>
      </c>
      <c r="L376" s="8">
        <f t="shared" si="147"/>
        <v>-4.2611270565331982E-2</v>
      </c>
      <c r="M376" s="8">
        <f t="shared" si="86"/>
        <v>-3.6118356565872256E-2</v>
      </c>
    </row>
    <row r="377" spans="1:13" x14ac:dyDescent="0.3">
      <c r="A377" s="1">
        <v>44749</v>
      </c>
      <c r="B377" s="5">
        <v>14792711.129498865</v>
      </c>
      <c r="C377" s="5">
        <v>14580371.993041361</v>
      </c>
      <c r="D377" s="5">
        <v>0</v>
      </c>
      <c r="E377" s="5">
        <f t="shared" si="90"/>
        <v>0</v>
      </c>
      <c r="F377" s="5">
        <f t="shared" si="90"/>
        <v>0</v>
      </c>
      <c r="G377" s="9">
        <f t="shared" si="92"/>
        <v>8.6124835938801159E-3</v>
      </c>
      <c r="H377" s="9">
        <f t="shared" si="92"/>
        <v>1.6366086839705751E-2</v>
      </c>
      <c r="I377" s="5">
        <f t="shared" si="93"/>
        <v>11846530.642920522</v>
      </c>
      <c r="J377" s="5">
        <f t="shared" si="94"/>
        <v>11673915.992396383</v>
      </c>
      <c r="K377" s="8">
        <f t="shared" ref="K377:L377" si="148">I377/I125-1</f>
        <v>4.8831058375644609E-3</v>
      </c>
      <c r="L377" s="8">
        <f t="shared" si="148"/>
        <v>-3.3661230913630491E-2</v>
      </c>
      <c r="M377" s="8">
        <f t="shared" si="86"/>
        <v>-3.8544336751194952E-2</v>
      </c>
    </row>
    <row r="378" spans="1:13" x14ac:dyDescent="0.3">
      <c r="A378" s="1">
        <v>44750</v>
      </c>
      <c r="B378" s="5">
        <v>14835957.625091316</v>
      </c>
      <c r="C378" s="5">
        <v>14593362.735457128</v>
      </c>
      <c r="D378" s="5">
        <v>0</v>
      </c>
      <c r="E378" s="5">
        <f t="shared" si="90"/>
        <v>0</v>
      </c>
      <c r="F378" s="5">
        <f t="shared" si="90"/>
        <v>0</v>
      </c>
      <c r="G378" s="9">
        <f t="shared" si="92"/>
        <v>2.9235003113263769E-3</v>
      </c>
      <c r="H378" s="9">
        <f t="shared" si="92"/>
        <v>8.9097468994392415E-4</v>
      </c>
      <c r="I378" s="5">
        <f t="shared" si="93"/>
        <v>11881163.978943238</v>
      </c>
      <c r="J378" s="5">
        <f t="shared" si="94"/>
        <v>11684317.156078139</v>
      </c>
      <c r="K378" s="8">
        <f t="shared" ref="K378:L378" si="149">I378/I126-1</f>
        <v>1.5262336667287713E-3</v>
      </c>
      <c r="L378" s="8">
        <f t="shared" si="149"/>
        <v>-3.1794862242136568E-2</v>
      </c>
      <c r="M378" s="8">
        <f t="shared" si="86"/>
        <v>-3.3321095908865339E-2</v>
      </c>
    </row>
    <row r="379" spans="1:13" x14ac:dyDescent="0.3">
      <c r="A379" s="1">
        <v>44753</v>
      </c>
      <c r="B379" s="5">
        <v>15069846.972616039</v>
      </c>
      <c r="C379" s="5">
        <v>14463606.649771331</v>
      </c>
      <c r="D379" s="5">
        <v>0</v>
      </c>
      <c r="E379" s="5">
        <f t="shared" si="90"/>
        <v>0</v>
      </c>
      <c r="F379" s="5">
        <f t="shared" si="90"/>
        <v>0</v>
      </c>
      <c r="G379" s="9">
        <f t="shared" si="92"/>
        <v>1.5765032054901429E-2</v>
      </c>
      <c r="H379" s="9">
        <f t="shared" si="92"/>
        <v>-8.8914452438390024E-3</v>
      </c>
      <c r="I379" s="5">
        <f t="shared" si="93"/>
        <v>12068470.909920819</v>
      </c>
      <c r="J379" s="5">
        <f t="shared" si="94"/>
        <v>11580426.689873222</v>
      </c>
      <c r="K379" s="8">
        <f t="shared" ref="K379:L379" si="150">I379/I127-1</f>
        <v>1.7048121759631218E-2</v>
      </c>
      <c r="L379" s="8">
        <f t="shared" si="150"/>
        <v>-4.0403605209314186E-2</v>
      </c>
      <c r="M379" s="8">
        <f t="shared" si="86"/>
        <v>-5.7451726968945405E-2</v>
      </c>
    </row>
    <row r="380" spans="1:13" x14ac:dyDescent="0.3">
      <c r="A380" s="1">
        <v>44754</v>
      </c>
      <c r="B380" s="5">
        <v>15019457.131951259</v>
      </c>
      <c r="C380" s="5">
        <v>14328369.741850412</v>
      </c>
      <c r="D380" s="5">
        <v>0</v>
      </c>
      <c r="E380" s="5">
        <f t="shared" si="90"/>
        <v>0</v>
      </c>
      <c r="F380" s="5">
        <f t="shared" si="90"/>
        <v>0</v>
      </c>
      <c r="G380" s="9">
        <f t="shared" si="92"/>
        <v>-3.3437526443595988E-3</v>
      </c>
      <c r="H380" s="9">
        <f t="shared" si="92"/>
        <v>-9.3501511203678556E-3</v>
      </c>
      <c r="I380" s="5">
        <f t="shared" si="93"/>
        <v>12028116.928402394</v>
      </c>
      <c r="J380" s="5">
        <f t="shared" si="94"/>
        <v>11472147.950284567</v>
      </c>
      <c r="K380" s="8">
        <f t="shared" ref="K380:L380" si="151">I380/I128-1</f>
        <v>9.3886602613866277E-3</v>
      </c>
      <c r="L380" s="8">
        <f t="shared" si="151"/>
        <v>-5.5472554433830368E-2</v>
      </c>
      <c r="M380" s="8">
        <f t="shared" si="86"/>
        <v>-6.4861214695216995E-2</v>
      </c>
    </row>
    <row r="381" spans="1:13" x14ac:dyDescent="0.3">
      <c r="A381" s="1">
        <v>44755</v>
      </c>
      <c r="B381" s="5">
        <v>15014223.831233663</v>
      </c>
      <c r="C381" s="5">
        <v>14306082.525240498</v>
      </c>
      <c r="D381" s="5">
        <v>0</v>
      </c>
      <c r="E381" s="5">
        <f t="shared" si="90"/>
        <v>0</v>
      </c>
      <c r="F381" s="5">
        <f t="shared" si="90"/>
        <v>0</v>
      </c>
      <c r="G381" s="9">
        <f t="shared" si="92"/>
        <v>-3.4843474511891959E-4</v>
      </c>
      <c r="H381" s="9">
        <f t="shared" si="92"/>
        <v>-1.555460740576553E-3</v>
      </c>
      <c r="I381" s="5">
        <f t="shared" si="93"/>
        <v>12023925.914546186</v>
      </c>
      <c r="J381" s="5">
        <f t="shared" si="94"/>
        <v>11454303.474537814</v>
      </c>
      <c r="K381" s="8">
        <f t="shared" ref="K381:L381" si="152">I381/I129-1</f>
        <v>1.100256041204517E-2</v>
      </c>
      <c r="L381" s="8">
        <f t="shared" si="152"/>
        <v>-4.8350474814598754E-2</v>
      </c>
      <c r="M381" s="8">
        <f t="shared" si="86"/>
        <v>-5.9353035226643924E-2</v>
      </c>
    </row>
    <row r="382" spans="1:13" x14ac:dyDescent="0.3">
      <c r="A382" s="1">
        <v>44756</v>
      </c>
      <c r="B382" s="5">
        <v>15007364.784670781</v>
      </c>
      <c r="C382" s="5">
        <v>14311573.630444167</v>
      </c>
      <c r="D382" s="5">
        <v>0</v>
      </c>
      <c r="E382" s="5">
        <f t="shared" si="90"/>
        <v>0</v>
      </c>
      <c r="F382" s="5">
        <f t="shared" si="90"/>
        <v>0</v>
      </c>
      <c r="G382" s="9">
        <f t="shared" si="92"/>
        <v>-4.5683657310435777E-4</v>
      </c>
      <c r="H382" s="9">
        <f t="shared" si="92"/>
        <v>3.8383010820619567E-4</v>
      </c>
      <c r="I382" s="5">
        <f t="shared" si="93"/>
        <v>12018432.945436124</v>
      </c>
      <c r="J382" s="5">
        <f t="shared" si="94"/>
        <v>11458699.981079873</v>
      </c>
      <c r="K382" s="8">
        <f t="shared" ref="K382:L382" si="153">I382/I130-1</f>
        <v>8.8684954007032246E-3</v>
      </c>
      <c r="L382" s="8">
        <f t="shared" si="153"/>
        <v>-5.5710777200327688E-2</v>
      </c>
      <c r="M382" s="8">
        <f t="shared" si="86"/>
        <v>-6.4579272601030913E-2</v>
      </c>
    </row>
    <row r="383" spans="1:13" x14ac:dyDescent="0.3">
      <c r="A383" s="1">
        <v>44757</v>
      </c>
      <c r="B383" s="5">
        <v>15066559.598589322</v>
      </c>
      <c r="C383" s="5">
        <v>14549903.110153386</v>
      </c>
      <c r="D383" s="5">
        <v>0</v>
      </c>
      <c r="E383" s="5">
        <f t="shared" si="90"/>
        <v>0</v>
      </c>
      <c r="F383" s="5">
        <f t="shared" si="90"/>
        <v>0</v>
      </c>
      <c r="G383" s="9">
        <f t="shared" si="92"/>
        <v>3.9443842918380767E-3</v>
      </c>
      <c r="H383" s="9">
        <f t="shared" si="92"/>
        <v>1.6652919229108054E-2</v>
      </c>
      <c r="I383" s="5">
        <f t="shared" si="93"/>
        <v>12065838.263558611</v>
      </c>
      <c r="J383" s="5">
        <f t="shared" si="94"/>
        <v>11649520.786335377</v>
      </c>
      <c r="K383" s="8">
        <f t="shared" ref="K383:L383" si="154">I383/I131-1</f>
        <v>1.1992719123387952E-2</v>
      </c>
      <c r="L383" s="8">
        <f t="shared" si="154"/>
        <v>-4.3670770652861735E-2</v>
      </c>
      <c r="M383" s="8">
        <f t="shared" ref="M383:M446" si="155">L383-K383</f>
        <v>-5.5663489776249686E-2</v>
      </c>
    </row>
    <row r="384" spans="1:13" x14ac:dyDescent="0.3">
      <c r="A384" s="1">
        <v>44760</v>
      </c>
      <c r="B384" s="5">
        <v>15268659.956470298</v>
      </c>
      <c r="C384" s="5">
        <v>14473444.991699304</v>
      </c>
      <c r="D384" s="5">
        <v>0</v>
      </c>
      <c r="E384" s="5">
        <f t="shared" si="90"/>
        <v>0</v>
      </c>
      <c r="F384" s="5">
        <f t="shared" si="90"/>
        <v>0</v>
      </c>
      <c r="G384" s="9">
        <f t="shared" si="92"/>
        <v>1.3413835889906744E-2</v>
      </c>
      <c r="H384" s="9">
        <f t="shared" si="92"/>
        <v>-5.2548884948055985E-3</v>
      </c>
      <c r="I384" s="5">
        <f t="shared" si="93"/>
        <v>12227687.437900145</v>
      </c>
      <c r="J384" s="5">
        <f t="shared" si="94"/>
        <v>11588303.853585264</v>
      </c>
      <c r="K384" s="8">
        <f t="shared" ref="K384:L384" si="156">I384/I132-1</f>
        <v>2.7569274733864502E-2</v>
      </c>
      <c r="L384" s="8">
        <f t="shared" si="156"/>
        <v>-4.4701578658006391E-2</v>
      </c>
      <c r="M384" s="8">
        <f t="shared" si="155"/>
        <v>-7.2270853391870893E-2</v>
      </c>
    </row>
    <row r="385" spans="1:13" x14ac:dyDescent="0.3">
      <c r="A385" s="1">
        <v>44761</v>
      </c>
      <c r="B385" s="5">
        <v>15342525.125512265</v>
      </c>
      <c r="C385" s="5">
        <v>14853475.789860291</v>
      </c>
      <c r="D385" s="5">
        <v>0</v>
      </c>
      <c r="E385" s="5">
        <f t="shared" si="90"/>
        <v>0</v>
      </c>
      <c r="F385" s="5">
        <f t="shared" si="90"/>
        <v>0</v>
      </c>
      <c r="G385" s="9">
        <f t="shared" si="92"/>
        <v>4.8376982166444815E-3</v>
      </c>
      <c r="H385" s="9">
        <f t="shared" si="92"/>
        <v>2.6257107300918348E-2</v>
      </c>
      <c r="I385" s="5">
        <f t="shared" si="93"/>
        <v>12286841.299612161</v>
      </c>
      <c r="J385" s="5">
        <f t="shared" si="94"/>
        <v>11892579.191304497</v>
      </c>
      <c r="K385" s="8">
        <f t="shared" ref="K385:L385" si="157">I385/I133-1</f>
        <v>3.2526535176523819E-2</v>
      </c>
      <c r="L385" s="8">
        <f t="shared" si="157"/>
        <v>-2.1271672254584706E-2</v>
      </c>
      <c r="M385" s="8">
        <f t="shared" si="155"/>
        <v>-5.3798207431108525E-2</v>
      </c>
    </row>
    <row r="386" spans="1:13" x14ac:dyDescent="0.3">
      <c r="A386" s="1">
        <v>44762</v>
      </c>
      <c r="B386" s="5">
        <v>15370712.080643112</v>
      </c>
      <c r="C386" s="5">
        <v>14956240.424369087</v>
      </c>
      <c r="D386" s="5">
        <v>0</v>
      </c>
      <c r="E386" s="5">
        <f t="shared" si="90"/>
        <v>0</v>
      </c>
      <c r="F386" s="5">
        <f t="shared" si="90"/>
        <v>0</v>
      </c>
      <c r="G386" s="9">
        <f t="shared" si="92"/>
        <v>1.837178358859326E-3</v>
      </c>
      <c r="H386" s="9">
        <f t="shared" si="92"/>
        <v>6.9185580508333011E-3</v>
      </c>
      <c r="I386" s="5">
        <f t="shared" si="93"/>
        <v>12309414.418546548</v>
      </c>
      <c r="J386" s="5">
        <f t="shared" si="94"/>
        <v>11974858.69081367</v>
      </c>
      <c r="K386" s="8">
        <f t="shared" ref="K386:L386" si="158">I386/I134-1</f>
        <v>3.1032608947210383E-2</v>
      </c>
      <c r="L386" s="8">
        <f t="shared" si="158"/>
        <v>-1.1428354015538433E-2</v>
      </c>
      <c r="M386" s="8">
        <f t="shared" si="155"/>
        <v>-4.2460962962748816E-2</v>
      </c>
    </row>
    <row r="387" spans="1:13" x14ac:dyDescent="0.3">
      <c r="A387" s="1">
        <v>44763</v>
      </c>
      <c r="B387" s="5">
        <v>15599161.113972491</v>
      </c>
      <c r="C387" s="5">
        <v>15084301.161501529</v>
      </c>
      <c r="D387" s="5">
        <v>0</v>
      </c>
      <c r="E387" s="5">
        <f t="shared" ref="E387:F450" si="159">$D387*-1</f>
        <v>0</v>
      </c>
      <c r="F387" s="5">
        <f t="shared" si="159"/>
        <v>0</v>
      </c>
      <c r="G387" s="9">
        <f t="shared" si="92"/>
        <v>1.4862618734305277E-2</v>
      </c>
      <c r="H387" s="9">
        <f t="shared" si="92"/>
        <v>8.5623614958598715E-3</v>
      </c>
      <c r="I387" s="5">
        <f t="shared" si="93"/>
        <v>12492364.551891966</v>
      </c>
      <c r="J387" s="5">
        <f t="shared" si="94"/>
        <v>12077391.759786256</v>
      </c>
      <c r="K387" s="8">
        <f t="shared" ref="K387:L387" si="160">I387/I135-1</f>
        <v>4.138238187643406E-2</v>
      </c>
      <c r="L387" s="8">
        <f t="shared" si="160"/>
        <v>3.8018505896872945E-3</v>
      </c>
      <c r="M387" s="8">
        <f t="shared" si="155"/>
        <v>-3.7580531286746766E-2</v>
      </c>
    </row>
    <row r="388" spans="1:13" x14ac:dyDescent="0.3">
      <c r="A388" s="1">
        <v>44764</v>
      </c>
      <c r="B388" s="5">
        <v>15541343.629725937</v>
      </c>
      <c r="C388" s="5">
        <v>14939954.66116265</v>
      </c>
      <c r="D388" s="5">
        <v>0</v>
      </c>
      <c r="E388" s="5">
        <f t="shared" si="159"/>
        <v>0</v>
      </c>
      <c r="F388" s="5">
        <f t="shared" si="159"/>
        <v>0</v>
      </c>
      <c r="G388" s="9">
        <f t="shared" ref="G388:H451" si="161">((B388-$D388)/B387-1)</f>
        <v>-3.7064483034774387E-3</v>
      </c>
      <c r="H388" s="9">
        <f t="shared" si="161"/>
        <v>-9.5693197048652978E-3</v>
      </c>
      <c r="I388" s="5">
        <f t="shared" ref="I388:I451" si="162">I387*(1+G388)</f>
        <v>12446062.248492185</v>
      </c>
      <c r="J388" s="5">
        <f t="shared" ref="J388:J451" si="163">J387*(1+H388)</f>
        <v>11961819.336835954</v>
      </c>
      <c r="K388" s="8">
        <f t="shared" ref="K388:L388" si="164">I388/I136-1</f>
        <v>4.4169389491870659E-2</v>
      </c>
      <c r="L388" s="8">
        <f t="shared" si="164"/>
        <v>6.9703008522579157E-3</v>
      </c>
      <c r="M388" s="8">
        <f t="shared" si="155"/>
        <v>-3.7199088639612743E-2</v>
      </c>
    </row>
    <row r="389" spans="1:13" x14ac:dyDescent="0.3">
      <c r="A389" s="1">
        <v>44767</v>
      </c>
      <c r="B389" s="5">
        <v>15524906.759592351</v>
      </c>
      <c r="C389" s="5">
        <v>14952106.894556314</v>
      </c>
      <c r="D389" s="5">
        <v>0</v>
      </c>
      <c r="E389" s="5">
        <f t="shared" si="159"/>
        <v>0</v>
      </c>
      <c r="F389" s="5">
        <f t="shared" si="159"/>
        <v>0</v>
      </c>
      <c r="G389" s="9">
        <f t="shared" si="161"/>
        <v>-1.0576222059813789E-3</v>
      </c>
      <c r="H389" s="9">
        <f t="shared" si="161"/>
        <v>8.1340497138548962E-4</v>
      </c>
      <c r="I389" s="5">
        <f t="shared" si="162"/>
        <v>12432899.016681153</v>
      </c>
      <c r="J389" s="5">
        <f t="shared" si="163"/>
        <v>11971549.140151352</v>
      </c>
      <c r="K389" s="8">
        <f t="shared" ref="K389:L389" si="165">I389/I137-1</f>
        <v>5.0038205440164241E-2</v>
      </c>
      <c r="L389" s="8">
        <f t="shared" si="165"/>
        <v>-3.9641295447337965E-3</v>
      </c>
      <c r="M389" s="8">
        <f t="shared" si="155"/>
        <v>-5.4002334984898037E-2</v>
      </c>
    </row>
    <row r="390" spans="1:13" x14ac:dyDescent="0.3">
      <c r="A390" s="1">
        <v>44768</v>
      </c>
      <c r="B390" s="5">
        <v>15329902.823728744</v>
      </c>
      <c r="C390" s="5">
        <v>14785202.914368989</v>
      </c>
      <c r="D390" s="5">
        <v>0</v>
      </c>
      <c r="E390" s="5">
        <f t="shared" si="159"/>
        <v>0</v>
      </c>
      <c r="F390" s="5">
        <f t="shared" si="159"/>
        <v>0</v>
      </c>
      <c r="G390" s="9">
        <f t="shared" si="161"/>
        <v>-1.256071542865278E-2</v>
      </c>
      <c r="H390" s="9">
        <f t="shared" si="161"/>
        <v>-1.1162572697235751E-2</v>
      </c>
      <c r="I390" s="5">
        <f t="shared" si="162"/>
        <v>12276732.910179444</v>
      </c>
      <c r="J390" s="5">
        <f t="shared" si="163"/>
        <v>11837915.852575881</v>
      </c>
      <c r="K390" s="8">
        <f t="shared" ref="K390:L390" si="166">I390/I138-1</f>
        <v>1.8843076419592375E-2</v>
      </c>
      <c r="L390" s="8">
        <f t="shared" si="166"/>
        <v>-2.3340308717835878E-2</v>
      </c>
      <c r="M390" s="8">
        <f t="shared" si="155"/>
        <v>-4.2183385137428253E-2</v>
      </c>
    </row>
    <row r="391" spans="1:13" x14ac:dyDescent="0.3">
      <c r="A391" s="1">
        <v>44769</v>
      </c>
      <c r="B391" s="5">
        <v>15455965.751141202</v>
      </c>
      <c r="C391" s="5">
        <v>15191104.543678241</v>
      </c>
      <c r="D391" s="5">
        <v>0</v>
      </c>
      <c r="E391" s="5">
        <f t="shared" si="159"/>
        <v>0</v>
      </c>
      <c r="F391" s="5">
        <f t="shared" si="159"/>
        <v>0</v>
      </c>
      <c r="G391" s="9">
        <f t="shared" si="161"/>
        <v>8.2233350636331526E-3</v>
      </c>
      <c r="H391" s="9">
        <f t="shared" si="161"/>
        <v>2.74532335917268E-2</v>
      </c>
      <c r="I391" s="5">
        <f t="shared" si="162"/>
        <v>12377688.598386582</v>
      </c>
      <c r="J391" s="5">
        <f t="shared" si="163"/>
        <v>12162904.921715852</v>
      </c>
      <c r="K391" s="8">
        <f t="shared" ref="K391:L391" si="167">I391/I139-1</f>
        <v>2.8459387169583739E-2</v>
      </c>
      <c r="L391" s="8">
        <f t="shared" si="167"/>
        <v>-6.384532451898739E-3</v>
      </c>
      <c r="M391" s="8">
        <f t="shared" si="155"/>
        <v>-3.4843919621482478E-2</v>
      </c>
    </row>
    <row r="392" spans="1:13" x14ac:dyDescent="0.3">
      <c r="A392" s="1">
        <v>44770</v>
      </c>
      <c r="B392" s="5">
        <v>15641405.664332619</v>
      </c>
      <c r="C392" s="5">
        <v>15323424.665216751</v>
      </c>
      <c r="D392" s="5">
        <v>0</v>
      </c>
      <c r="E392" s="5">
        <f t="shared" si="159"/>
        <v>0</v>
      </c>
      <c r="F392" s="5">
        <f t="shared" si="159"/>
        <v>0</v>
      </c>
      <c r="G392" s="9">
        <f t="shared" si="161"/>
        <v>1.1997950576315475E-2</v>
      </c>
      <c r="H392" s="9">
        <f t="shared" si="161"/>
        <v>8.7103687001861552E-3</v>
      </c>
      <c r="I392" s="5">
        <f t="shared" si="162"/>
        <v>12526195.494439047</v>
      </c>
      <c r="J392" s="5">
        <f t="shared" si="163"/>
        <v>12268848.308049306</v>
      </c>
      <c r="K392" s="8">
        <f t="shared" ref="K392:L392" si="168">I392/I140-1</f>
        <v>3.9768890787338362E-2</v>
      </c>
      <c r="L392" s="8">
        <f t="shared" si="168"/>
        <v>1.0874264108715614E-3</v>
      </c>
      <c r="M392" s="8">
        <f t="shared" si="155"/>
        <v>-3.8681464376466801E-2</v>
      </c>
    </row>
    <row r="393" spans="1:13" x14ac:dyDescent="0.3">
      <c r="A393" s="1">
        <v>44771</v>
      </c>
      <c r="B393" s="5">
        <v>15838303.08347274</v>
      </c>
      <c r="C393" s="5">
        <v>15482292.058399633</v>
      </c>
      <c r="D393" s="5">
        <v>0</v>
      </c>
      <c r="E393" s="5">
        <f t="shared" si="159"/>
        <v>0</v>
      </c>
      <c r="F393" s="5">
        <f t="shared" si="159"/>
        <v>0</v>
      </c>
      <c r="G393" s="9">
        <f t="shared" si="161"/>
        <v>1.2588217668256574E-2</v>
      </c>
      <c r="H393" s="9">
        <f t="shared" si="161"/>
        <v>1.036761668189623E-2</v>
      </c>
      <c r="I393" s="5">
        <f t="shared" si="162"/>
        <v>12683877.96987818</v>
      </c>
      <c r="J393" s="5">
        <f t="shared" si="163"/>
        <v>12396047.024435492</v>
      </c>
      <c r="K393" s="8">
        <f t="shared" ref="K393:L393" si="169">I393/I141-1</f>
        <v>5.9207456281547222E-2</v>
      </c>
      <c r="L393" s="8">
        <f t="shared" si="169"/>
        <v>1.4204792733534699E-2</v>
      </c>
      <c r="M393" s="8">
        <f t="shared" si="155"/>
        <v>-4.5002663548012523E-2</v>
      </c>
    </row>
    <row r="394" spans="1:13" x14ac:dyDescent="0.3">
      <c r="A394" s="1">
        <v>44774</v>
      </c>
      <c r="B394" s="5">
        <v>16070660.531262092</v>
      </c>
      <c r="C394" s="5">
        <v>15360839.693357684</v>
      </c>
      <c r="D394" s="5">
        <v>0</v>
      </c>
      <c r="E394" s="5">
        <f t="shared" si="159"/>
        <v>0</v>
      </c>
      <c r="F394" s="5">
        <f t="shared" si="159"/>
        <v>0</v>
      </c>
      <c r="G394" s="9">
        <f t="shared" si="161"/>
        <v>1.4670602435422397E-2</v>
      </c>
      <c r="H394" s="9">
        <f t="shared" si="161"/>
        <v>-7.8445984989707895E-3</v>
      </c>
      <c r="I394" s="5">
        <f t="shared" si="162"/>
        <v>12869958.100913676</v>
      </c>
      <c r="J394" s="5">
        <f t="shared" si="163"/>
        <v>12298805.012554435</v>
      </c>
      <c r="K394" s="8">
        <f t="shared" ref="K394:L394" si="170">I394/I142-1</f>
        <v>7.2754779361435817E-2</v>
      </c>
      <c r="L394" s="8">
        <f t="shared" si="170"/>
        <v>6.1598294498432793E-3</v>
      </c>
      <c r="M394" s="8">
        <f t="shared" si="155"/>
        <v>-6.6594949911592538E-2</v>
      </c>
    </row>
    <row r="395" spans="1:13" x14ac:dyDescent="0.3">
      <c r="A395" s="1">
        <v>44775</v>
      </c>
      <c r="B395" s="5">
        <v>16140741.493930735</v>
      </c>
      <c r="C395" s="5">
        <v>15173513.961180404</v>
      </c>
      <c r="D395" s="5">
        <v>0</v>
      </c>
      <c r="E395" s="5">
        <f t="shared" si="159"/>
        <v>0</v>
      </c>
      <c r="F395" s="5">
        <f t="shared" si="159"/>
        <v>0</v>
      </c>
      <c r="G395" s="9">
        <f t="shared" si="161"/>
        <v>4.3608016317882026E-3</v>
      </c>
      <c r="H395" s="9">
        <f t="shared" si="161"/>
        <v>-1.2195019016980058E-2</v>
      </c>
      <c r="I395" s="5">
        <f t="shared" si="162"/>
        <v>12926081.435201185</v>
      </c>
      <c r="J395" s="5">
        <f t="shared" si="163"/>
        <v>12148820.851540204</v>
      </c>
      <c r="K395" s="8">
        <f t="shared" ref="K395:L395" si="171">I395/I143-1</f>
        <v>7.6611424422158958E-2</v>
      </c>
      <c r="L395" s="8">
        <f t="shared" si="171"/>
        <v>-6.791036481522017E-3</v>
      </c>
      <c r="M395" s="8">
        <f t="shared" si="155"/>
        <v>-8.3402460903680975E-2</v>
      </c>
    </row>
    <row r="396" spans="1:13" x14ac:dyDescent="0.3">
      <c r="A396" s="1">
        <v>44776</v>
      </c>
      <c r="B396" s="5">
        <v>16078794.780847933</v>
      </c>
      <c r="C396" s="5">
        <v>15536692.538693734</v>
      </c>
      <c r="D396" s="5">
        <v>0</v>
      </c>
      <c r="E396" s="5">
        <f t="shared" si="159"/>
        <v>0</v>
      </c>
      <c r="F396" s="5">
        <f t="shared" si="159"/>
        <v>0</v>
      </c>
      <c r="G396" s="9">
        <f t="shared" si="161"/>
        <v>-3.8379099935461625E-3</v>
      </c>
      <c r="H396" s="9">
        <f t="shared" si="161"/>
        <v>2.3935034326424187E-2</v>
      </c>
      <c r="I396" s="5">
        <f t="shared" si="162"/>
        <v>12876472.298083635</v>
      </c>
      <c r="J396" s="5">
        <f t="shared" si="163"/>
        <v>12439603.295647398</v>
      </c>
      <c r="K396" s="8">
        <f t="shared" ref="K396:L396" si="172">I396/I144-1</f>
        <v>6.7876577175746133E-2</v>
      </c>
      <c r="L396" s="8">
        <f t="shared" si="172"/>
        <v>2.1191119325583374E-2</v>
      </c>
      <c r="M396" s="8">
        <f t="shared" si="155"/>
        <v>-4.6685457850162759E-2</v>
      </c>
    </row>
    <row r="397" spans="1:13" x14ac:dyDescent="0.3">
      <c r="A397" s="1">
        <v>44777</v>
      </c>
      <c r="B397" s="5">
        <v>16160440.896473709</v>
      </c>
      <c r="C397" s="5">
        <v>15545611.449108001</v>
      </c>
      <c r="D397" s="5">
        <v>0</v>
      </c>
      <c r="E397" s="5">
        <f t="shared" si="159"/>
        <v>0</v>
      </c>
      <c r="F397" s="5">
        <f t="shared" si="159"/>
        <v>0</v>
      </c>
      <c r="G397" s="9">
        <f t="shared" si="161"/>
        <v>5.0778753469151727E-3</v>
      </c>
      <c r="H397" s="9">
        <f t="shared" si="161"/>
        <v>5.7405463820914271E-4</v>
      </c>
      <c r="I397" s="5">
        <f t="shared" si="162"/>
        <v>12941857.41932131</v>
      </c>
      <c r="J397" s="5">
        <f t="shared" si="163"/>
        <v>12446744.307616746</v>
      </c>
      <c r="K397" s="8">
        <f t="shared" ref="K397:L397" si="173">I397/I145-1</f>
        <v>6.3550919045821441E-2</v>
      </c>
      <c r="L397" s="8">
        <f t="shared" si="173"/>
        <v>2.3523679683830734E-2</v>
      </c>
      <c r="M397" s="8">
        <f t="shared" si="155"/>
        <v>-4.0027239361990707E-2</v>
      </c>
    </row>
    <row r="398" spans="1:13" x14ac:dyDescent="0.3">
      <c r="A398" s="1">
        <v>44778</v>
      </c>
      <c r="B398" s="5">
        <v>16144696.831445668</v>
      </c>
      <c r="C398" s="5">
        <v>15547790.097183026</v>
      </c>
      <c r="D398" s="5">
        <v>0</v>
      </c>
      <c r="E398" s="5">
        <f t="shared" si="159"/>
        <v>0</v>
      </c>
      <c r="F398" s="5">
        <f t="shared" si="159"/>
        <v>0</v>
      </c>
      <c r="G398" s="9">
        <f t="shared" si="161"/>
        <v>-9.7423486951253579E-4</v>
      </c>
      <c r="H398" s="9">
        <f t="shared" si="161"/>
        <v>1.401455376752736E-4</v>
      </c>
      <c r="I398" s="5">
        <f t="shared" si="162"/>
        <v>12929249.010547148</v>
      </c>
      <c r="J398" s="5">
        <f t="shared" si="163"/>
        <v>12448488.663290044</v>
      </c>
      <c r="K398" s="8">
        <f t="shared" ref="K398:L398" si="174">I398/I146-1</f>
        <v>5.3714299096736529E-2</v>
      </c>
      <c r="L398" s="8">
        <f t="shared" si="174"/>
        <v>1.6702669661433411E-2</v>
      </c>
      <c r="M398" s="8">
        <f t="shared" si="155"/>
        <v>-3.7011629435303117E-2</v>
      </c>
    </row>
    <row r="399" spans="1:13" x14ac:dyDescent="0.3">
      <c r="A399" s="1">
        <v>44781</v>
      </c>
      <c r="B399" s="5">
        <v>16225995.164428819</v>
      </c>
      <c r="C399" s="5">
        <v>15571874.374317786</v>
      </c>
      <c r="D399" s="5">
        <v>0</v>
      </c>
      <c r="E399" s="5">
        <f t="shared" si="159"/>
        <v>0</v>
      </c>
      <c r="F399" s="5">
        <f t="shared" si="159"/>
        <v>0</v>
      </c>
      <c r="G399" s="9">
        <f t="shared" si="161"/>
        <v>5.03560604648845E-3</v>
      </c>
      <c r="H399" s="9">
        <f t="shared" si="161"/>
        <v>1.5490482560041041E-3</v>
      </c>
      <c r="I399" s="5">
        <f t="shared" si="162"/>
        <v>12994355.615041215</v>
      </c>
      <c r="J399" s="5">
        <f t="shared" si="163"/>
        <v>12467771.972943801</v>
      </c>
      <c r="K399" s="8">
        <f t="shared" ref="K399:L399" si="175">I399/I147-1</f>
        <v>6.6643332827102109E-2</v>
      </c>
      <c r="L399" s="8">
        <f t="shared" si="175"/>
        <v>2.4386236798668026E-2</v>
      </c>
      <c r="M399" s="8">
        <f t="shared" si="155"/>
        <v>-4.2257096028434082E-2</v>
      </c>
    </row>
    <row r="400" spans="1:13" x14ac:dyDescent="0.3">
      <c r="A400" s="1">
        <v>44783</v>
      </c>
      <c r="B400" s="5">
        <v>16169712.340097336</v>
      </c>
      <c r="C400" s="5">
        <v>15736028.33104738</v>
      </c>
      <c r="D400" s="5">
        <v>0</v>
      </c>
      <c r="E400" s="5">
        <f t="shared" si="159"/>
        <v>0</v>
      </c>
      <c r="F400" s="5">
        <f t="shared" si="159"/>
        <v>0</v>
      </c>
      <c r="G400" s="9">
        <f t="shared" si="161"/>
        <v>-3.4686824297143204E-3</v>
      </c>
      <c r="H400" s="9">
        <f t="shared" si="161"/>
        <v>1.0541695417240815E-2</v>
      </c>
      <c r="I400" s="5">
        <f t="shared" si="162"/>
        <v>12949282.322033862</v>
      </c>
      <c r="J400" s="5">
        <f t="shared" si="163"/>
        <v>12599203.427614186</v>
      </c>
      <c r="K400" s="8">
        <f t="shared" ref="K400:L400" si="176">I400/I148-1</f>
        <v>6.5273968168762186E-2</v>
      </c>
      <c r="L400" s="8">
        <f t="shared" si="176"/>
        <v>2.9626541345022295E-2</v>
      </c>
      <c r="M400" s="8">
        <f t="shared" si="155"/>
        <v>-3.5647426823739892E-2</v>
      </c>
    </row>
    <row r="401" spans="1:13" x14ac:dyDescent="0.3">
      <c r="A401" s="1">
        <v>44784</v>
      </c>
      <c r="B401" s="5">
        <v>16316777.474872759</v>
      </c>
      <c r="C401" s="5">
        <v>15822665.917733816</v>
      </c>
      <c r="D401" s="5">
        <v>0</v>
      </c>
      <c r="E401" s="5">
        <f t="shared" si="159"/>
        <v>0</v>
      </c>
      <c r="F401" s="5">
        <f t="shared" si="159"/>
        <v>0</v>
      </c>
      <c r="G401" s="9">
        <f t="shared" si="161"/>
        <v>9.0950990148868094E-3</v>
      </c>
      <c r="H401" s="9">
        <f t="shared" si="161"/>
        <v>5.5056831917046356E-3</v>
      </c>
      <c r="I401" s="5">
        <f t="shared" si="162"/>
        <v>13067057.326924482</v>
      </c>
      <c r="J401" s="5">
        <f t="shared" si="163"/>
        <v>12668570.65015447</v>
      </c>
      <c r="K401" s="8">
        <f t="shared" ref="K401:L401" si="177">I401/I149-1</f>
        <v>7.2646678736795423E-2</v>
      </c>
      <c r="L401" s="8">
        <f t="shared" si="177"/>
        <v>3.2189047050458441E-2</v>
      </c>
      <c r="M401" s="8">
        <f t="shared" si="155"/>
        <v>-4.0457631686336981E-2</v>
      </c>
    </row>
    <row r="402" spans="1:13" x14ac:dyDescent="0.3">
      <c r="A402" s="1">
        <v>44785</v>
      </c>
      <c r="B402" s="5">
        <v>16361796.005834775</v>
      </c>
      <c r="C402" s="5">
        <v>16121062.464034475</v>
      </c>
      <c r="D402" s="5">
        <v>0</v>
      </c>
      <c r="E402" s="5">
        <f t="shared" si="159"/>
        <v>0</v>
      </c>
      <c r="F402" s="5">
        <f t="shared" si="159"/>
        <v>0</v>
      </c>
      <c r="G402" s="9">
        <f t="shared" si="161"/>
        <v>2.7590332117566341E-3</v>
      </c>
      <c r="H402" s="9">
        <f t="shared" si="161"/>
        <v>1.8858803431236026E-2</v>
      </c>
      <c r="I402" s="5">
        <f t="shared" si="162"/>
        <v>13103109.772069395</v>
      </c>
      <c r="J402" s="5">
        <f t="shared" si="163"/>
        <v>12907484.733800458</v>
      </c>
      <c r="K402" s="8">
        <f t="shared" ref="K402:L402" si="178">I402/I150-1</f>
        <v>8.0563370114675514E-2</v>
      </c>
      <c r="L402" s="8">
        <f t="shared" si="178"/>
        <v>5.0863891911446801E-2</v>
      </c>
      <c r="M402" s="8">
        <f t="shared" si="155"/>
        <v>-2.9699478203228713E-2</v>
      </c>
    </row>
    <row r="403" spans="1:13" x14ac:dyDescent="0.3">
      <c r="A403" s="1">
        <v>44789</v>
      </c>
      <c r="B403" s="5">
        <v>16619983.215288294</v>
      </c>
      <c r="C403" s="5">
        <v>16147505.78827941</v>
      </c>
      <c r="D403" s="5">
        <v>0</v>
      </c>
      <c r="E403" s="5">
        <f t="shared" si="159"/>
        <v>0</v>
      </c>
      <c r="F403" s="5">
        <f t="shared" si="159"/>
        <v>0</v>
      </c>
      <c r="G403" s="9">
        <f t="shared" si="161"/>
        <v>1.5779881949478325E-2</v>
      </c>
      <c r="H403" s="9">
        <f t="shared" si="161"/>
        <v>1.640296618410142E-3</v>
      </c>
      <c r="I403" s="5">
        <f t="shared" si="162"/>
        <v>13309875.297443705</v>
      </c>
      <c r="J403" s="5">
        <f t="shared" si="163"/>
        <v>12928656.83736149</v>
      </c>
      <c r="K403" s="8">
        <f t="shared" ref="K403:L403" si="179">I403/I151-1</f>
        <v>0.1020509872415678</v>
      </c>
      <c r="L403" s="8">
        <f t="shared" si="179"/>
        <v>4.8861701922677359E-2</v>
      </c>
      <c r="M403" s="8">
        <f t="shared" si="155"/>
        <v>-5.3189285318890445E-2</v>
      </c>
    </row>
    <row r="404" spans="1:13" x14ac:dyDescent="0.3">
      <c r="A404" s="1">
        <v>44790</v>
      </c>
      <c r="B404" s="5">
        <v>16788804.086485703</v>
      </c>
      <c r="C404" s="5">
        <v>16053758.870100044</v>
      </c>
      <c r="D404" s="5">
        <v>0</v>
      </c>
      <c r="E404" s="5">
        <f t="shared" si="159"/>
        <v>0</v>
      </c>
      <c r="F404" s="5">
        <f t="shared" si="159"/>
        <v>0</v>
      </c>
      <c r="G404" s="9">
        <f t="shared" si="161"/>
        <v>1.0157704072896623E-2</v>
      </c>
      <c r="H404" s="9">
        <f t="shared" si="161"/>
        <v>-5.8056593636530707E-3</v>
      </c>
      <c r="I404" s="5">
        <f t="shared" si="162"/>
        <v>13445073.071962295</v>
      </c>
      <c r="J404" s="5">
        <f t="shared" si="163"/>
        <v>12853597.459734205</v>
      </c>
      <c r="K404" s="8">
        <f t="shared" ref="K404:L404" si="180">I404/I152-1</f>
        <v>0.11577141165306681</v>
      </c>
      <c r="L404" s="8">
        <f t="shared" si="180"/>
        <v>4.3666379428297653E-2</v>
      </c>
      <c r="M404" s="8">
        <f t="shared" si="155"/>
        <v>-7.2105032224769161E-2</v>
      </c>
    </row>
    <row r="405" spans="1:13" x14ac:dyDescent="0.3">
      <c r="A405" s="1">
        <v>44791</v>
      </c>
      <c r="B405" s="5">
        <v>16892686.209801853</v>
      </c>
      <c r="C405" s="5">
        <v>16143297.81871607</v>
      </c>
      <c r="D405" s="5">
        <v>0</v>
      </c>
      <c r="E405" s="5">
        <f t="shared" si="159"/>
        <v>0</v>
      </c>
      <c r="F405" s="5">
        <f t="shared" si="159"/>
        <v>0</v>
      </c>
      <c r="G405" s="9">
        <f t="shared" si="161"/>
        <v>6.1875832716262735E-3</v>
      </c>
      <c r="H405" s="9">
        <f t="shared" si="161"/>
        <v>5.577444468958026E-3</v>
      </c>
      <c r="I405" s="5">
        <f t="shared" si="162"/>
        <v>13528265.581188163</v>
      </c>
      <c r="J405" s="5">
        <f t="shared" si="163"/>
        <v>12925287.685792213</v>
      </c>
      <c r="K405" s="8">
        <f t="shared" ref="K405:L405" si="181">I405/I153-1</f>
        <v>0.11924147887187453</v>
      </c>
      <c r="L405" s="8">
        <f t="shared" si="181"/>
        <v>4.5278817687016026E-2</v>
      </c>
      <c r="M405" s="8">
        <f t="shared" si="155"/>
        <v>-7.3962661184858502E-2</v>
      </c>
    </row>
    <row r="406" spans="1:13" x14ac:dyDescent="0.3">
      <c r="A406" s="1">
        <v>44792</v>
      </c>
      <c r="B406" s="5">
        <v>16720906.425962428</v>
      </c>
      <c r="C406" s="5">
        <v>15981548.958912307</v>
      </c>
      <c r="D406" s="5">
        <v>0</v>
      </c>
      <c r="E406" s="5">
        <f t="shared" si="159"/>
        <v>0</v>
      </c>
      <c r="F406" s="5">
        <f t="shared" si="159"/>
        <v>0</v>
      </c>
      <c r="G406" s="9">
        <f t="shared" si="161"/>
        <v>-1.0168885025505947E-2</v>
      </c>
      <c r="H406" s="9">
        <f t="shared" si="161"/>
        <v>-1.001956735359455E-2</v>
      </c>
      <c r="I406" s="5">
        <f t="shared" si="162"/>
        <v>13390698.203898551</v>
      </c>
      <c r="J406" s="5">
        <f t="shared" si="163"/>
        <v>12795781.895259831</v>
      </c>
      <c r="K406" s="8">
        <f t="shared" ref="K406:L406" si="182">I406/I154-1</f>
        <v>0.10648404705535119</v>
      </c>
      <c r="L406" s="8">
        <f t="shared" si="182"/>
        <v>3.407843204981531E-2</v>
      </c>
      <c r="M406" s="8">
        <f t="shared" si="155"/>
        <v>-7.2405615005535884E-2</v>
      </c>
    </row>
    <row r="407" spans="1:13" x14ac:dyDescent="0.3">
      <c r="A407" s="1">
        <v>44795</v>
      </c>
      <c r="B407" s="5">
        <v>16412224.489015399</v>
      </c>
      <c r="C407" s="5">
        <v>15635321.855047388</v>
      </c>
      <c r="D407" s="5">
        <v>0</v>
      </c>
      <c r="E407" s="5">
        <f t="shared" si="159"/>
        <v>0</v>
      </c>
      <c r="F407" s="5">
        <f t="shared" si="159"/>
        <v>0</v>
      </c>
      <c r="G407" s="9">
        <f t="shared" si="161"/>
        <v>-1.8460837533767926E-2</v>
      </c>
      <c r="H407" s="9">
        <f t="shared" si="161"/>
        <v>-2.1664176905195509E-2</v>
      </c>
      <c r="I407" s="5">
        <f t="shared" si="162"/>
        <v>13143494.699892662</v>
      </c>
      <c r="J407" s="5">
        <f t="shared" si="163"/>
        <v>12518571.812640624</v>
      </c>
      <c r="K407" s="8">
        <f t="shared" ref="K407:L407" si="183">I407/I155-1</f>
        <v>8.476123861981244E-2</v>
      </c>
      <c r="L407" s="8">
        <f t="shared" si="183"/>
        <v>9.6830146457171917E-3</v>
      </c>
      <c r="M407" s="8">
        <f t="shared" si="155"/>
        <v>-7.5078223974095248E-2</v>
      </c>
    </row>
    <row r="408" spans="1:13" x14ac:dyDescent="0.3">
      <c r="A408" s="1">
        <v>44796</v>
      </c>
      <c r="B408" s="5">
        <v>16492104.089631017</v>
      </c>
      <c r="C408" s="5">
        <v>15590778.494275993</v>
      </c>
      <c r="D408" s="5">
        <v>0</v>
      </c>
      <c r="E408" s="5">
        <f t="shared" si="159"/>
        <v>0</v>
      </c>
      <c r="F408" s="5">
        <f t="shared" si="159"/>
        <v>0</v>
      </c>
      <c r="G408" s="9">
        <f t="shared" si="161"/>
        <v>4.8670794546517016E-3</v>
      </c>
      <c r="H408" s="9">
        <f t="shared" si="161"/>
        <v>-2.848893114215989E-3</v>
      </c>
      <c r="I408" s="5">
        <f t="shared" si="162"/>
        <v>13207465.132908834</v>
      </c>
      <c r="J408" s="5">
        <f t="shared" si="163"/>
        <v>12482907.739603775</v>
      </c>
      <c r="K408" s="8">
        <f t="shared" ref="K408:L408" si="184">I408/I156-1</f>
        <v>8.4360948704286676E-2</v>
      </c>
      <c r="L408" s="8">
        <f t="shared" si="184"/>
        <v>1.131276387729474E-2</v>
      </c>
      <c r="M408" s="8">
        <f t="shared" si="155"/>
        <v>-7.3048184826991935E-2</v>
      </c>
    </row>
    <row r="409" spans="1:13" x14ac:dyDescent="0.3">
      <c r="A409" s="1">
        <v>44797</v>
      </c>
      <c r="B409" s="5">
        <v>16590454.81282161</v>
      </c>
      <c r="C409" s="5">
        <v>15638517.399294516</v>
      </c>
      <c r="D409" s="5">
        <v>0</v>
      </c>
      <c r="E409" s="5">
        <f t="shared" si="159"/>
        <v>0</v>
      </c>
      <c r="F409" s="5">
        <f t="shared" si="159"/>
        <v>0</v>
      </c>
      <c r="G409" s="9">
        <f t="shared" si="161"/>
        <v>5.9635036655163454E-3</v>
      </c>
      <c r="H409" s="9">
        <f t="shared" si="161"/>
        <v>3.0619962329687667E-3</v>
      </c>
      <c r="I409" s="5">
        <f t="shared" si="162"/>
        <v>13286227.899641115</v>
      </c>
      <c r="J409" s="5">
        <f t="shared" si="163"/>
        <v>12521130.356078938</v>
      </c>
      <c r="K409" s="8">
        <f t="shared" ref="K409:L409" si="185">I409/I157-1</f>
        <v>8.4773271447111886E-2</v>
      </c>
      <c r="L409" s="8">
        <f t="shared" si="185"/>
        <v>2.6753180292155454E-2</v>
      </c>
      <c r="M409" s="8">
        <f t="shared" si="155"/>
        <v>-5.8020091154956432E-2</v>
      </c>
    </row>
    <row r="410" spans="1:13" x14ac:dyDescent="0.3">
      <c r="A410" s="1">
        <v>44798</v>
      </c>
      <c r="B410" s="5">
        <v>16595356.891974803</v>
      </c>
      <c r="C410" s="5">
        <v>15875150.636279199</v>
      </c>
      <c r="D410" s="5">
        <v>0</v>
      </c>
      <c r="E410" s="5">
        <f t="shared" si="159"/>
        <v>0</v>
      </c>
      <c r="F410" s="5">
        <f t="shared" si="159"/>
        <v>0</v>
      </c>
      <c r="G410" s="9">
        <f t="shared" si="161"/>
        <v>2.9547587504374917E-4</v>
      </c>
      <c r="H410" s="9">
        <f t="shared" si="161"/>
        <v>1.5131436755977834E-2</v>
      </c>
      <c r="I410" s="5">
        <f t="shared" si="162"/>
        <v>13290153.659455793</v>
      </c>
      <c r="J410" s="5">
        <f t="shared" si="163"/>
        <v>12710593.0481753</v>
      </c>
      <c r="K410" s="8">
        <f t="shared" ref="K410:L410" si="186">I410/I158-1</f>
        <v>0.10139995544880254</v>
      </c>
      <c r="L410" s="8">
        <f t="shared" si="186"/>
        <v>3.1344564395281438E-2</v>
      </c>
      <c r="M410" s="8">
        <f t="shared" si="155"/>
        <v>-7.0055391053521099E-2</v>
      </c>
    </row>
    <row r="411" spans="1:13" x14ac:dyDescent="0.3">
      <c r="A411" s="1">
        <v>44799</v>
      </c>
      <c r="B411" s="5">
        <v>16681455.177462121</v>
      </c>
      <c r="C411" s="5">
        <v>15335023.183108473</v>
      </c>
      <c r="D411" s="5">
        <v>0</v>
      </c>
      <c r="E411" s="5">
        <f t="shared" si="159"/>
        <v>0</v>
      </c>
      <c r="F411" s="5">
        <f t="shared" si="159"/>
        <v>0</v>
      </c>
      <c r="G411" s="9">
        <f t="shared" si="161"/>
        <v>5.1880948416935802E-3</v>
      </c>
      <c r="H411" s="9">
        <f t="shared" si="161"/>
        <v>-3.4023453732551223E-2</v>
      </c>
      <c r="I411" s="5">
        <f t="shared" si="162"/>
        <v>13359104.23710173</v>
      </c>
      <c r="J411" s="5">
        <f t="shared" si="163"/>
        <v>12278134.77368742</v>
      </c>
      <c r="K411" s="8">
        <f t="shared" ref="K411:L411" si="187">I411/I159-1</f>
        <v>0.11155616266325685</v>
      </c>
      <c r="L411" s="8">
        <f t="shared" si="187"/>
        <v>-9.1890568337278378E-3</v>
      </c>
      <c r="M411" s="8">
        <f t="shared" si="155"/>
        <v>-0.12074521949698469</v>
      </c>
    </row>
    <row r="412" spans="1:13" x14ac:dyDescent="0.3">
      <c r="A412" s="1">
        <v>44802</v>
      </c>
      <c r="B412" s="5">
        <v>16581823.730889166</v>
      </c>
      <c r="C412" s="5">
        <v>15250686.745948443</v>
      </c>
      <c r="D412" s="5">
        <v>0</v>
      </c>
      <c r="E412" s="5">
        <f t="shared" si="159"/>
        <v>0</v>
      </c>
      <c r="F412" s="5">
        <f t="shared" si="159"/>
        <v>0</v>
      </c>
      <c r="G412" s="9">
        <f t="shared" si="161"/>
        <v>-5.9725872541123159E-3</v>
      </c>
      <c r="H412" s="9">
        <f t="shared" si="161"/>
        <v>-5.4995963262010061E-3</v>
      </c>
      <c r="I412" s="5">
        <f t="shared" si="162"/>
        <v>13279315.821408859</v>
      </c>
      <c r="J412" s="5">
        <f t="shared" si="163"/>
        <v>12210609.988793448</v>
      </c>
      <c r="K412" s="8">
        <f t="shared" ref="K412:L412" si="188">I412/I160-1</f>
        <v>9.4268996559369267E-2</v>
      </c>
      <c r="L412" s="8">
        <f t="shared" si="188"/>
        <v>-1.6247545221352522E-2</v>
      </c>
      <c r="M412" s="8">
        <f t="shared" si="155"/>
        <v>-0.11051654178072179</v>
      </c>
    </row>
    <row r="413" spans="1:13" x14ac:dyDescent="0.3">
      <c r="A413" s="1">
        <v>44803</v>
      </c>
      <c r="B413" s="5">
        <v>16944508.583732687</v>
      </c>
      <c r="C413" s="5">
        <v>15015810.331785597</v>
      </c>
      <c r="D413" s="5">
        <v>0</v>
      </c>
      <c r="E413" s="5">
        <f t="shared" si="159"/>
        <v>0</v>
      </c>
      <c r="F413" s="5">
        <f t="shared" si="159"/>
        <v>0</v>
      </c>
      <c r="G413" s="9">
        <f t="shared" si="161"/>
        <v>2.1872434463761747E-2</v>
      </c>
      <c r="H413" s="9">
        <f t="shared" si="161"/>
        <v>-1.540103852865804E-2</v>
      </c>
      <c r="I413" s="5">
        <f t="shared" si="162"/>
        <v>13569766.786436219</v>
      </c>
      <c r="J413" s="5">
        <f t="shared" si="163"/>
        <v>12022553.913897622</v>
      </c>
      <c r="K413" s="8">
        <f t="shared" ref="K413:L413" si="189">I413/I161-1</f>
        <v>0.11305608020061819</v>
      </c>
      <c r="L413" s="8">
        <f t="shared" si="189"/>
        <v>-3.4858391430748314E-2</v>
      </c>
      <c r="M413" s="8">
        <f t="shared" si="155"/>
        <v>-0.14791447163136651</v>
      </c>
    </row>
    <row r="414" spans="1:13" x14ac:dyDescent="0.3">
      <c r="A414" s="1">
        <v>44805</v>
      </c>
      <c r="B414" s="5">
        <v>16946319.261618096</v>
      </c>
      <c r="C414" s="5">
        <v>14958063.41585809</v>
      </c>
      <c r="D414" s="5">
        <v>0</v>
      </c>
      <c r="E414" s="5">
        <f t="shared" si="159"/>
        <v>0</v>
      </c>
      <c r="F414" s="5">
        <f t="shared" si="159"/>
        <v>0</v>
      </c>
      <c r="G414" s="9">
        <f t="shared" si="161"/>
        <v>1.0685927399212147E-4</v>
      </c>
      <c r="H414" s="9">
        <f t="shared" si="161"/>
        <v>-3.8457408991953157E-3</v>
      </c>
      <c r="I414" s="5">
        <f t="shared" si="162"/>
        <v>13571216.84186326</v>
      </c>
      <c r="J414" s="5">
        <f t="shared" si="163"/>
        <v>11976318.286598166</v>
      </c>
      <c r="K414" s="8">
        <f t="shared" ref="K414:L414" si="190">I414/I162-1</f>
        <v>0.10985252753132779</v>
      </c>
      <c r="L414" s="8">
        <f t="shared" si="190"/>
        <v>-3.1669287886197606E-2</v>
      </c>
      <c r="M414" s="8">
        <f t="shared" si="155"/>
        <v>-0.1415218154175254</v>
      </c>
    </row>
    <row r="415" spans="1:13" x14ac:dyDescent="0.3">
      <c r="A415" s="1">
        <v>44806</v>
      </c>
      <c r="B415" s="5">
        <v>16915203.755821973</v>
      </c>
      <c r="C415" s="5">
        <v>14807925.592342552</v>
      </c>
      <c r="D415" s="5">
        <v>0</v>
      </c>
      <c r="E415" s="5">
        <f t="shared" si="159"/>
        <v>0</v>
      </c>
      <c r="F415" s="5">
        <f t="shared" si="159"/>
        <v>0</v>
      </c>
      <c r="G415" s="9">
        <f t="shared" si="161"/>
        <v>-1.8361217746319936E-3</v>
      </c>
      <c r="H415" s="9">
        <f t="shared" si="161"/>
        <v>-1.0037250099927175E-2</v>
      </c>
      <c r="I415" s="5">
        <f t="shared" si="162"/>
        <v>13546298.435111662</v>
      </c>
      <c r="J415" s="5">
        <f t="shared" si="163"/>
        <v>11856108.98467925</v>
      </c>
      <c r="K415" s="8">
        <f t="shared" ref="K415:L415" si="191">I415/I163-1</f>
        <v>9.4069123310841052E-2</v>
      </c>
      <c r="L415" s="8">
        <f t="shared" si="191"/>
        <v>-4.1253126796057971E-2</v>
      </c>
      <c r="M415" s="8">
        <f t="shared" si="155"/>
        <v>-0.13532225010689902</v>
      </c>
    </row>
    <row r="416" spans="1:13" x14ac:dyDescent="0.3">
      <c r="A416" s="1">
        <v>44809</v>
      </c>
      <c r="B416" s="5">
        <v>16895507.1134587</v>
      </c>
      <c r="C416" s="5">
        <v>14777652.085856954</v>
      </c>
      <c r="D416" s="5">
        <v>0</v>
      </c>
      <c r="E416" s="5">
        <f t="shared" si="159"/>
        <v>0</v>
      </c>
      <c r="F416" s="5">
        <f t="shared" si="159"/>
        <v>0</v>
      </c>
      <c r="G416" s="9">
        <f t="shared" si="161"/>
        <v>-1.1644342360637161E-3</v>
      </c>
      <c r="H416" s="9">
        <f t="shared" si="161"/>
        <v>-2.0444123855709595E-3</v>
      </c>
      <c r="I416" s="5">
        <f t="shared" si="162"/>
        <v>13530524.661441881</v>
      </c>
      <c r="J416" s="5">
        <f t="shared" si="163"/>
        <v>11831870.208626293</v>
      </c>
      <c r="K416" s="8">
        <f t="shared" ref="K416:L416" si="192">I416/I164-1</f>
        <v>7.6158765169947129E-2</v>
      </c>
      <c r="L416" s="8">
        <f t="shared" si="192"/>
        <v>-4.5035906825830474E-2</v>
      </c>
      <c r="M416" s="8">
        <f t="shared" si="155"/>
        <v>-0.1211946719957776</v>
      </c>
    </row>
    <row r="417" spans="1:13" x14ac:dyDescent="0.3">
      <c r="A417" s="1">
        <v>44810</v>
      </c>
      <c r="B417" s="5">
        <v>17005185.614151932</v>
      </c>
      <c r="C417" s="5">
        <v>14777652.085856954</v>
      </c>
      <c r="D417" s="5">
        <v>0</v>
      </c>
      <c r="E417" s="5">
        <f t="shared" si="159"/>
        <v>0</v>
      </c>
      <c r="F417" s="5">
        <f t="shared" si="159"/>
        <v>0</v>
      </c>
      <c r="G417" s="9">
        <f t="shared" si="161"/>
        <v>6.4915779062864054E-3</v>
      </c>
      <c r="H417" s="9">
        <f t="shared" si="161"/>
        <v>0</v>
      </c>
      <c r="I417" s="5">
        <f t="shared" si="162"/>
        <v>13618359.116394561</v>
      </c>
      <c r="J417" s="5">
        <f t="shared" si="163"/>
        <v>11831870.208626293</v>
      </c>
      <c r="K417" s="8">
        <f t="shared" ref="K417:L417" si="193">I417/I165-1</f>
        <v>6.8638943228505278E-2</v>
      </c>
      <c r="L417" s="8">
        <f t="shared" si="193"/>
        <v>-3.9399231880814511E-2</v>
      </c>
      <c r="M417" s="8">
        <f t="shared" si="155"/>
        <v>-0.10803817510931979</v>
      </c>
    </row>
    <row r="418" spans="1:13" x14ac:dyDescent="0.3">
      <c r="A418" s="1">
        <v>44811</v>
      </c>
      <c r="B418" s="5">
        <v>17064808.255924493</v>
      </c>
      <c r="C418" s="5">
        <v>15041573.638849715</v>
      </c>
      <c r="D418" s="5">
        <v>0</v>
      </c>
      <c r="E418" s="5">
        <f t="shared" si="159"/>
        <v>0</v>
      </c>
      <c r="F418" s="5">
        <f t="shared" si="159"/>
        <v>0</v>
      </c>
      <c r="G418" s="9">
        <f t="shared" si="161"/>
        <v>3.506144721110438E-3</v>
      </c>
      <c r="H418" s="9">
        <f t="shared" si="161"/>
        <v>1.7859505113491547E-2</v>
      </c>
      <c r="I418" s="5">
        <f t="shared" si="162"/>
        <v>13666107.054320693</v>
      </c>
      <c r="J418" s="5">
        <f t="shared" si="163"/>
        <v>12043181.555119421</v>
      </c>
      <c r="K418" s="8">
        <f t="shared" ref="K418:L418" si="194">I418/I166-1</f>
        <v>6.4650514743324061E-2</v>
      </c>
      <c r="L418" s="8">
        <f t="shared" si="194"/>
        <v>-2.3148886531032087E-2</v>
      </c>
      <c r="M418" s="8">
        <f t="shared" si="155"/>
        <v>-8.7799401274356148E-2</v>
      </c>
    </row>
    <row r="419" spans="1:13" x14ac:dyDescent="0.3">
      <c r="A419" s="1">
        <v>44812</v>
      </c>
      <c r="B419" s="5">
        <v>17110541.673429683</v>
      </c>
      <c r="C419" s="5">
        <v>15121983.323281867</v>
      </c>
      <c r="D419" s="5">
        <v>0</v>
      </c>
      <c r="E419" s="5">
        <f t="shared" si="159"/>
        <v>0</v>
      </c>
      <c r="F419" s="5">
        <f t="shared" si="159"/>
        <v>0</v>
      </c>
      <c r="G419" s="9">
        <f t="shared" si="161"/>
        <v>2.6799842587925671E-3</v>
      </c>
      <c r="H419" s="9">
        <f t="shared" si="161"/>
        <v>5.3458292571508803E-3</v>
      </c>
      <c r="I419" s="5">
        <f t="shared" si="162"/>
        <v>13702732.006105246</v>
      </c>
      <c r="J419" s="5">
        <f t="shared" si="163"/>
        <v>12107562.347425958</v>
      </c>
      <c r="K419" s="8">
        <f t="shared" ref="K419:L419" si="195">I419/I167-1</f>
        <v>5.6703927898774431E-2</v>
      </c>
      <c r="L419" s="8">
        <f t="shared" si="195"/>
        <v>-2.086510359051863E-2</v>
      </c>
      <c r="M419" s="8">
        <f t="shared" si="155"/>
        <v>-7.7569031489293061E-2</v>
      </c>
    </row>
    <row r="420" spans="1:13" x14ac:dyDescent="0.3">
      <c r="A420" s="1">
        <v>44813</v>
      </c>
      <c r="B420" s="5">
        <v>17099887.379774664</v>
      </c>
      <c r="C420" s="5">
        <v>15334986.075004594</v>
      </c>
      <c r="D420" s="5">
        <v>0</v>
      </c>
      <c r="E420" s="5">
        <f t="shared" si="159"/>
        <v>0</v>
      </c>
      <c r="F420" s="5">
        <f t="shared" si="159"/>
        <v>0</v>
      </c>
      <c r="G420" s="9">
        <f t="shared" si="161"/>
        <v>-6.2267424716100361E-4</v>
      </c>
      <c r="H420" s="9">
        <f t="shared" si="161"/>
        <v>1.408563593604728E-2</v>
      </c>
      <c r="I420" s="5">
        <f t="shared" si="162"/>
        <v>13694199.667769296</v>
      </c>
      <c r="J420" s="5">
        <f t="shared" si="163"/>
        <v>12278105.062724793</v>
      </c>
      <c r="K420" s="8">
        <f t="shared" ref="K420:L420" si="196">I420/I168-1</f>
        <v>5.0005889665797554E-2</v>
      </c>
      <c r="L420" s="8">
        <f t="shared" si="196"/>
        <v>-6.6298117411149882E-3</v>
      </c>
      <c r="M420" s="8">
        <f t="shared" si="155"/>
        <v>-5.6635701406912542E-2</v>
      </c>
    </row>
    <row r="421" spans="1:13" x14ac:dyDescent="0.3">
      <c r="A421" s="1">
        <v>44816</v>
      </c>
      <c r="B421" s="5">
        <v>17303676.967634108</v>
      </c>
      <c r="C421" s="5">
        <v>15446657.101531161</v>
      </c>
      <c r="D421" s="5">
        <v>0</v>
      </c>
      <c r="E421" s="5">
        <f t="shared" si="159"/>
        <v>0</v>
      </c>
      <c r="F421" s="5">
        <f t="shared" si="159"/>
        <v>0</v>
      </c>
      <c r="G421" s="9">
        <f t="shared" si="161"/>
        <v>1.1917598246903083E-2</v>
      </c>
      <c r="H421" s="9">
        <f t="shared" si="161"/>
        <v>7.2821081141107857E-3</v>
      </c>
      <c r="I421" s="5">
        <f t="shared" si="162"/>
        <v>13857401.637722645</v>
      </c>
      <c r="J421" s="5">
        <f t="shared" si="163"/>
        <v>12367515.551227966</v>
      </c>
      <c r="K421" s="8">
        <f t="shared" ref="K421:L421" si="197">I421/I169-1</f>
        <v>6.3908972468031067E-2</v>
      </c>
      <c r="L421" s="8">
        <f t="shared" si="197"/>
        <v>-2.3041799355967285E-3</v>
      </c>
      <c r="M421" s="8">
        <f t="shared" si="155"/>
        <v>-6.6213152403627795E-2</v>
      </c>
    </row>
    <row r="422" spans="1:13" x14ac:dyDescent="0.3">
      <c r="A422" s="1">
        <v>44817</v>
      </c>
      <c r="B422" s="5">
        <v>17417266.642967019</v>
      </c>
      <c r="C422" s="5">
        <v>14805300.305764146</v>
      </c>
      <c r="D422" s="5">
        <v>0</v>
      </c>
      <c r="E422" s="5">
        <f t="shared" si="159"/>
        <v>0</v>
      </c>
      <c r="F422" s="5">
        <f t="shared" si="159"/>
        <v>0</v>
      </c>
      <c r="G422" s="9">
        <f t="shared" si="161"/>
        <v>6.5644819621504258E-3</v>
      </c>
      <c r="H422" s="9">
        <f t="shared" si="161"/>
        <v>-4.152075051264259E-2</v>
      </c>
      <c r="I422" s="5">
        <f t="shared" si="162"/>
        <v>13948368.30081575</v>
      </c>
      <c r="J422" s="5">
        <f t="shared" si="163"/>
        <v>11854007.023564203</v>
      </c>
      <c r="K422" s="8">
        <f t="shared" ref="K422:L422" si="198">I422/I170-1</f>
        <v>7.457949635607819E-2</v>
      </c>
      <c r="L422" s="8">
        <f t="shared" si="198"/>
        <v>-4.3729259167997192E-2</v>
      </c>
      <c r="M422" s="8">
        <f t="shared" si="155"/>
        <v>-0.11830875552407538</v>
      </c>
    </row>
    <row r="423" spans="1:13" x14ac:dyDescent="0.3">
      <c r="A423" s="1">
        <v>44818</v>
      </c>
      <c r="B423" s="5">
        <v>17496602.488181069</v>
      </c>
      <c r="C423" s="5">
        <v>14844542.125621594</v>
      </c>
      <c r="D423" s="5">
        <v>0</v>
      </c>
      <c r="E423" s="5">
        <f t="shared" si="159"/>
        <v>0</v>
      </c>
      <c r="F423" s="5">
        <f t="shared" si="159"/>
        <v>0</v>
      </c>
      <c r="G423" s="9">
        <f t="shared" si="161"/>
        <v>4.5550112334122872E-3</v>
      </c>
      <c r="H423" s="9">
        <f t="shared" si="161"/>
        <v>2.6505250854094164E-3</v>
      </c>
      <c r="I423" s="5">
        <f t="shared" si="162"/>
        <v>14011903.275113737</v>
      </c>
      <c r="J423" s="5">
        <f t="shared" si="163"/>
        <v>11885426.366542779</v>
      </c>
      <c r="K423" s="8">
        <f t="shared" ref="K423:L423" si="199">I423/I171-1</f>
        <v>7.3615286512010991E-2</v>
      </c>
      <c r="L423" s="8">
        <f t="shared" si="199"/>
        <v>-4.5162488681529722E-2</v>
      </c>
      <c r="M423" s="8">
        <f t="shared" si="155"/>
        <v>-0.11877777519354071</v>
      </c>
    </row>
    <row r="424" spans="1:13" x14ac:dyDescent="0.3">
      <c r="A424" s="1">
        <v>44819</v>
      </c>
      <c r="B424" s="5">
        <v>17605193.478071172</v>
      </c>
      <c r="C424" s="5">
        <v>14753816.611852454</v>
      </c>
      <c r="D424" s="5">
        <v>0</v>
      </c>
      <c r="E424" s="5">
        <f t="shared" si="159"/>
        <v>0</v>
      </c>
      <c r="F424" s="5">
        <f t="shared" si="159"/>
        <v>0</v>
      </c>
      <c r="G424" s="9">
        <f t="shared" si="161"/>
        <v>6.2064043555574155E-3</v>
      </c>
      <c r="H424" s="9">
        <f t="shared" si="161"/>
        <v>-6.111708465062593E-3</v>
      </c>
      <c r="I424" s="5">
        <f t="shared" si="162"/>
        <v>14098866.812630052</v>
      </c>
      <c r="J424" s="5">
        <f t="shared" si="163"/>
        <v>11812786.105607502</v>
      </c>
      <c r="K424" s="8">
        <f t="shared" ref="K424:L424" si="200">I424/I172-1</f>
        <v>7.5589499547219718E-2</v>
      </c>
      <c r="L424" s="8">
        <f t="shared" si="200"/>
        <v>-4.2539040999051481E-2</v>
      </c>
      <c r="M424" s="8">
        <f t="shared" si="155"/>
        <v>-0.1181285405462712</v>
      </c>
    </row>
    <row r="425" spans="1:13" x14ac:dyDescent="0.3">
      <c r="A425" s="1">
        <v>44820</v>
      </c>
      <c r="B425" s="5">
        <v>17093461.681425206</v>
      </c>
      <c r="C425" s="5">
        <v>14618733.501374135</v>
      </c>
      <c r="D425" s="5">
        <v>0</v>
      </c>
      <c r="E425" s="5">
        <f t="shared" si="159"/>
        <v>0</v>
      </c>
      <c r="F425" s="5">
        <f t="shared" si="159"/>
        <v>0</v>
      </c>
      <c r="G425" s="9">
        <f t="shared" si="161"/>
        <v>-2.906709303043864E-2</v>
      </c>
      <c r="H425" s="9">
        <f t="shared" si="161"/>
        <v>-9.1558078856558422E-3</v>
      </c>
      <c r="I425" s="5">
        <f t="shared" si="162"/>
        <v>13689053.73936357</v>
      </c>
      <c r="J425" s="5">
        <f t="shared" si="163"/>
        <v>11704630.505430216</v>
      </c>
      <c r="K425" s="8">
        <f t="shared" ref="K425:L425" si="201">I425/I173-1</f>
        <v>4.108857644979369E-2</v>
      </c>
      <c r="L425" s="8">
        <f t="shared" si="201"/>
        <v>-4.6925297502820262E-2</v>
      </c>
      <c r="M425" s="8">
        <f t="shared" si="155"/>
        <v>-8.8013873952613952E-2</v>
      </c>
    </row>
    <row r="426" spans="1:13" x14ac:dyDescent="0.3">
      <c r="A426" s="1">
        <v>44823</v>
      </c>
      <c r="B426" s="5">
        <v>17149661.700365584</v>
      </c>
      <c r="C426" s="5">
        <v>14728370.512013705</v>
      </c>
      <c r="D426" s="5">
        <v>0</v>
      </c>
      <c r="E426" s="5">
        <f t="shared" si="159"/>
        <v>0</v>
      </c>
      <c r="F426" s="5">
        <f t="shared" si="159"/>
        <v>0</v>
      </c>
      <c r="G426" s="9">
        <f t="shared" si="161"/>
        <v>3.2878079342728572E-3</v>
      </c>
      <c r="H426" s="9">
        <f t="shared" si="161"/>
        <v>7.4997612227669652E-3</v>
      </c>
      <c r="I426" s="5">
        <f t="shared" si="162"/>
        <v>13734060.718860537</v>
      </c>
      <c r="J426" s="5">
        <f t="shared" si="163"/>
        <v>11792412.439421657</v>
      </c>
      <c r="K426" s="8">
        <f t="shared" ref="K426:L426" si="202">I426/I174-1</f>
        <v>4.1248813285504005E-2</v>
      </c>
      <c r="L426" s="8">
        <f t="shared" si="202"/>
        <v>-3.525258317528801E-2</v>
      </c>
      <c r="M426" s="8">
        <f t="shared" si="155"/>
        <v>-7.6501396460792015E-2</v>
      </c>
    </row>
    <row r="427" spans="1:13" x14ac:dyDescent="0.3">
      <c r="A427" s="1">
        <v>44824</v>
      </c>
      <c r="B427" s="5">
        <v>17342463.012825895</v>
      </c>
      <c r="C427" s="5">
        <v>14564324.079368254</v>
      </c>
      <c r="D427" s="5">
        <v>0</v>
      </c>
      <c r="E427" s="5">
        <f t="shared" si="159"/>
        <v>0</v>
      </c>
      <c r="F427" s="5">
        <f t="shared" si="159"/>
        <v>0</v>
      </c>
      <c r="G427" s="9">
        <f t="shared" si="161"/>
        <v>1.1242280799988125E-2</v>
      </c>
      <c r="H427" s="9">
        <f t="shared" si="161"/>
        <v>-1.1138125056783466E-2</v>
      </c>
      <c r="I427" s="5">
        <f t="shared" si="162"/>
        <v>13888462.885986054</v>
      </c>
      <c r="J427" s="5">
        <f t="shared" si="163"/>
        <v>11661067.074950211</v>
      </c>
      <c r="K427" s="8">
        <f t="shared" ref="K427:L427" si="203">I427/I175-1</f>
        <v>4.880800200577573E-2</v>
      </c>
      <c r="L427" s="8">
        <f t="shared" si="203"/>
        <v>-5.185102891728155E-2</v>
      </c>
      <c r="M427" s="8">
        <f t="shared" si="155"/>
        <v>-0.10065903092305728</v>
      </c>
    </row>
    <row r="428" spans="1:13" x14ac:dyDescent="0.3">
      <c r="A428" s="1">
        <v>44825</v>
      </c>
      <c r="B428" s="5">
        <v>17065456.898154777</v>
      </c>
      <c r="C428" s="5">
        <v>14359089.663296591</v>
      </c>
      <c r="D428" s="5">
        <v>0</v>
      </c>
      <c r="E428" s="5">
        <f t="shared" si="159"/>
        <v>0</v>
      </c>
      <c r="F428" s="5">
        <f t="shared" si="159"/>
        <v>0</v>
      </c>
      <c r="G428" s="9">
        <f t="shared" si="161"/>
        <v>-1.5972708978318373E-2</v>
      </c>
      <c r="H428" s="9">
        <f t="shared" si="161"/>
        <v>-1.4091585366628578E-2</v>
      </c>
      <c r="I428" s="5">
        <f t="shared" si="162"/>
        <v>13666626.510152023</v>
      </c>
      <c r="J428" s="5">
        <f t="shared" si="163"/>
        <v>11496744.152797569</v>
      </c>
      <c r="K428" s="8">
        <f t="shared" ref="K428:L428" si="204">I428/I176-1</f>
        <v>2.4778054651213299E-2</v>
      </c>
      <c r="L428" s="8">
        <f t="shared" si="204"/>
        <v>-6.4933983736618184E-2</v>
      </c>
      <c r="M428" s="8">
        <f t="shared" si="155"/>
        <v>-8.9712038387831483E-2</v>
      </c>
    </row>
    <row r="429" spans="1:13" x14ac:dyDescent="0.3">
      <c r="A429" s="1">
        <v>44826</v>
      </c>
      <c r="B429" s="5">
        <v>17141566.093295585</v>
      </c>
      <c r="C429" s="5">
        <v>14423936.969005248</v>
      </c>
      <c r="D429" s="5">
        <v>0</v>
      </c>
      <c r="E429" s="5">
        <f t="shared" si="159"/>
        <v>0</v>
      </c>
      <c r="F429" s="5">
        <f t="shared" si="159"/>
        <v>0</v>
      </c>
      <c r="G429" s="9">
        <f t="shared" si="161"/>
        <v>4.4598392879267035E-3</v>
      </c>
      <c r="H429" s="9">
        <f t="shared" si="161"/>
        <v>4.516115382607655E-3</v>
      </c>
      <c r="I429" s="5">
        <f t="shared" si="162"/>
        <v>13727577.46799542</v>
      </c>
      <c r="J429" s="5">
        <f t="shared" si="163"/>
        <v>11548664.775915923</v>
      </c>
      <c r="K429" s="8">
        <f t="shared" ref="K429:L429" si="205">I429/I177-1</f>
        <v>3.787174981345065E-2</v>
      </c>
      <c r="L429" s="8">
        <f t="shared" si="205"/>
        <v>-5.3108868871885595E-2</v>
      </c>
      <c r="M429" s="8">
        <f t="shared" si="155"/>
        <v>-9.0980618685336245E-2</v>
      </c>
    </row>
    <row r="430" spans="1:13" x14ac:dyDescent="0.3">
      <c r="A430" s="1">
        <v>44827</v>
      </c>
      <c r="B430" s="5">
        <v>16834407.775544822</v>
      </c>
      <c r="C430" s="5">
        <v>14194959.625646003</v>
      </c>
      <c r="D430" s="5">
        <v>0</v>
      </c>
      <c r="E430" s="5">
        <f t="shared" si="159"/>
        <v>0</v>
      </c>
      <c r="F430" s="5">
        <f t="shared" si="159"/>
        <v>0</v>
      </c>
      <c r="G430" s="9">
        <f t="shared" si="161"/>
        <v>-1.7918918031118447E-2</v>
      </c>
      <c r="H430" s="9">
        <f t="shared" si="161"/>
        <v>-1.5874815860002833E-2</v>
      </c>
      <c r="I430" s="5">
        <f t="shared" si="162"/>
        <v>13481594.132580582</v>
      </c>
      <c r="J430" s="5">
        <f t="shared" si="163"/>
        <v>11365331.849169357</v>
      </c>
      <c r="K430" s="8">
        <f t="shared" ref="K430:L430" si="206">I430/I178-1</f>
        <v>3.8590832887036353E-2</v>
      </c>
      <c r="L430" s="8">
        <f t="shared" si="206"/>
        <v>-5.2180903091488928E-2</v>
      </c>
      <c r="M430" s="8">
        <f t="shared" si="155"/>
        <v>-9.0771735978525281E-2</v>
      </c>
    </row>
    <row r="431" spans="1:13" x14ac:dyDescent="0.3">
      <c r="A431" s="1">
        <v>44830</v>
      </c>
      <c r="B431" s="5">
        <v>16377230.930736026</v>
      </c>
      <c r="C431" s="5">
        <v>14133070.461736731</v>
      </c>
      <c r="D431" s="5">
        <v>0</v>
      </c>
      <c r="E431" s="5">
        <f t="shared" si="159"/>
        <v>0</v>
      </c>
      <c r="F431" s="5">
        <f t="shared" si="159"/>
        <v>0</v>
      </c>
      <c r="G431" s="9">
        <f t="shared" si="161"/>
        <v>-2.7157287081576609E-2</v>
      </c>
      <c r="H431" s="9">
        <f t="shared" si="161"/>
        <v>-4.3599394109903322E-3</v>
      </c>
      <c r="I431" s="5">
        <f t="shared" si="162"/>
        <v>13115470.610404793</v>
      </c>
      <c r="J431" s="5">
        <f t="shared" si="163"/>
        <v>11315779.69092118</v>
      </c>
      <c r="K431" s="8">
        <f t="shared" ref="K431:L431" si="207">I431/I179-1</f>
        <v>1.6212596363573972E-3</v>
      </c>
      <c r="L431" s="8">
        <f t="shared" si="207"/>
        <v>-5.6358451407230614E-2</v>
      </c>
      <c r="M431" s="8">
        <f t="shared" si="155"/>
        <v>-5.7979711043588011E-2</v>
      </c>
    </row>
    <row r="432" spans="1:13" x14ac:dyDescent="0.3">
      <c r="A432" s="1">
        <v>44831</v>
      </c>
      <c r="B432" s="5">
        <v>16420562.99189928</v>
      </c>
      <c r="C432" s="5">
        <v>14109179.325576404</v>
      </c>
      <c r="D432" s="5">
        <v>0</v>
      </c>
      <c r="E432" s="5">
        <f t="shared" si="159"/>
        <v>0</v>
      </c>
      <c r="F432" s="5">
        <f t="shared" si="159"/>
        <v>0</v>
      </c>
      <c r="G432" s="9">
        <f t="shared" si="161"/>
        <v>2.6458722690372305E-3</v>
      </c>
      <c r="H432" s="9">
        <f t="shared" si="161"/>
        <v>-1.6904420185980262E-3</v>
      </c>
      <c r="I432" s="5">
        <f t="shared" si="162"/>
        <v>13150172.470388236</v>
      </c>
      <c r="J432" s="5">
        <f t="shared" si="163"/>
        <v>11296651.021458449</v>
      </c>
      <c r="K432" s="8">
        <f t="shared" ref="K432:L432" si="208">I432/I180-1</f>
        <v>-1.1610127389041214E-3</v>
      </c>
      <c r="L432" s="8">
        <f t="shared" si="208"/>
        <v>-6.7975074229021604E-2</v>
      </c>
      <c r="M432" s="8">
        <f t="shared" si="155"/>
        <v>-6.6814061490117482E-2</v>
      </c>
    </row>
    <row r="433" spans="1:13" x14ac:dyDescent="0.3">
      <c r="A433" s="1">
        <v>44832</v>
      </c>
      <c r="B433" s="5">
        <v>16318207.247959094</v>
      </c>
      <c r="C433" s="5">
        <v>14384042.851273499</v>
      </c>
      <c r="D433" s="5">
        <v>0</v>
      </c>
      <c r="E433" s="5">
        <f t="shared" si="159"/>
        <v>0</v>
      </c>
      <c r="F433" s="5">
        <f t="shared" si="159"/>
        <v>0</v>
      </c>
      <c r="G433" s="9">
        <f t="shared" si="161"/>
        <v>-6.2333882212614045E-3</v>
      </c>
      <c r="H433" s="9">
        <f t="shared" si="161"/>
        <v>1.9481184507935012E-2</v>
      </c>
      <c r="I433" s="5">
        <f t="shared" si="162"/>
        <v>13068202.340203762</v>
      </c>
      <c r="J433" s="5">
        <f t="shared" si="163"/>
        <v>11516723.164329233</v>
      </c>
      <c r="K433" s="8">
        <f t="shared" ref="K433:L433" si="209">I433/I181-1</f>
        <v>-1.8359733416664636E-2</v>
      </c>
      <c r="L433" s="8">
        <f t="shared" si="209"/>
        <v>-5.9973818384707833E-2</v>
      </c>
      <c r="M433" s="8">
        <f t="shared" si="155"/>
        <v>-4.1614084968043197E-2</v>
      </c>
    </row>
    <row r="434" spans="1:13" x14ac:dyDescent="0.3">
      <c r="A434" s="1">
        <v>44833</v>
      </c>
      <c r="B434" s="5">
        <v>16266034.331205936</v>
      </c>
      <c r="C434" s="5">
        <v>14070109.857213505</v>
      </c>
      <c r="D434" s="5">
        <v>0</v>
      </c>
      <c r="E434" s="5">
        <f t="shared" si="159"/>
        <v>0</v>
      </c>
      <c r="F434" s="5">
        <f t="shared" si="159"/>
        <v>0</v>
      </c>
      <c r="G434" s="9">
        <f t="shared" si="161"/>
        <v>-3.1972211138379114E-3</v>
      </c>
      <c r="H434" s="9">
        <f t="shared" si="161"/>
        <v>-2.1825087515795372E-2</v>
      </c>
      <c r="I434" s="5">
        <f t="shared" si="162"/>
        <v>13026420.407761756</v>
      </c>
      <c r="J434" s="5">
        <f t="shared" si="163"/>
        <v>11265369.673372559</v>
      </c>
      <c r="K434" s="8">
        <f t="shared" ref="K434:L434" si="210">I434/I182-1</f>
        <v>-1.318255657268308E-2</v>
      </c>
      <c r="L434" s="8">
        <f t="shared" si="210"/>
        <v>-8.3211658503885899E-2</v>
      </c>
      <c r="M434" s="8">
        <f t="shared" si="155"/>
        <v>-7.002910193120282E-2</v>
      </c>
    </row>
    <row r="435" spans="1:13" x14ac:dyDescent="0.3">
      <c r="A435" s="1">
        <v>44834</v>
      </c>
      <c r="B435" s="5">
        <v>16435164.342530122</v>
      </c>
      <c r="C435" s="5">
        <v>13829866.180555131</v>
      </c>
      <c r="D435" s="5">
        <v>0</v>
      </c>
      <c r="E435" s="5">
        <f t="shared" si="159"/>
        <v>0</v>
      </c>
      <c r="F435" s="5">
        <f t="shared" si="159"/>
        <v>0</v>
      </c>
      <c r="G435" s="9">
        <f t="shared" si="161"/>
        <v>1.0397740953965284E-2</v>
      </c>
      <c r="H435" s="9">
        <f t="shared" si="161"/>
        <v>-1.7074754859515484E-2</v>
      </c>
      <c r="I435" s="5">
        <f t="shared" si="162"/>
        <v>13161865.75271911</v>
      </c>
      <c r="J435" s="5">
        <f t="shared" si="163"/>
        <v>11073016.247797903</v>
      </c>
      <c r="K435" s="8">
        <f t="shared" ref="K435:L435" si="211">I435/I183-1</f>
        <v>-9.2024591389572308E-5</v>
      </c>
      <c r="L435" s="8">
        <f t="shared" si="211"/>
        <v>-9.6988368797705338E-2</v>
      </c>
      <c r="M435" s="8">
        <f t="shared" si="155"/>
        <v>-9.6896344206315765E-2</v>
      </c>
    </row>
    <row r="436" spans="1:13" x14ac:dyDescent="0.3">
      <c r="A436" s="1">
        <v>44837</v>
      </c>
      <c r="B436" s="5">
        <v>16557806.374383468</v>
      </c>
      <c r="C436" s="5">
        <v>14721077.24803937</v>
      </c>
      <c r="D436" s="5">
        <v>500000</v>
      </c>
      <c r="E436" s="5">
        <f t="shared" si="159"/>
        <v>-500000</v>
      </c>
      <c r="F436" s="5">
        <f t="shared" si="159"/>
        <v>-500000</v>
      </c>
      <c r="G436" s="9">
        <f t="shared" si="161"/>
        <v>-2.296040126414467E-2</v>
      </c>
      <c r="H436" s="9">
        <f t="shared" si="161"/>
        <v>2.8287408018038862E-2</v>
      </c>
      <c r="I436" s="5">
        <f t="shared" si="162"/>
        <v>12859664.033651875</v>
      </c>
      <c r="J436" s="5">
        <f t="shared" si="163"/>
        <v>11386243.176389735</v>
      </c>
      <c r="K436" s="8">
        <f t="shared" ref="K436:L436" si="212">I436/I184-1</f>
        <v>-1.6247888608131533E-2</v>
      </c>
      <c r="L436" s="8">
        <f t="shared" si="212"/>
        <v>-5.6662989365305116E-2</v>
      </c>
      <c r="M436" s="8">
        <f t="shared" si="155"/>
        <v>-4.0415100757173583E-2</v>
      </c>
    </row>
    <row r="437" spans="1:13" x14ac:dyDescent="0.3">
      <c r="A437" s="1">
        <v>44838</v>
      </c>
      <c r="B437" s="5">
        <v>16945292.036392044</v>
      </c>
      <c r="C437" s="5">
        <v>15152154.609926127</v>
      </c>
      <c r="D437" s="5">
        <v>0</v>
      </c>
      <c r="E437" s="5">
        <f t="shared" si="159"/>
        <v>0</v>
      </c>
      <c r="F437" s="5">
        <f t="shared" si="159"/>
        <v>0</v>
      </c>
      <c r="G437" s="9">
        <f t="shared" si="161"/>
        <v>2.340199258568787E-2</v>
      </c>
      <c r="H437" s="9">
        <f t="shared" si="161"/>
        <v>2.9283003860615553E-2</v>
      </c>
      <c r="I437" s="5">
        <f t="shared" si="162"/>
        <v>13160605.796021834</v>
      </c>
      <c r="J437" s="5">
        <f t="shared" si="163"/>
        <v>11719666.579281863</v>
      </c>
      <c r="K437" s="8">
        <f t="shared" ref="K437:L437" si="213">I437/I185-1</f>
        <v>1.2225120942959355E-2</v>
      </c>
      <c r="L437" s="8">
        <f t="shared" si="213"/>
        <v>-3.1569819272298294E-2</v>
      </c>
      <c r="M437" s="8">
        <f t="shared" si="155"/>
        <v>-4.3794940215257649E-2</v>
      </c>
    </row>
    <row r="438" spans="1:13" x14ac:dyDescent="0.3">
      <c r="A438" s="1">
        <v>44840</v>
      </c>
      <c r="B438" s="5">
        <v>17079788.510327019</v>
      </c>
      <c r="C438" s="5">
        <v>15084061.459150862</v>
      </c>
      <c r="D438" s="5">
        <v>0</v>
      </c>
      <c r="E438" s="5">
        <f t="shared" si="159"/>
        <v>0</v>
      </c>
      <c r="F438" s="5">
        <f t="shared" si="159"/>
        <v>0</v>
      </c>
      <c r="G438" s="9">
        <f t="shared" si="161"/>
        <v>7.9370997942158628E-3</v>
      </c>
      <c r="H438" s="9">
        <f t="shared" si="161"/>
        <v>-4.493958287005384E-3</v>
      </c>
      <c r="I438" s="5">
        <f t="shared" si="162"/>
        <v>13265062.837577196</v>
      </c>
      <c r="J438" s="5">
        <f t="shared" si="163"/>
        <v>11666998.88653696</v>
      </c>
      <c r="K438" s="8">
        <f t="shared" ref="K438:L438" si="214">I438/I186-1</f>
        <v>2.091377978113429E-2</v>
      </c>
      <c r="L438" s="8">
        <f t="shared" si="214"/>
        <v>-2.2790135391661526E-2</v>
      </c>
      <c r="M438" s="8">
        <f t="shared" si="155"/>
        <v>-4.3703915172795815E-2</v>
      </c>
    </row>
    <row r="439" spans="1:13" x14ac:dyDescent="0.3">
      <c r="A439" s="1">
        <v>44841</v>
      </c>
      <c r="B439" s="5">
        <v>17051369.954117421</v>
      </c>
      <c r="C439" s="5">
        <v>14708603.272766599</v>
      </c>
      <c r="D439" s="5">
        <v>0</v>
      </c>
      <c r="E439" s="5">
        <f t="shared" si="159"/>
        <v>0</v>
      </c>
      <c r="F439" s="5">
        <f t="shared" si="159"/>
        <v>0</v>
      </c>
      <c r="G439" s="9">
        <f t="shared" si="161"/>
        <v>-1.6638704977181007E-3</v>
      </c>
      <c r="H439" s="9">
        <f t="shared" si="161"/>
        <v>-2.4891053871733404E-2</v>
      </c>
      <c r="I439" s="5">
        <f t="shared" si="162"/>
        <v>13242991.490871374</v>
      </c>
      <c r="J439" s="5">
        <f t="shared" si="163"/>
        <v>11376594.988730714</v>
      </c>
      <c r="K439" s="8">
        <f t="shared" ref="K439:L439" si="215">I439/I187-1</f>
        <v>1.6103258133800979E-2</v>
      </c>
      <c r="L439" s="8">
        <f t="shared" si="215"/>
        <v>-5.7818355293744017E-2</v>
      </c>
      <c r="M439" s="8">
        <f t="shared" si="155"/>
        <v>-7.3921613427544997E-2</v>
      </c>
    </row>
    <row r="440" spans="1:13" x14ac:dyDescent="0.3">
      <c r="A440" s="1">
        <v>44844</v>
      </c>
      <c r="B440" s="5">
        <v>16909735.399163552</v>
      </c>
      <c r="C440" s="5">
        <v>14597224.691935336</v>
      </c>
      <c r="D440" s="5">
        <v>0</v>
      </c>
      <c r="E440" s="5">
        <f t="shared" si="159"/>
        <v>0</v>
      </c>
      <c r="F440" s="5">
        <f t="shared" si="159"/>
        <v>0</v>
      </c>
      <c r="G440" s="9">
        <f t="shared" si="161"/>
        <v>-8.3063446124848062E-3</v>
      </c>
      <c r="H440" s="9">
        <f t="shared" si="161"/>
        <v>-7.5723424424318786E-3</v>
      </c>
      <c r="I440" s="5">
        <f t="shared" si="162"/>
        <v>13132990.639847992</v>
      </c>
      <c r="J440" s="5">
        <f t="shared" si="163"/>
        <v>11290447.51564719</v>
      </c>
      <c r="K440" s="8">
        <f t="shared" ref="K440:L440" si="216">I440/I188-1</f>
        <v>-7.4163286533551753E-3</v>
      </c>
      <c r="L440" s="8">
        <f t="shared" si="216"/>
        <v>-5.6651409914289963E-2</v>
      </c>
      <c r="M440" s="8">
        <f t="shared" si="155"/>
        <v>-4.9235081260934788E-2</v>
      </c>
    </row>
    <row r="441" spans="1:13" x14ac:dyDescent="0.3">
      <c r="A441" s="1">
        <v>44845</v>
      </c>
      <c r="B441" s="5">
        <v>16598759.264248254</v>
      </c>
      <c r="C441" s="5">
        <v>14485845.879701719</v>
      </c>
      <c r="D441" s="5">
        <v>0</v>
      </c>
      <c r="E441" s="5">
        <f t="shared" si="159"/>
        <v>0</v>
      </c>
      <c r="F441" s="5">
        <f t="shared" si="159"/>
        <v>0</v>
      </c>
      <c r="G441" s="9">
        <f t="shared" si="161"/>
        <v>-1.8390360793621885E-2</v>
      </c>
      <c r="H441" s="9">
        <f t="shared" si="161"/>
        <v>-7.630136178910174E-3</v>
      </c>
      <c r="I441" s="5">
        <f t="shared" si="162"/>
        <v>12891470.203681929</v>
      </c>
      <c r="J441" s="5">
        <f t="shared" si="163"/>
        <v>11204299.863581963</v>
      </c>
      <c r="K441" s="8">
        <f t="shared" ref="K441:L441" si="217">I441/I189-1</f>
        <v>-2.9553086197888545E-2</v>
      </c>
      <c r="L441" s="8">
        <f t="shared" si="217"/>
        <v>-7.4326258631725373E-2</v>
      </c>
      <c r="M441" s="8">
        <f t="shared" si="155"/>
        <v>-4.4773172433836828E-2</v>
      </c>
    </row>
    <row r="442" spans="1:13" x14ac:dyDescent="0.3">
      <c r="A442" s="1">
        <v>44846</v>
      </c>
      <c r="B442" s="5">
        <v>16731886.752150498</v>
      </c>
      <c r="C442" s="5">
        <v>14443834.782406954</v>
      </c>
      <c r="D442" s="5">
        <v>0</v>
      </c>
      <c r="E442" s="5">
        <f t="shared" si="159"/>
        <v>0</v>
      </c>
      <c r="F442" s="5">
        <f t="shared" si="159"/>
        <v>0</v>
      </c>
      <c r="G442" s="9">
        <f t="shared" si="161"/>
        <v>8.0203276511747745E-3</v>
      </c>
      <c r="H442" s="9">
        <f t="shared" si="161"/>
        <v>-2.9001480233634691E-3</v>
      </c>
      <c r="I442" s="5">
        <f t="shared" si="162"/>
        <v>12994864.018620815</v>
      </c>
      <c r="J442" s="5">
        <f t="shared" si="163"/>
        <v>11171805.735479424</v>
      </c>
      <c r="K442" s="8">
        <f t="shared" ref="K442:L442" si="218">I442/I190-1</f>
        <v>-1.2357727292353182E-2</v>
      </c>
      <c r="L442" s="8">
        <f t="shared" si="218"/>
        <v>-8.4594024999638306E-2</v>
      </c>
      <c r="M442" s="8">
        <f t="shared" si="155"/>
        <v>-7.2236297707285124E-2</v>
      </c>
    </row>
    <row r="443" spans="1:13" x14ac:dyDescent="0.3">
      <c r="A443" s="1">
        <v>44847</v>
      </c>
      <c r="B443" s="5">
        <v>16568092.269440202</v>
      </c>
      <c r="C443" s="5">
        <v>14826204.95709303</v>
      </c>
      <c r="D443" s="5">
        <v>0</v>
      </c>
      <c r="E443" s="5">
        <f t="shared" si="159"/>
        <v>0</v>
      </c>
      <c r="F443" s="5">
        <f t="shared" si="159"/>
        <v>0</v>
      </c>
      <c r="G443" s="9">
        <f t="shared" si="161"/>
        <v>-9.7893611842218009E-3</v>
      </c>
      <c r="H443" s="9">
        <f t="shared" si="161"/>
        <v>2.6472898675898415E-2</v>
      </c>
      <c r="I443" s="5">
        <f t="shared" si="162"/>
        <v>12867652.601202687</v>
      </c>
      <c r="J443" s="5">
        <f t="shared" si="163"/>
        <v>11467555.816741591</v>
      </c>
      <c r="K443" s="8">
        <f t="shared" ref="K443:L443" si="219">I443/I191-1</f>
        <v>-3.2213064443086803E-2</v>
      </c>
      <c r="L443" s="8">
        <f t="shared" si="219"/>
        <v>-6.8680534990545272E-2</v>
      </c>
      <c r="M443" s="8">
        <f t="shared" si="155"/>
        <v>-3.6467470547458469E-2</v>
      </c>
    </row>
    <row r="444" spans="1:13" x14ac:dyDescent="0.3">
      <c r="A444" s="1">
        <v>44848</v>
      </c>
      <c r="B444" s="5">
        <v>16508050.420487005</v>
      </c>
      <c r="C444" s="5">
        <v>14475930.057447916</v>
      </c>
      <c r="D444" s="5">
        <v>0</v>
      </c>
      <c r="E444" s="5">
        <f t="shared" si="159"/>
        <v>0</v>
      </c>
      <c r="F444" s="5">
        <f t="shared" si="159"/>
        <v>0</v>
      </c>
      <c r="G444" s="9">
        <f t="shared" si="161"/>
        <v>-3.6239446266208564E-3</v>
      </c>
      <c r="H444" s="9">
        <f t="shared" si="161"/>
        <v>-2.3625391707372767E-2</v>
      </c>
      <c r="I444" s="5">
        <f t="shared" si="162"/>
        <v>12821020.940701336</v>
      </c>
      <c r="J444" s="5">
        <f t="shared" si="163"/>
        <v>11196630.318644911</v>
      </c>
      <c r="K444" s="8">
        <f t="shared" ref="K444:L444" si="220">I444/I192-1</f>
        <v>-3.3484204969466136E-2</v>
      </c>
      <c r="L444" s="8">
        <f t="shared" si="220"/>
        <v>-9.1381492859750391E-2</v>
      </c>
      <c r="M444" s="8">
        <f t="shared" si="155"/>
        <v>-5.7897287890284255E-2</v>
      </c>
    </row>
    <row r="445" spans="1:13" x14ac:dyDescent="0.3">
      <c r="A445" s="1">
        <v>44851</v>
      </c>
      <c r="B445" s="5">
        <v>16615204.173389871</v>
      </c>
      <c r="C445" s="5">
        <v>14837605.688249839</v>
      </c>
      <c r="D445" s="5">
        <v>0</v>
      </c>
      <c r="E445" s="5">
        <f t="shared" si="159"/>
        <v>0</v>
      </c>
      <c r="F445" s="5">
        <f t="shared" si="159"/>
        <v>0</v>
      </c>
      <c r="G445" s="9">
        <f t="shared" si="161"/>
        <v>6.4909998560389592E-3</v>
      </c>
      <c r="H445" s="9">
        <f t="shared" si="161"/>
        <v>2.498462132426793E-2</v>
      </c>
      <c r="I445" s="5">
        <f t="shared" si="162"/>
        <v>12904242.185781701</v>
      </c>
      <c r="J445" s="5">
        <f t="shared" si="163"/>
        <v>11476373.887264071</v>
      </c>
      <c r="K445" s="8">
        <f t="shared" ref="K445:L445" si="221">I445/I193-1</f>
        <v>-3.1561893879523351E-2</v>
      </c>
      <c r="L445" s="8">
        <f t="shared" si="221"/>
        <v>-6.6881760901987053E-2</v>
      </c>
      <c r="M445" s="8">
        <f t="shared" si="155"/>
        <v>-3.5319867022463702E-2</v>
      </c>
    </row>
    <row r="446" spans="1:13" x14ac:dyDescent="0.3">
      <c r="A446" s="1">
        <v>44852</v>
      </c>
      <c r="B446" s="5">
        <v>16786651.885709345</v>
      </c>
      <c r="C446" s="5">
        <v>15031224.202743262</v>
      </c>
      <c r="D446" s="5">
        <v>0</v>
      </c>
      <c r="E446" s="5">
        <f t="shared" si="159"/>
        <v>0</v>
      </c>
      <c r="F446" s="5">
        <f t="shared" si="159"/>
        <v>0</v>
      </c>
      <c r="G446" s="9">
        <f t="shared" si="161"/>
        <v>1.0318724376198629E-2</v>
      </c>
      <c r="H446" s="9">
        <f t="shared" si="161"/>
        <v>1.3049175086702336E-2</v>
      </c>
      <c r="I446" s="5">
        <f t="shared" si="162"/>
        <v>13037397.504180497</v>
      </c>
      <c r="J446" s="5">
        <f t="shared" si="163"/>
        <v>11626131.099479439</v>
      </c>
      <c r="K446" s="8">
        <f t="shared" ref="K446:L446" si="222">I446/I194-1</f>
        <v>-2.889039999736609E-2</v>
      </c>
      <c r="L446" s="8">
        <f t="shared" si="222"/>
        <v>-5.287658089824665E-2</v>
      </c>
      <c r="M446" s="8">
        <f t="shared" si="155"/>
        <v>-2.398618090088056E-2</v>
      </c>
    </row>
    <row r="447" spans="1:13" x14ac:dyDescent="0.3">
      <c r="A447" s="1">
        <v>44853</v>
      </c>
      <c r="B447" s="5">
        <v>16766225.247961093</v>
      </c>
      <c r="C447" s="5">
        <v>15050643.256854409</v>
      </c>
      <c r="D447" s="5">
        <v>0</v>
      </c>
      <c r="E447" s="5">
        <f t="shared" si="159"/>
        <v>0</v>
      </c>
      <c r="F447" s="5">
        <f t="shared" si="159"/>
        <v>0</v>
      </c>
      <c r="G447" s="9">
        <f t="shared" si="161"/>
        <v>-1.2168381096674397E-3</v>
      </c>
      <c r="H447" s="9">
        <f t="shared" si="161"/>
        <v>1.2919143410556888E-3</v>
      </c>
      <c r="I447" s="5">
        <f t="shared" si="162"/>
        <v>13021533.102046527</v>
      </c>
      <c r="J447" s="5">
        <f t="shared" si="163"/>
        <v>11641151.064977849</v>
      </c>
      <c r="K447" s="8">
        <f t="shared" ref="K447:L447" si="223">I447/I195-1</f>
        <v>-3.9382271618113029E-2</v>
      </c>
      <c r="L447" s="8">
        <f t="shared" si="223"/>
        <v>-5.2898715355148007E-2</v>
      </c>
      <c r="M447" s="8">
        <f t="shared" ref="M447:M510" si="224">L447-K447</f>
        <v>-1.3516443737034978E-2</v>
      </c>
    </row>
    <row r="448" spans="1:13" x14ac:dyDescent="0.3">
      <c r="A448" s="1">
        <v>44854</v>
      </c>
      <c r="B448" s="5">
        <v>16928673.513637125</v>
      </c>
      <c r="C448" s="5">
        <v>14880466.032182287</v>
      </c>
      <c r="D448" s="5">
        <v>0</v>
      </c>
      <c r="E448" s="5">
        <f t="shared" si="159"/>
        <v>0</v>
      </c>
      <c r="F448" s="5">
        <f t="shared" si="159"/>
        <v>0</v>
      </c>
      <c r="G448" s="9">
        <f t="shared" si="161"/>
        <v>9.6890184447324668E-3</v>
      </c>
      <c r="H448" s="9">
        <f t="shared" si="161"/>
        <v>-1.130697351388088E-2</v>
      </c>
      <c r="I448" s="5">
        <f t="shared" si="162"/>
        <v>13147698.97645095</v>
      </c>
      <c r="J448" s="5">
        <f t="shared" si="163"/>
        <v>11509524.878215058</v>
      </c>
      <c r="K448" s="8">
        <f t="shared" ref="K448:L448" si="225">I448/I196-1</f>
        <v>-3.8341691294317748E-2</v>
      </c>
      <c r="L448" s="8">
        <f t="shared" si="225"/>
        <v>-7.7582385381868679E-2</v>
      </c>
      <c r="M448" s="8">
        <f t="shared" si="224"/>
        <v>-3.9240694087550931E-2</v>
      </c>
    </row>
    <row r="449" spans="1:13" x14ac:dyDescent="0.3">
      <c r="A449" s="1">
        <v>44855</v>
      </c>
      <c r="B449" s="5">
        <v>16703869.499538852</v>
      </c>
      <c r="C449" s="5">
        <v>15219049.79071684</v>
      </c>
      <c r="D449" s="5">
        <v>0</v>
      </c>
      <c r="E449" s="5">
        <f t="shared" si="159"/>
        <v>0</v>
      </c>
      <c r="F449" s="5">
        <f t="shared" si="159"/>
        <v>0</v>
      </c>
      <c r="G449" s="9">
        <f t="shared" si="161"/>
        <v>-1.3279481934433846E-2</v>
      </c>
      <c r="H449" s="9">
        <f t="shared" si="161"/>
        <v>2.275357222027119E-2</v>
      </c>
      <c r="I449" s="5">
        <f t="shared" si="162"/>
        <v>12973104.345413795</v>
      </c>
      <c r="J449" s="5">
        <f t="shared" si="163"/>
        <v>11771407.683752531</v>
      </c>
      <c r="K449" s="8">
        <f t="shared" ref="K449:L449" si="226">I449/I197-1</f>
        <v>-5.3462015906196036E-2</v>
      </c>
      <c r="L449" s="8">
        <f t="shared" si="226"/>
        <v>-6.8464672342325561E-2</v>
      </c>
      <c r="M449" s="8">
        <f t="shared" si="224"/>
        <v>-1.5002656436129524E-2</v>
      </c>
    </row>
    <row r="450" spans="1:13" x14ac:dyDescent="0.3">
      <c r="A450" s="1">
        <v>44858</v>
      </c>
      <c r="B450" s="5">
        <v>16757627.104915602</v>
      </c>
      <c r="C450" s="5">
        <v>15418528.569814995</v>
      </c>
      <c r="D450" s="5">
        <v>0</v>
      </c>
      <c r="E450" s="5">
        <f t="shared" si="159"/>
        <v>0</v>
      </c>
      <c r="F450" s="5">
        <f t="shared" si="159"/>
        <v>0</v>
      </c>
      <c r="G450" s="9">
        <f t="shared" si="161"/>
        <v>3.2182725911642507E-3</v>
      </c>
      <c r="H450" s="9">
        <f t="shared" si="161"/>
        <v>1.3107176981563606E-2</v>
      </c>
      <c r="I450" s="5">
        <f t="shared" si="162"/>
        <v>13014855.331550954</v>
      </c>
      <c r="J450" s="5">
        <f t="shared" si="163"/>
        <v>11925697.607585613</v>
      </c>
      <c r="K450" s="8">
        <f t="shared" ref="K450:L450" si="227">I450/I198-1</f>
        <v>-3.7004162330395385E-2</v>
      </c>
      <c r="L450" s="8">
        <f t="shared" si="227"/>
        <v>-5.9949710256308353E-2</v>
      </c>
      <c r="M450" s="8">
        <f t="shared" si="224"/>
        <v>-2.2945547925912968E-2</v>
      </c>
    </row>
    <row r="451" spans="1:13" x14ac:dyDescent="0.3">
      <c r="A451" s="1">
        <v>44859</v>
      </c>
      <c r="B451" s="5">
        <v>16758742.785840403</v>
      </c>
      <c r="C451" s="5">
        <v>15623945.596111048</v>
      </c>
      <c r="D451" s="5">
        <v>0</v>
      </c>
      <c r="E451" s="5">
        <f t="shared" ref="E451:F514" si="228">$D451*-1</f>
        <v>0</v>
      </c>
      <c r="F451" s="5">
        <f t="shared" si="228"/>
        <v>0</v>
      </c>
      <c r="G451" s="9">
        <f t="shared" si="161"/>
        <v>6.6577500371423071E-5</v>
      </c>
      <c r="H451" s="9">
        <f t="shared" si="161"/>
        <v>1.3322738636564857E-2</v>
      </c>
      <c r="I451" s="5">
        <f t="shared" si="162"/>
        <v>13015721.828086624</v>
      </c>
      <c r="J451" s="5">
        <f t="shared" si="163"/>
        <v>12084580.559870183</v>
      </c>
      <c r="K451" s="8">
        <f t="shared" ref="K451:L451" si="229">I451/I199-1</f>
        <v>-1.9984551476023849E-2</v>
      </c>
      <c r="L451" s="8">
        <f t="shared" si="229"/>
        <v>-4.7996061956450675E-2</v>
      </c>
      <c r="M451" s="8">
        <f t="shared" si="224"/>
        <v>-2.8011510480426827E-2</v>
      </c>
    </row>
    <row r="452" spans="1:13" x14ac:dyDescent="0.3">
      <c r="A452" s="1">
        <v>44861</v>
      </c>
      <c r="B452" s="5">
        <v>16952617.96164827</v>
      </c>
      <c r="C452" s="5">
        <v>15399714.632858491</v>
      </c>
      <c r="D452" s="5">
        <v>0</v>
      </c>
      <c r="E452" s="5">
        <f t="shared" si="228"/>
        <v>0</v>
      </c>
      <c r="F452" s="5">
        <f t="shared" si="228"/>
        <v>0</v>
      </c>
      <c r="G452" s="9">
        <f t="shared" ref="G452:H515" si="230">((B452-$D452)/B451-1)</f>
        <v>1.1568599046204886E-2</v>
      </c>
      <c r="H452" s="9">
        <f t="shared" si="230"/>
        <v>-1.4351750130797369E-2</v>
      </c>
      <c r="I452" s="5">
        <f t="shared" ref="I452:I515" si="231">I451*(1+G452)</f>
        <v>13166295.495212695</v>
      </c>
      <c r="J452" s="5">
        <f t="shared" ref="J452:J515" si="232">J451*(1+H452)</f>
        <v>11911145.679239435</v>
      </c>
      <c r="K452" s="8">
        <f t="shared" ref="K452:L452" si="233">I452/I200-1</f>
        <v>-1.2624257723331533E-3</v>
      </c>
      <c r="L452" s="8">
        <f t="shared" si="233"/>
        <v>-6.4155010132160628E-2</v>
      </c>
      <c r="M452" s="8">
        <f t="shared" si="224"/>
        <v>-6.2892584359827475E-2</v>
      </c>
    </row>
    <row r="453" spans="1:13" x14ac:dyDescent="0.3">
      <c r="A453" s="1">
        <v>44862</v>
      </c>
      <c r="B453" s="5">
        <v>16870333.647319209</v>
      </c>
      <c r="C453" s="5">
        <v>15774732.229161508</v>
      </c>
      <c r="D453" s="5">
        <v>0</v>
      </c>
      <c r="E453" s="5">
        <f t="shared" si="228"/>
        <v>0</v>
      </c>
      <c r="F453" s="5">
        <f t="shared" si="228"/>
        <v>0</v>
      </c>
      <c r="G453" s="9">
        <f t="shared" si="230"/>
        <v>-4.8537821423931815E-3</v>
      </c>
      <c r="H453" s="9">
        <f t="shared" si="230"/>
        <v>2.4352243222925729E-2</v>
      </c>
      <c r="I453" s="5">
        <f t="shared" si="231"/>
        <v>13102389.16525656</v>
      </c>
      <c r="J453" s="5">
        <f t="shared" si="232"/>
        <v>12201208.795883974</v>
      </c>
      <c r="K453" s="8">
        <f t="shared" ref="K453:L453" si="234">I453/I201-1</f>
        <v>7.9203917226211562E-3</v>
      </c>
      <c r="L453" s="8">
        <f t="shared" si="234"/>
        <v>-4.1247842865007822E-2</v>
      </c>
      <c r="M453" s="8">
        <f t="shared" si="224"/>
        <v>-4.9168234587628978E-2</v>
      </c>
    </row>
    <row r="454" spans="1:13" x14ac:dyDescent="0.3">
      <c r="A454" s="1">
        <v>44865</v>
      </c>
      <c r="B454" s="5">
        <v>17047664.299617171</v>
      </c>
      <c r="C454" s="5">
        <v>15733830.011945162</v>
      </c>
      <c r="D454" s="5">
        <v>0</v>
      </c>
      <c r="E454" s="5">
        <f t="shared" si="228"/>
        <v>0</v>
      </c>
      <c r="F454" s="5">
        <f t="shared" si="228"/>
        <v>0</v>
      </c>
      <c r="G454" s="9">
        <f t="shared" si="230"/>
        <v>1.0511389757021261E-2</v>
      </c>
      <c r="H454" s="9">
        <f t="shared" si="230"/>
        <v>-2.5928945494703148E-3</v>
      </c>
      <c r="I454" s="5">
        <f t="shared" si="231"/>
        <v>13240113.484520745</v>
      </c>
      <c r="J454" s="5">
        <f t="shared" si="232"/>
        <v>12169572.348100178</v>
      </c>
      <c r="K454" s="8">
        <f t="shared" ref="K454:L454" si="235">I454/I202-1</f>
        <v>2.7452158260176107E-2</v>
      </c>
      <c r="L454" s="8">
        <f t="shared" si="235"/>
        <v>-5.053922397912114E-2</v>
      </c>
      <c r="M454" s="8">
        <f t="shared" si="224"/>
        <v>-7.7991382239297247E-2</v>
      </c>
    </row>
    <row r="455" spans="1:13" x14ac:dyDescent="0.3">
      <c r="A455" s="1">
        <v>44866</v>
      </c>
      <c r="B455" s="5">
        <v>17221721.908385739</v>
      </c>
      <c r="C455" s="5">
        <v>15648595.269022807</v>
      </c>
      <c r="D455" s="5">
        <v>0</v>
      </c>
      <c r="E455" s="5">
        <f t="shared" si="228"/>
        <v>0</v>
      </c>
      <c r="F455" s="5">
        <f t="shared" si="228"/>
        <v>0</v>
      </c>
      <c r="G455" s="9">
        <f t="shared" si="230"/>
        <v>1.0210056093870712E-2</v>
      </c>
      <c r="H455" s="9">
        <f t="shared" si="230"/>
        <v>-5.417291457810558E-3</v>
      </c>
      <c r="I455" s="5">
        <f t="shared" si="231"/>
        <v>13375295.785886915</v>
      </c>
      <c r="J455" s="5">
        <f t="shared" si="232"/>
        <v>12103646.227773607</v>
      </c>
      <c r="K455" s="8">
        <f t="shared" ref="K455:L455" si="236">I455/I203-1</f>
        <v>2.582926300410171E-2</v>
      </c>
      <c r="L455" s="8">
        <f t="shared" si="236"/>
        <v>-5.5513860081598088E-2</v>
      </c>
      <c r="M455" s="8">
        <f t="shared" si="224"/>
        <v>-8.1343123085699798E-2</v>
      </c>
    </row>
    <row r="456" spans="1:13" x14ac:dyDescent="0.3">
      <c r="A456" s="1">
        <v>44867</v>
      </c>
      <c r="B456" s="5">
        <v>17185476.508953668</v>
      </c>
      <c r="C456" s="5">
        <v>15275898.638326321</v>
      </c>
      <c r="D456" s="5">
        <v>0</v>
      </c>
      <c r="E456" s="5">
        <f t="shared" si="228"/>
        <v>0</v>
      </c>
      <c r="F456" s="5">
        <f t="shared" si="228"/>
        <v>0</v>
      </c>
      <c r="G456" s="9">
        <f t="shared" si="230"/>
        <v>-2.104632720519195E-3</v>
      </c>
      <c r="H456" s="9">
        <f t="shared" si="230"/>
        <v>-2.3816618954562552E-2</v>
      </c>
      <c r="I456" s="5">
        <f t="shared" si="231"/>
        <v>13347145.700729316</v>
      </c>
      <c r="J456" s="5">
        <f t="shared" si="232"/>
        <v>11815378.297605895</v>
      </c>
      <c r="K456" s="8">
        <f t="shared" ref="K456:L456" si="237">I456/I204-1</f>
        <v>1.8347519113193211E-2</v>
      </c>
      <c r="L456" s="8">
        <f t="shared" si="237"/>
        <v>-7.4702642278326681E-2</v>
      </c>
      <c r="M456" s="8">
        <f t="shared" si="224"/>
        <v>-9.3050161391519892E-2</v>
      </c>
    </row>
    <row r="457" spans="1:13" x14ac:dyDescent="0.3">
      <c r="A457" s="1">
        <v>44868</v>
      </c>
      <c r="B457" s="5">
        <v>17207750.281702422</v>
      </c>
      <c r="C457" s="5">
        <v>15123452.387595894</v>
      </c>
      <c r="D457" s="5">
        <v>0</v>
      </c>
      <c r="E457" s="5">
        <f t="shared" si="228"/>
        <v>0</v>
      </c>
      <c r="F457" s="5">
        <f t="shared" si="228"/>
        <v>0</v>
      </c>
      <c r="G457" s="9">
        <f t="shared" si="230"/>
        <v>1.2960811844320297E-3</v>
      </c>
      <c r="H457" s="9">
        <f t="shared" si="230"/>
        <v>-9.9795275119166638E-3</v>
      </c>
      <c r="I457" s="5">
        <f t="shared" si="231"/>
        <v>13364444.685137903</v>
      </c>
      <c r="J457" s="5">
        <f t="shared" si="232"/>
        <v>11697466.404821234</v>
      </c>
      <c r="K457" s="8">
        <f t="shared" ref="K457:L457" si="238">I457/I205-1</f>
        <v>4.1745976089575976E-2</v>
      </c>
      <c r="L457" s="8">
        <f t="shared" si="238"/>
        <v>-8.9986111479518405E-2</v>
      </c>
      <c r="M457" s="8">
        <f t="shared" si="224"/>
        <v>-0.13173208756909438</v>
      </c>
    </row>
    <row r="458" spans="1:13" x14ac:dyDescent="0.3">
      <c r="A458" s="1">
        <v>44869</v>
      </c>
      <c r="B458" s="5">
        <v>17239601.264430672</v>
      </c>
      <c r="C458" s="5">
        <v>15197392.844444092</v>
      </c>
      <c r="D458" s="5">
        <v>0</v>
      </c>
      <c r="E458" s="5">
        <f t="shared" si="228"/>
        <v>0</v>
      </c>
      <c r="F458" s="5">
        <f t="shared" si="228"/>
        <v>0</v>
      </c>
      <c r="G458" s="9">
        <f t="shared" si="230"/>
        <v>1.8509672796751531E-3</v>
      </c>
      <c r="H458" s="9">
        <f t="shared" si="230"/>
        <v>4.8891255087259999E-3</v>
      </c>
      <c r="I458" s="5">
        <f t="shared" si="231"/>
        <v>13389181.834961122</v>
      </c>
      <c r="J458" s="5">
        <f t="shared" si="232"/>
        <v>11754656.78620851</v>
      </c>
      <c r="K458" s="8">
        <f t="shared" ref="K458:L458" si="239">I458/I206-1</f>
        <v>3.7527789306398329E-2</v>
      </c>
      <c r="L458" s="8">
        <f t="shared" si="239"/>
        <v>-9.0215750201039335E-2</v>
      </c>
      <c r="M458" s="8">
        <f t="shared" si="224"/>
        <v>-0.12774353950743766</v>
      </c>
    </row>
    <row r="459" spans="1:13" x14ac:dyDescent="0.3">
      <c r="A459" s="1">
        <v>44872</v>
      </c>
      <c r="B459" s="5">
        <v>17314488.500383291</v>
      </c>
      <c r="C459" s="5">
        <v>15328855.298348377</v>
      </c>
      <c r="D459" s="5">
        <v>0</v>
      </c>
      <c r="E459" s="5">
        <f t="shared" si="228"/>
        <v>0</v>
      </c>
      <c r="F459" s="5">
        <f t="shared" si="228"/>
        <v>0</v>
      </c>
      <c r="G459" s="9">
        <f t="shared" si="230"/>
        <v>4.3439076579532276E-3</v>
      </c>
      <c r="H459" s="9">
        <f t="shared" si="230"/>
        <v>8.6503293854343077E-3</v>
      </c>
      <c r="I459" s="5">
        <f t="shared" si="231"/>
        <v>13447343.204467738</v>
      </c>
      <c r="J459" s="5">
        <f t="shared" si="232"/>
        <v>11856338.439221945</v>
      </c>
      <c r="K459" s="8">
        <f t="shared" ref="K459:L459" si="240">I459/I207-1</f>
        <v>2.9014213297396507E-2</v>
      </c>
      <c r="L459" s="8">
        <f t="shared" si="240"/>
        <v>-8.1923620154116694E-2</v>
      </c>
      <c r="M459" s="8">
        <f t="shared" si="224"/>
        <v>-0.1109378334515132</v>
      </c>
    </row>
    <row r="460" spans="1:13" x14ac:dyDescent="0.3">
      <c r="A460" s="1">
        <v>44874</v>
      </c>
      <c r="B460" s="5">
        <v>17280557.000420265</v>
      </c>
      <c r="C460" s="5">
        <v>14968805.037678087</v>
      </c>
      <c r="D460" s="5">
        <v>0</v>
      </c>
      <c r="E460" s="5">
        <f t="shared" si="228"/>
        <v>0</v>
      </c>
      <c r="F460" s="5">
        <f t="shared" si="228"/>
        <v>0</v>
      </c>
      <c r="G460" s="9">
        <f t="shared" si="230"/>
        <v>-1.9597171445333572E-3</v>
      </c>
      <c r="H460" s="9">
        <f t="shared" si="230"/>
        <v>-2.3488398426533719E-2</v>
      </c>
      <c r="I460" s="5">
        <f t="shared" si="231"/>
        <v>13420990.215441519</v>
      </c>
      <c r="J460" s="5">
        <f t="shared" si="232"/>
        <v>11577852.038081672</v>
      </c>
      <c r="K460" s="8">
        <f t="shared" ref="K460:L460" si="241">I460/I208-1</f>
        <v>2.6544789873612196E-2</v>
      </c>
      <c r="L460" s="8">
        <f t="shared" si="241"/>
        <v>-0.10438255654524675</v>
      </c>
      <c r="M460" s="8">
        <f t="shared" si="224"/>
        <v>-0.13092734641885895</v>
      </c>
    </row>
    <row r="461" spans="1:13" x14ac:dyDescent="0.3">
      <c r="A461" s="1">
        <v>44875</v>
      </c>
      <c r="B461" s="5">
        <v>17111918.413286459</v>
      </c>
      <c r="C461" s="5">
        <v>15696690.628400585</v>
      </c>
      <c r="D461" s="5">
        <v>0</v>
      </c>
      <c r="E461" s="5">
        <f t="shared" si="228"/>
        <v>0</v>
      </c>
      <c r="F461" s="5">
        <f t="shared" si="228"/>
        <v>0</v>
      </c>
      <c r="G461" s="9">
        <f t="shared" si="230"/>
        <v>-9.7588629307322483E-3</v>
      </c>
      <c r="H461" s="9">
        <f t="shared" si="230"/>
        <v>4.8626833530821756E-2</v>
      </c>
      <c r="I461" s="5">
        <f t="shared" si="231"/>
        <v>13290016.611534327</v>
      </c>
      <c r="J461" s="5">
        <f t="shared" si="232"/>
        <v>12140846.321781956</v>
      </c>
      <c r="K461" s="8">
        <f t="shared" ref="K461:L461" si="242">I461/I209-1</f>
        <v>1.0768449421624249E-2</v>
      </c>
      <c r="L461" s="8">
        <f t="shared" si="242"/>
        <v>-6.5356800921162028E-2</v>
      </c>
      <c r="M461" s="8">
        <f t="shared" si="224"/>
        <v>-7.6125250342786277E-2</v>
      </c>
    </row>
    <row r="462" spans="1:13" x14ac:dyDescent="0.3">
      <c r="A462" s="1">
        <v>44876</v>
      </c>
      <c r="B462" s="5">
        <v>17276293.505457625</v>
      </c>
      <c r="C462" s="5">
        <v>15725502.535446417</v>
      </c>
      <c r="D462" s="5">
        <v>0</v>
      </c>
      <c r="E462" s="5">
        <f t="shared" si="228"/>
        <v>0</v>
      </c>
      <c r="F462" s="5">
        <f t="shared" si="228"/>
        <v>0</v>
      </c>
      <c r="G462" s="9">
        <f t="shared" si="230"/>
        <v>9.6058833499075291E-3</v>
      </c>
      <c r="H462" s="9">
        <f t="shared" si="230"/>
        <v>1.8355402248739772E-3</v>
      </c>
      <c r="I462" s="5">
        <f t="shared" si="231"/>
        <v>13417678.960823059</v>
      </c>
      <c r="J462" s="5">
        <f t="shared" si="232"/>
        <v>12163131.333569599</v>
      </c>
      <c r="K462" s="8">
        <f t="shared" ref="K462:L462" si="243">I462/I210-1</f>
        <v>1.5106413649469186E-2</v>
      </c>
      <c r="L462" s="8">
        <f t="shared" si="243"/>
        <v>-6.7912521369328349E-2</v>
      </c>
      <c r="M462" s="8">
        <f t="shared" si="224"/>
        <v>-8.3018935018797535E-2</v>
      </c>
    </row>
    <row r="463" spans="1:13" x14ac:dyDescent="0.3">
      <c r="A463" s="1">
        <v>44879</v>
      </c>
      <c r="B463" s="5">
        <v>17368641.71710838</v>
      </c>
      <c r="C463" s="5">
        <v>15754314.442492248</v>
      </c>
      <c r="D463" s="5">
        <v>0</v>
      </c>
      <c r="E463" s="5">
        <f t="shared" si="228"/>
        <v>0</v>
      </c>
      <c r="F463" s="5">
        <f t="shared" si="228"/>
        <v>0</v>
      </c>
      <c r="G463" s="9">
        <f t="shared" si="230"/>
        <v>5.3453717732674377E-3</v>
      </c>
      <c r="H463" s="9">
        <f t="shared" si="230"/>
        <v>1.8321771899427741E-3</v>
      </c>
      <c r="I463" s="5">
        <f t="shared" si="231"/>
        <v>13489401.443203008</v>
      </c>
      <c r="J463" s="5">
        <f t="shared" si="232"/>
        <v>12185416.345357243</v>
      </c>
      <c r="K463" s="8">
        <f t="shared" ref="K463:L463" si="244">I463/I211-1</f>
        <v>7.2860628916857628E-3</v>
      </c>
      <c r="L463" s="8">
        <f t="shared" si="244"/>
        <v>-6.2810112804459806E-2</v>
      </c>
      <c r="M463" s="8">
        <f t="shared" si="224"/>
        <v>-7.0096175696145568E-2</v>
      </c>
    </row>
    <row r="464" spans="1:13" x14ac:dyDescent="0.3">
      <c r="A464" s="1">
        <v>44880</v>
      </c>
      <c r="B464" s="5">
        <v>17397723.42039828</v>
      </c>
      <c r="C464" s="5">
        <v>15884926.261344725</v>
      </c>
      <c r="D464" s="5">
        <v>0</v>
      </c>
      <c r="E464" s="5">
        <f t="shared" si="228"/>
        <v>0</v>
      </c>
      <c r="F464" s="5">
        <f t="shared" si="228"/>
        <v>0</v>
      </c>
      <c r="G464" s="9">
        <f t="shared" si="230"/>
        <v>1.6743798256402265E-3</v>
      </c>
      <c r="H464" s="9">
        <f t="shared" si="230"/>
        <v>8.2905428433110995E-3</v>
      </c>
      <c r="I464" s="5">
        <f t="shared" si="231"/>
        <v>13511987.824839469</v>
      </c>
      <c r="J464" s="5">
        <f t="shared" si="232"/>
        <v>12286440.061632011</v>
      </c>
      <c r="K464" s="8">
        <f t="shared" ref="K464:L464" si="245">I464/I212-1</f>
        <v>4.7624824082037609E-3</v>
      </c>
      <c r="L464" s="8">
        <f t="shared" si="245"/>
        <v>-5.4221442363841188E-2</v>
      </c>
      <c r="M464" s="8">
        <f t="shared" si="224"/>
        <v>-5.8983924772044949E-2</v>
      </c>
    </row>
    <row r="465" spans="1:13" x14ac:dyDescent="0.3">
      <c r="A465" s="1">
        <v>44881</v>
      </c>
      <c r="B465" s="5">
        <v>17270254.028614681</v>
      </c>
      <c r="C465" s="5">
        <v>15858704.672245011</v>
      </c>
      <c r="D465" s="5">
        <v>0</v>
      </c>
      <c r="E465" s="5">
        <f t="shared" si="228"/>
        <v>0</v>
      </c>
      <c r="F465" s="5">
        <f t="shared" si="228"/>
        <v>0</v>
      </c>
      <c r="G465" s="9">
        <f t="shared" si="230"/>
        <v>-7.3267857353189747E-3</v>
      </c>
      <c r="H465" s="9">
        <f t="shared" si="230"/>
        <v>-1.6507214870442599E-3</v>
      </c>
      <c r="I465" s="5">
        <f t="shared" si="231"/>
        <v>13412988.385188632</v>
      </c>
      <c r="J465" s="5">
        <f t="shared" si="232"/>
        <v>12266158.571022993</v>
      </c>
      <c r="K465" s="8">
        <f t="shared" ref="K465:L465" si="246">I465/I213-1</f>
        <v>-4.3357744215898331E-3</v>
      </c>
      <c r="L465" s="8">
        <f t="shared" si="246"/>
        <v>-5.0215003214617249E-2</v>
      </c>
      <c r="M465" s="8">
        <f t="shared" si="224"/>
        <v>-4.5879228793027416E-2</v>
      </c>
    </row>
    <row r="466" spans="1:13" x14ac:dyDescent="0.3">
      <c r="A466" s="1">
        <v>44882</v>
      </c>
      <c r="B466" s="5">
        <v>17140260.124126237</v>
      </c>
      <c r="C466" s="5">
        <v>15857640.915625542</v>
      </c>
      <c r="D466" s="5">
        <v>0</v>
      </c>
      <c r="E466" s="5">
        <f t="shared" si="228"/>
        <v>0</v>
      </c>
      <c r="F466" s="5">
        <f t="shared" si="228"/>
        <v>0</v>
      </c>
      <c r="G466" s="9">
        <f t="shared" si="230"/>
        <v>-7.5270406719588623E-3</v>
      </c>
      <c r="H466" s="9">
        <f t="shared" si="230"/>
        <v>-6.7077144158544932E-5</v>
      </c>
      <c r="I466" s="5">
        <f t="shared" si="231"/>
        <v>13312028.276080806</v>
      </c>
      <c r="J466" s="5">
        <f t="shared" si="232"/>
        <v>12265335.792136254</v>
      </c>
      <c r="K466" s="8">
        <f t="shared" ref="K466:L466" si="247">I466/I214-1</f>
        <v>-7.6856673442682322E-3</v>
      </c>
      <c r="L466" s="8">
        <f t="shared" si="247"/>
        <v>-5.4897022381786953E-2</v>
      </c>
      <c r="M466" s="8">
        <f t="shared" si="224"/>
        <v>-4.7211355037518721E-2</v>
      </c>
    </row>
    <row r="467" spans="1:13" x14ac:dyDescent="0.3">
      <c r="A467" s="1">
        <v>44883</v>
      </c>
      <c r="B467" s="5">
        <v>17046710.847806431</v>
      </c>
      <c r="C467" s="5">
        <v>15947228.799623685</v>
      </c>
      <c r="D467" s="5">
        <v>0</v>
      </c>
      <c r="E467" s="5">
        <f t="shared" si="228"/>
        <v>0</v>
      </c>
      <c r="F467" s="5">
        <f t="shared" si="228"/>
        <v>0</v>
      </c>
      <c r="G467" s="9">
        <f t="shared" si="230"/>
        <v>-5.4578679461303459E-3</v>
      </c>
      <c r="H467" s="9">
        <f t="shared" si="230"/>
        <v>5.6495089323069791E-3</v>
      </c>
      <c r="I467" s="5">
        <f t="shared" si="231"/>
        <v>13239372.983654803</v>
      </c>
      <c r="J467" s="5">
        <f t="shared" si="232"/>
        <v>12334628.916251672</v>
      </c>
      <c r="K467" s="8">
        <f t="shared" ref="K467:L467" si="248">I467/I215-1</f>
        <v>-2.4979122204695781E-2</v>
      </c>
      <c r="L467" s="8">
        <f t="shared" si="248"/>
        <v>-5.4157105097274783E-2</v>
      </c>
      <c r="M467" s="8">
        <f t="shared" si="224"/>
        <v>-2.9177982892579002E-2</v>
      </c>
    </row>
    <row r="468" spans="1:13" x14ac:dyDescent="0.3">
      <c r="A468" s="1">
        <v>44886</v>
      </c>
      <c r="B468" s="5">
        <v>16953010.726871792</v>
      </c>
      <c r="C468" s="5">
        <v>15871557.684572967</v>
      </c>
      <c r="D468" s="5">
        <v>0</v>
      </c>
      <c r="E468" s="5">
        <f t="shared" si="228"/>
        <v>0</v>
      </c>
      <c r="F468" s="5">
        <f t="shared" si="228"/>
        <v>0</v>
      </c>
      <c r="G468" s="9">
        <f t="shared" si="230"/>
        <v>-5.4966686401380915E-3</v>
      </c>
      <c r="H468" s="9">
        <f t="shared" si="230"/>
        <v>-4.745094962988472E-3</v>
      </c>
      <c r="I468" s="5">
        <f t="shared" si="231"/>
        <v>13166600.537360456</v>
      </c>
      <c r="J468" s="5">
        <f t="shared" si="232"/>
        <v>12276099.930710835</v>
      </c>
      <c r="K468" s="8">
        <f t="shared" ref="K468:L468" si="249">I468/I216-1</f>
        <v>-3.295285313070262E-2</v>
      </c>
      <c r="L468" s="8">
        <f t="shared" si="249"/>
        <v>-5.8041983607311276E-2</v>
      </c>
      <c r="M468" s="8">
        <f t="shared" si="224"/>
        <v>-2.5089130476608656E-2</v>
      </c>
    </row>
    <row r="469" spans="1:13" x14ac:dyDescent="0.3">
      <c r="A469" s="1">
        <v>44887</v>
      </c>
      <c r="B469" s="5">
        <v>16993716.003878269</v>
      </c>
      <c r="C469" s="5">
        <v>16089470.437963029</v>
      </c>
      <c r="D469" s="5">
        <v>0</v>
      </c>
      <c r="E469" s="5">
        <f t="shared" si="228"/>
        <v>0</v>
      </c>
      <c r="F469" s="5">
        <f t="shared" si="228"/>
        <v>0</v>
      </c>
      <c r="G469" s="9">
        <f t="shared" si="230"/>
        <v>2.4010647820775777E-3</v>
      </c>
      <c r="H469" s="9">
        <f t="shared" si="230"/>
        <v>1.3729764760384677E-2</v>
      </c>
      <c r="I469" s="5">
        <f t="shared" si="231"/>
        <v>13198214.398210395</v>
      </c>
      <c r="J469" s="5">
        <f t="shared" si="232"/>
        <v>12444647.89493447</v>
      </c>
      <c r="K469" s="8">
        <f t="shared" ref="K469:L469" si="250">I469/I217-1</f>
        <v>-2.9055834575303918E-2</v>
      </c>
      <c r="L469" s="8">
        <f t="shared" si="250"/>
        <v>-5.0496840924353803E-2</v>
      </c>
      <c r="M469" s="8">
        <f t="shared" si="224"/>
        <v>-2.1441006349049885E-2</v>
      </c>
    </row>
    <row r="470" spans="1:13" x14ac:dyDescent="0.3">
      <c r="A470" s="1">
        <v>44888</v>
      </c>
      <c r="B470" s="5">
        <v>17026164.672816239</v>
      </c>
      <c r="C470" s="5">
        <v>16189442.733980997</v>
      </c>
      <c r="D470" s="5">
        <v>0</v>
      </c>
      <c r="E470" s="5">
        <f t="shared" si="228"/>
        <v>0</v>
      </c>
      <c r="F470" s="5">
        <f t="shared" si="228"/>
        <v>0</v>
      </c>
      <c r="G470" s="9">
        <f t="shared" si="230"/>
        <v>1.9094510541757259E-3</v>
      </c>
      <c r="H470" s="9">
        <f t="shared" si="230"/>
        <v>6.2135230866320335E-3</v>
      </c>
      <c r="I470" s="5">
        <f t="shared" si="231"/>
        <v>13223415.742606295</v>
      </c>
      <c r="J470" s="5">
        <f t="shared" si="232"/>
        <v>12521973.001934651</v>
      </c>
      <c r="K470" s="8">
        <f t="shared" ref="K470:L470" si="251">I470/I218-1</f>
        <v>-2.6161752920468517E-2</v>
      </c>
      <c r="L470" s="8">
        <f t="shared" si="251"/>
        <v>-3.971572350490149E-2</v>
      </c>
      <c r="M470" s="8">
        <f t="shared" si="224"/>
        <v>-1.3553970584432973E-2</v>
      </c>
    </row>
    <row r="471" spans="1:13" x14ac:dyDescent="0.3">
      <c r="A471" s="1">
        <v>44889</v>
      </c>
      <c r="B471" s="5">
        <v>17091457.62204051</v>
      </c>
      <c r="C471" s="5">
        <v>16189282.603552312</v>
      </c>
      <c r="D471" s="5">
        <v>0</v>
      </c>
      <c r="E471" s="5">
        <f t="shared" si="228"/>
        <v>0</v>
      </c>
      <c r="F471" s="5">
        <f t="shared" si="228"/>
        <v>0</v>
      </c>
      <c r="G471" s="9">
        <f t="shared" si="230"/>
        <v>3.8348594929613622E-3</v>
      </c>
      <c r="H471" s="9">
        <f t="shared" si="230"/>
        <v>-9.8910401868934628E-6</v>
      </c>
      <c r="I471" s="5">
        <f t="shared" si="231"/>
        <v>13274125.683996204</v>
      </c>
      <c r="J471" s="5">
        <f t="shared" si="232"/>
        <v>12521849.146596471</v>
      </c>
      <c r="K471" s="8">
        <f t="shared" ref="K471:L471" si="252">I471/I219-1</f>
        <v>-8.3972614366335518E-3</v>
      </c>
      <c r="L471" s="8">
        <f t="shared" si="252"/>
        <v>-4.2663608479041604E-2</v>
      </c>
      <c r="M471" s="8">
        <f t="shared" si="224"/>
        <v>-3.4266347042408052E-2</v>
      </c>
    </row>
    <row r="472" spans="1:13" x14ac:dyDescent="0.3">
      <c r="A472" s="1">
        <v>44890</v>
      </c>
      <c r="B472" s="5">
        <v>17138597.987238262</v>
      </c>
      <c r="C472" s="5">
        <v>16189282.603552312</v>
      </c>
      <c r="D472" s="5">
        <v>0</v>
      </c>
      <c r="E472" s="5">
        <f t="shared" si="228"/>
        <v>0</v>
      </c>
      <c r="F472" s="5">
        <f t="shared" si="228"/>
        <v>0</v>
      </c>
      <c r="G472" s="9">
        <f t="shared" si="230"/>
        <v>2.7581243355723206E-3</v>
      </c>
      <c r="H472" s="9">
        <f t="shared" si="230"/>
        <v>0</v>
      </c>
      <c r="I472" s="5">
        <f t="shared" si="231"/>
        <v>13310737.37307868</v>
      </c>
      <c r="J472" s="5">
        <f t="shared" si="232"/>
        <v>12521849.146596471</v>
      </c>
      <c r="K472" s="8">
        <f t="shared" ref="K472:L472" si="253">I472/I220-1</f>
        <v>1.317881133437937E-2</v>
      </c>
      <c r="L472" s="8">
        <f t="shared" si="253"/>
        <v>-3.9910411273750612E-2</v>
      </c>
      <c r="M472" s="8">
        <f t="shared" si="224"/>
        <v>-5.3089222608129982E-2</v>
      </c>
    </row>
    <row r="473" spans="1:13" x14ac:dyDescent="0.3">
      <c r="A473" s="1">
        <v>44893</v>
      </c>
      <c r="B473" s="5">
        <v>17176172.52695575</v>
      </c>
      <c r="C473" s="5">
        <v>15915969.581286255</v>
      </c>
      <c r="D473" s="5">
        <v>0</v>
      </c>
      <c r="E473" s="5">
        <f t="shared" si="228"/>
        <v>0</v>
      </c>
      <c r="F473" s="5">
        <f t="shared" si="228"/>
        <v>0</v>
      </c>
      <c r="G473" s="9">
        <f t="shared" si="230"/>
        <v>2.192392851822822E-3</v>
      </c>
      <c r="H473" s="9">
        <f t="shared" si="230"/>
        <v>-1.688234302649616E-2</v>
      </c>
      <c r="I473" s="5">
        <f t="shared" si="231"/>
        <v>13339919.738547908</v>
      </c>
      <c r="J473" s="5">
        <f t="shared" si="232"/>
        <v>12310450.993977591</v>
      </c>
      <c r="K473" s="8">
        <f t="shared" ref="K473:L473" si="254">I473/I221-1</f>
        <v>3.5804430234565032E-4</v>
      </c>
      <c r="L473" s="8">
        <f t="shared" si="254"/>
        <v>-5.9210337701368188E-2</v>
      </c>
      <c r="M473" s="8">
        <f t="shared" si="224"/>
        <v>-5.9568382003713838E-2</v>
      </c>
    </row>
    <row r="474" spans="1:13" x14ac:dyDescent="0.3">
      <c r="A474" s="1">
        <v>44894</v>
      </c>
      <c r="B474" s="5">
        <v>17263306.637957934</v>
      </c>
      <c r="C474" s="5">
        <v>15892023.602931771</v>
      </c>
      <c r="D474" s="5">
        <v>0</v>
      </c>
      <c r="E474" s="5">
        <f t="shared" si="228"/>
        <v>0</v>
      </c>
      <c r="F474" s="5">
        <f t="shared" si="228"/>
        <v>0</v>
      </c>
      <c r="G474" s="9">
        <f t="shared" si="230"/>
        <v>5.0729643560252224E-3</v>
      </c>
      <c r="H474" s="9">
        <f t="shared" si="230"/>
        <v>-1.5045252651549879E-3</v>
      </c>
      <c r="I474" s="5">
        <f t="shared" si="231"/>
        <v>13407592.675893798</v>
      </c>
      <c r="J474" s="5">
        <f t="shared" si="232"/>
        <v>12291929.609431699</v>
      </c>
      <c r="K474" s="8">
        <f t="shared" ref="K474:L474" si="255">I474/I222-1</f>
        <v>1.0830490959258254E-2</v>
      </c>
      <c r="L474" s="8">
        <f t="shared" si="255"/>
        <v>-6.3822654139031321E-2</v>
      </c>
      <c r="M474" s="8">
        <f t="shared" si="224"/>
        <v>-7.4653145098289575E-2</v>
      </c>
    </row>
    <row r="475" spans="1:13" x14ac:dyDescent="0.3">
      <c r="A475" s="1">
        <v>44895</v>
      </c>
      <c r="B475" s="5">
        <v>17479674.738124784</v>
      </c>
      <c r="C475" s="5">
        <v>16352036.672123529</v>
      </c>
      <c r="D475" s="5">
        <v>0</v>
      </c>
      <c r="E475" s="5">
        <f t="shared" si="228"/>
        <v>0</v>
      </c>
      <c r="F475" s="5">
        <f t="shared" si="228"/>
        <v>0</v>
      </c>
      <c r="G475" s="9">
        <f t="shared" si="230"/>
        <v>1.2533410006812185E-2</v>
      </c>
      <c r="H475" s="9">
        <f t="shared" si="230"/>
        <v>2.8946160708375412E-2</v>
      </c>
      <c r="I475" s="5">
        <f t="shared" si="231"/>
        <v>13575635.532105107</v>
      </c>
      <c r="J475" s="5">
        <f t="shared" si="232"/>
        <v>12647733.779322347</v>
      </c>
      <c r="K475" s="8">
        <f t="shared" ref="K475:L475" si="256">I475/I223-1</f>
        <v>1.4749093898785537E-2</v>
      </c>
      <c r="L475" s="8">
        <f t="shared" si="256"/>
        <v>-1.8557545175897139E-2</v>
      </c>
      <c r="M475" s="8">
        <f t="shared" si="224"/>
        <v>-3.3306639074682676E-2</v>
      </c>
    </row>
    <row r="476" spans="1:13" x14ac:dyDescent="0.3">
      <c r="A476" s="1">
        <v>44896</v>
      </c>
      <c r="B476" s="5">
        <v>17547514.969052371</v>
      </c>
      <c r="C476" s="5">
        <v>16288368.16575131</v>
      </c>
      <c r="D476" s="5">
        <v>0</v>
      </c>
      <c r="E476" s="5">
        <f t="shared" si="228"/>
        <v>0</v>
      </c>
      <c r="F476" s="5">
        <f t="shared" si="228"/>
        <v>0</v>
      </c>
      <c r="G476" s="9">
        <f t="shared" si="230"/>
        <v>3.8810922939900294E-3</v>
      </c>
      <c r="H476" s="9">
        <f t="shared" si="230"/>
        <v>-3.893613232947235E-3</v>
      </c>
      <c r="I476" s="5">
        <f t="shared" si="231"/>
        <v>13628323.826554777</v>
      </c>
      <c r="J476" s="5">
        <f t="shared" si="232"/>
        <v>12598488.395712383</v>
      </c>
      <c r="K476" s="8">
        <f t="shared" ref="K476:L476" si="257">I476/I224-1</f>
        <v>5.0434219036123773E-2</v>
      </c>
      <c r="L476" s="8">
        <f t="shared" si="257"/>
        <v>-2.2378902505376552E-2</v>
      </c>
      <c r="M476" s="8">
        <f t="shared" si="224"/>
        <v>-7.2813121541500325E-2</v>
      </c>
    </row>
    <row r="477" spans="1:13" x14ac:dyDescent="0.3">
      <c r="A477" s="1">
        <v>44897</v>
      </c>
      <c r="B477" s="5">
        <v>17572751.557726435</v>
      </c>
      <c r="C477" s="5">
        <v>16318312.093110921</v>
      </c>
      <c r="D477" s="5">
        <v>0</v>
      </c>
      <c r="E477" s="5">
        <f t="shared" si="228"/>
        <v>0</v>
      </c>
      <c r="F477" s="5">
        <f t="shared" si="228"/>
        <v>0</v>
      </c>
      <c r="G477" s="9">
        <f t="shared" si="230"/>
        <v>1.4381859037346789E-3</v>
      </c>
      <c r="H477" s="9">
        <f t="shared" si="230"/>
        <v>1.8383626312286072E-3</v>
      </c>
      <c r="I477" s="5">
        <f t="shared" si="231"/>
        <v>13647923.889773659</v>
      </c>
      <c r="J477" s="5">
        <f t="shared" si="232"/>
        <v>12621648.985989029</v>
      </c>
      <c r="K477" s="8">
        <f t="shared" ref="K477:L477" si="258">I477/I225-1</f>
        <v>6.1681044466373569E-2</v>
      </c>
      <c r="L477" s="8">
        <f t="shared" si="258"/>
        <v>-3.6362774978731416E-2</v>
      </c>
      <c r="M477" s="8">
        <f t="shared" si="224"/>
        <v>-9.8043819445104985E-2</v>
      </c>
    </row>
    <row r="478" spans="1:13" x14ac:dyDescent="0.3">
      <c r="A478" s="1">
        <v>44900</v>
      </c>
      <c r="B478" s="5">
        <v>17542631.018881552</v>
      </c>
      <c r="C478" s="5">
        <v>16097393.423147686</v>
      </c>
      <c r="D478" s="5">
        <v>0</v>
      </c>
      <c r="E478" s="5">
        <f t="shared" si="228"/>
        <v>0</v>
      </c>
      <c r="F478" s="5">
        <f t="shared" si="228"/>
        <v>0</v>
      </c>
      <c r="G478" s="9">
        <f t="shared" si="230"/>
        <v>-1.714047953499942E-3</v>
      </c>
      <c r="H478" s="9">
        <f t="shared" si="230"/>
        <v>-1.353808339383944E-2</v>
      </c>
      <c r="I478" s="5">
        <f t="shared" si="231"/>
        <v>13624530.69376087</v>
      </c>
      <c r="J478" s="5">
        <f t="shared" si="232"/>
        <v>12450776.049448941</v>
      </c>
      <c r="K478" s="8">
        <f t="shared" ref="K478:L478" si="259">I478/I226-1</f>
        <v>6.2431504712406216E-2</v>
      </c>
      <c r="L478" s="8">
        <f t="shared" si="259"/>
        <v>-3.0906164515867807E-2</v>
      </c>
      <c r="M478" s="8">
        <f t="shared" si="224"/>
        <v>-9.3337669228274023E-2</v>
      </c>
    </row>
    <row r="479" spans="1:13" x14ac:dyDescent="0.3">
      <c r="A479" s="1">
        <v>44901</v>
      </c>
      <c r="B479" s="5">
        <v>17527014.332059111</v>
      </c>
      <c r="C479" s="5">
        <v>15992329.81254597</v>
      </c>
      <c r="D479" s="5">
        <v>0</v>
      </c>
      <c r="E479" s="5">
        <f t="shared" si="228"/>
        <v>0</v>
      </c>
      <c r="F479" s="5">
        <f t="shared" si="228"/>
        <v>0</v>
      </c>
      <c r="G479" s="9">
        <f t="shared" si="230"/>
        <v>-8.9021349224249757E-4</v>
      </c>
      <c r="H479" s="9">
        <f t="shared" si="230"/>
        <v>-6.526746774458303E-3</v>
      </c>
      <c r="I479" s="5">
        <f t="shared" si="231"/>
        <v>13612401.952711811</v>
      </c>
      <c r="J479" s="5">
        <f t="shared" si="232"/>
        <v>12369512.987028698</v>
      </c>
      <c r="K479" s="8">
        <f t="shared" ref="K479:L479" si="260">I479/I227-1</f>
        <v>5.5418981353736019E-2</v>
      </c>
      <c r="L479" s="8">
        <f t="shared" si="260"/>
        <v>-2.2288716933706265E-2</v>
      </c>
      <c r="M479" s="8">
        <f t="shared" si="224"/>
        <v>-7.7707698287442284E-2</v>
      </c>
    </row>
    <row r="480" spans="1:13" x14ac:dyDescent="0.3">
      <c r="A480" s="1">
        <v>44902</v>
      </c>
      <c r="B480" s="5">
        <v>17561423.980989911</v>
      </c>
      <c r="C480" s="5">
        <v>15941615.904134937</v>
      </c>
      <c r="D480" s="5">
        <v>0</v>
      </c>
      <c r="E480" s="5">
        <f t="shared" si="228"/>
        <v>0</v>
      </c>
      <c r="F480" s="5">
        <f t="shared" si="228"/>
        <v>0</v>
      </c>
      <c r="G480" s="9">
        <f t="shared" si="230"/>
        <v>1.9632350541221033E-3</v>
      </c>
      <c r="H480" s="9">
        <f t="shared" si="230"/>
        <v>-3.1711394778294322E-3</v>
      </c>
      <c r="I480" s="5">
        <f t="shared" si="231"/>
        <v>13639126.297396176</v>
      </c>
      <c r="J480" s="5">
        <f t="shared" si="232"/>
        <v>12330287.536074007</v>
      </c>
      <c r="K480" s="8">
        <f t="shared" ref="K480:L480" si="261">I480/I228-1</f>
        <v>4.7121096774170868E-2</v>
      </c>
      <c r="L480" s="8">
        <f t="shared" si="261"/>
        <v>-3.9949469066352772E-2</v>
      </c>
      <c r="M480" s="8">
        <f t="shared" si="224"/>
        <v>-8.7070565840523639E-2</v>
      </c>
    </row>
    <row r="481" spans="1:13" x14ac:dyDescent="0.3">
      <c r="A481" s="1">
        <v>44903</v>
      </c>
      <c r="B481" s="5">
        <v>17631936.723112371</v>
      </c>
      <c r="C481" s="5">
        <v>16059916.423569219</v>
      </c>
      <c r="D481" s="5">
        <v>0</v>
      </c>
      <c r="E481" s="5">
        <f t="shared" si="228"/>
        <v>0</v>
      </c>
      <c r="F481" s="5">
        <f t="shared" si="228"/>
        <v>0</v>
      </c>
      <c r="G481" s="9">
        <f t="shared" si="230"/>
        <v>4.0152064091607542E-3</v>
      </c>
      <c r="H481" s="9">
        <f t="shared" si="230"/>
        <v>7.4208612317399059E-3</v>
      </c>
      <c r="I481" s="5">
        <f t="shared" si="231"/>
        <v>13693890.204720834</v>
      </c>
      <c r="J481" s="5">
        <f t="shared" si="232"/>
        <v>12421788.888826665</v>
      </c>
      <c r="K481" s="8">
        <f t="shared" ref="K481:L481" si="262">I481/I229-1</f>
        <v>5.3436085443866022E-2</v>
      </c>
      <c r="L481" s="8">
        <f t="shared" si="262"/>
        <v>-2.9166835868432606E-2</v>
      </c>
      <c r="M481" s="8">
        <f t="shared" si="224"/>
        <v>-8.2602921312298627E-2</v>
      </c>
    </row>
    <row r="482" spans="1:13" x14ac:dyDescent="0.3">
      <c r="A482" s="1">
        <v>44904</v>
      </c>
      <c r="B482" s="5">
        <v>17523974.670763984</v>
      </c>
      <c r="C482" s="5">
        <v>15975476.084926751</v>
      </c>
      <c r="D482" s="5">
        <v>0</v>
      </c>
      <c r="E482" s="5">
        <f t="shared" si="228"/>
        <v>0</v>
      </c>
      <c r="F482" s="5">
        <f t="shared" si="228"/>
        <v>0</v>
      </c>
      <c r="G482" s="9">
        <f t="shared" si="230"/>
        <v>-6.1230966310619195E-3</v>
      </c>
      <c r="H482" s="9">
        <f t="shared" si="230"/>
        <v>-5.2578317604782265E-3</v>
      </c>
      <c r="I482" s="5">
        <f t="shared" si="231"/>
        <v>13610041.191742176</v>
      </c>
      <c r="J482" s="5">
        <f t="shared" si="232"/>
        <v>12356477.212685036</v>
      </c>
      <c r="K482" s="8">
        <f t="shared" ref="K482:L482" si="263">I482/I230-1</f>
        <v>6.7578102107262561E-2</v>
      </c>
      <c r="L482" s="8">
        <f t="shared" si="263"/>
        <v>-4.7395898458559516E-2</v>
      </c>
      <c r="M482" s="8">
        <f t="shared" si="224"/>
        <v>-0.11497400056582208</v>
      </c>
    </row>
    <row r="483" spans="1:13" x14ac:dyDescent="0.3">
      <c r="A483" s="1">
        <v>44907</v>
      </c>
      <c r="B483" s="5">
        <v>17527293.252290316</v>
      </c>
      <c r="C483" s="5">
        <v>16244955.92720554</v>
      </c>
      <c r="D483" s="5">
        <v>0</v>
      </c>
      <c r="E483" s="5">
        <f t="shared" si="228"/>
        <v>0</v>
      </c>
      <c r="F483" s="5">
        <f t="shared" si="228"/>
        <v>0</v>
      </c>
      <c r="G483" s="9">
        <f t="shared" si="230"/>
        <v>1.8937379154437828E-4</v>
      </c>
      <c r="H483" s="9">
        <f t="shared" si="230"/>
        <v>1.6868345008700603E-2</v>
      </c>
      <c r="I483" s="5">
        <f t="shared" si="231"/>
        <v>13612618.576845732</v>
      </c>
      <c r="J483" s="5">
        <f t="shared" si="232"/>
        <v>12564910.533400754</v>
      </c>
      <c r="K483" s="8">
        <f t="shared" ref="K483:L483" si="264">I483/I231-1</f>
        <v>5.1853609220468444E-2</v>
      </c>
      <c r="L483" s="8">
        <f t="shared" si="264"/>
        <v>-5.149360403197234E-2</v>
      </c>
      <c r="M483" s="8">
        <f t="shared" si="224"/>
        <v>-0.10334721325244078</v>
      </c>
    </row>
    <row r="484" spans="1:13" x14ac:dyDescent="0.3">
      <c r="A484" s="1">
        <v>44908</v>
      </c>
      <c r="B484" s="5">
        <v>17498259.933122154</v>
      </c>
      <c r="C484" s="5">
        <v>16328391.285426358</v>
      </c>
      <c r="D484" s="5">
        <v>0</v>
      </c>
      <c r="E484" s="5">
        <f t="shared" si="228"/>
        <v>0</v>
      </c>
      <c r="F484" s="5">
        <f t="shared" si="228"/>
        <v>0</v>
      </c>
      <c r="G484" s="9">
        <f t="shared" si="230"/>
        <v>-1.6564633654638783E-3</v>
      </c>
      <c r="H484" s="9">
        <f t="shared" si="230"/>
        <v>5.1360778443902966E-3</v>
      </c>
      <c r="I484" s="5">
        <f t="shared" si="231"/>
        <v>13590069.772865154</v>
      </c>
      <c r="J484" s="5">
        <f t="shared" si="232"/>
        <v>12629444.8920081</v>
      </c>
      <c r="K484" s="8">
        <f t="shared" ref="K484:L484" si="265">I484/I232-1</f>
        <v>3.6681714719207337E-2</v>
      </c>
      <c r="L484" s="8">
        <f t="shared" si="265"/>
        <v>-4.9196182591738746E-2</v>
      </c>
      <c r="M484" s="8">
        <f t="shared" si="224"/>
        <v>-8.5877897310946083E-2</v>
      </c>
    </row>
    <row r="485" spans="1:13" x14ac:dyDescent="0.3">
      <c r="A485" s="1">
        <v>44909</v>
      </c>
      <c r="B485" s="5">
        <v>17579383.02852948</v>
      </c>
      <c r="C485" s="5">
        <v>16234669.166978931</v>
      </c>
      <c r="D485" s="5">
        <v>0</v>
      </c>
      <c r="E485" s="5">
        <f t="shared" si="228"/>
        <v>0</v>
      </c>
      <c r="F485" s="5">
        <f t="shared" si="228"/>
        <v>0</v>
      </c>
      <c r="G485" s="9">
        <f t="shared" si="230"/>
        <v>4.6360664270261864E-3</v>
      </c>
      <c r="H485" s="9">
        <f t="shared" si="230"/>
        <v>-5.7398256086058641E-3</v>
      </c>
      <c r="I485" s="5">
        <f t="shared" si="231"/>
        <v>13653074.239080077</v>
      </c>
      <c r="J485" s="5">
        <f t="shared" si="232"/>
        <v>12556954.080794476</v>
      </c>
      <c r="K485" s="8">
        <f t="shared" ref="K485:L485" si="266">I485/I233-1</f>
        <v>3.9296584706096205E-2</v>
      </c>
      <c r="L485" s="8">
        <f t="shared" si="266"/>
        <v>-5.0199395471001718E-2</v>
      </c>
      <c r="M485" s="8">
        <f t="shared" si="224"/>
        <v>-8.9495980177097922E-2</v>
      </c>
    </row>
    <row r="486" spans="1:13" x14ac:dyDescent="0.3">
      <c r="A486" s="1">
        <v>44910</v>
      </c>
      <c r="B486" s="5">
        <v>17422146.017377213</v>
      </c>
      <c r="C486" s="5">
        <v>15879198.821690949</v>
      </c>
      <c r="D486" s="5">
        <v>0</v>
      </c>
      <c r="E486" s="5">
        <f t="shared" si="228"/>
        <v>0</v>
      </c>
      <c r="F486" s="5">
        <f t="shared" si="228"/>
        <v>0</v>
      </c>
      <c r="G486" s="9">
        <f t="shared" si="230"/>
        <v>-8.944398725318603E-3</v>
      </c>
      <c r="H486" s="9">
        <f t="shared" si="230"/>
        <v>-2.1895755412805307E-2</v>
      </c>
      <c r="I486" s="5">
        <f t="shared" si="231"/>
        <v>13530955.699259369</v>
      </c>
      <c r="J486" s="5">
        <f t="shared" si="232"/>
        <v>12282010.085511573</v>
      </c>
      <c r="K486" s="8">
        <f t="shared" ref="K486:L486" si="267">I486/I234-1</f>
        <v>2.6018726389620106E-2</v>
      </c>
      <c r="L486" s="8">
        <f t="shared" si="267"/>
        <v>-8.0766009259078508E-2</v>
      </c>
      <c r="M486" s="8">
        <f t="shared" si="224"/>
        <v>-0.10678473564869861</v>
      </c>
    </row>
    <row r="487" spans="1:13" x14ac:dyDescent="0.3">
      <c r="A487" s="1">
        <v>44911</v>
      </c>
      <c r="B487" s="5">
        <v>17198972.832794026</v>
      </c>
      <c r="C487" s="5">
        <v>15695939.264958462</v>
      </c>
      <c r="D487" s="5">
        <v>0</v>
      </c>
      <c r="E487" s="5">
        <f t="shared" si="228"/>
        <v>0</v>
      </c>
      <c r="F487" s="5">
        <f t="shared" si="228"/>
        <v>0</v>
      </c>
      <c r="G487" s="9">
        <f t="shared" si="230"/>
        <v>-1.2809741369438021E-2</v>
      </c>
      <c r="H487" s="9">
        <f t="shared" si="230"/>
        <v>-1.1540856613128092E-2</v>
      </c>
      <c r="I487" s="5">
        <f t="shared" si="231"/>
        <v>13357627.656270532</v>
      </c>
      <c r="J487" s="5">
        <f t="shared" si="232"/>
        <v>12140265.16819369</v>
      </c>
      <c r="K487" s="8">
        <f t="shared" ref="K487:L487" si="268">I487/I235-1</f>
        <v>1.7800987156522563E-2</v>
      </c>
      <c r="L487" s="8">
        <f t="shared" si="268"/>
        <v>-8.44689224428814E-2</v>
      </c>
      <c r="M487" s="8">
        <f t="shared" si="224"/>
        <v>-0.10226990959940396</v>
      </c>
    </row>
    <row r="488" spans="1:13" x14ac:dyDescent="0.3">
      <c r="A488" s="1">
        <v>44914</v>
      </c>
      <c r="B488" s="5">
        <v>17369896.858148791</v>
      </c>
      <c r="C488" s="5">
        <v>15544306.393500913</v>
      </c>
      <c r="D488" s="5">
        <v>0</v>
      </c>
      <c r="E488" s="5">
        <f t="shared" si="228"/>
        <v>0</v>
      </c>
      <c r="F488" s="5">
        <f t="shared" si="228"/>
        <v>0</v>
      </c>
      <c r="G488" s="9">
        <f t="shared" si="230"/>
        <v>9.9380368244350592E-3</v>
      </c>
      <c r="H488" s="9">
        <f t="shared" si="230"/>
        <v>-9.6606433611827747E-3</v>
      </c>
      <c r="I488" s="5">
        <f t="shared" si="231"/>
        <v>13490376.251805641</v>
      </c>
      <c r="J488" s="5">
        <f t="shared" si="232"/>
        <v>12022982.396093581</v>
      </c>
      <c r="K488" s="8">
        <f t="shared" ref="K488:L488" si="269">I488/I236-1</f>
        <v>2.4564023006779179E-2</v>
      </c>
      <c r="L488" s="8">
        <f t="shared" si="269"/>
        <v>-8.902583307085421E-2</v>
      </c>
      <c r="M488" s="8">
        <f t="shared" si="224"/>
        <v>-0.11358985607763339</v>
      </c>
    </row>
    <row r="489" spans="1:13" x14ac:dyDescent="0.3">
      <c r="A489" s="1">
        <v>44915</v>
      </c>
      <c r="B489" s="5">
        <v>17336193.048170418</v>
      </c>
      <c r="C489" s="5">
        <v>15547823.477873167</v>
      </c>
      <c r="D489" s="5">
        <v>0</v>
      </c>
      <c r="E489" s="5">
        <f t="shared" si="228"/>
        <v>0</v>
      </c>
      <c r="F489" s="5">
        <f t="shared" si="228"/>
        <v>0</v>
      </c>
      <c r="G489" s="9">
        <f t="shared" si="230"/>
        <v>-1.9403575193114309E-3</v>
      </c>
      <c r="H489" s="9">
        <f t="shared" si="230"/>
        <v>2.2626190472707641E-4</v>
      </c>
      <c r="I489" s="5">
        <f t="shared" si="231"/>
        <v>13464200.09880711</v>
      </c>
      <c r="J489" s="5">
        <f t="shared" si="232"/>
        <v>12025702.73899102</v>
      </c>
      <c r="K489" s="8">
        <f t="shared" ref="K489:L489" si="270">I489/I237-1</f>
        <v>3.1090007216258764E-2</v>
      </c>
      <c r="L489" s="8">
        <f t="shared" si="270"/>
        <v>-0.10818939228016256</v>
      </c>
      <c r="M489" s="8">
        <f t="shared" si="224"/>
        <v>-0.13927939949642132</v>
      </c>
    </row>
    <row r="490" spans="1:13" x14ac:dyDescent="0.3">
      <c r="A490" s="1">
        <v>44916</v>
      </c>
      <c r="B490" s="5">
        <v>17059868.482794616</v>
      </c>
      <c r="C490" s="5">
        <v>15825157.810239958</v>
      </c>
      <c r="D490" s="5">
        <v>0</v>
      </c>
      <c r="E490" s="5">
        <f t="shared" si="228"/>
        <v>0</v>
      </c>
      <c r="F490" s="5">
        <f t="shared" si="228"/>
        <v>0</v>
      </c>
      <c r="G490" s="9">
        <f t="shared" si="230"/>
        <v>-1.5939172147426128E-2</v>
      </c>
      <c r="H490" s="9">
        <f t="shared" si="230"/>
        <v>1.7837501999008243E-2</v>
      </c>
      <c r="I490" s="5">
        <f t="shared" si="231"/>
        <v>13249591.89560483</v>
      </c>
      <c r="J490" s="5">
        <f t="shared" si="232"/>
        <v>12240211.235637251</v>
      </c>
      <c r="K490" s="8">
        <f t="shared" ref="K490:L490" si="271">I490/I238-1</f>
        <v>1.8167645471108385E-2</v>
      </c>
      <c r="L490" s="8">
        <f t="shared" si="271"/>
        <v>-8.1909958035691677E-2</v>
      </c>
      <c r="M490" s="8">
        <f t="shared" si="224"/>
        <v>-0.10007760350680006</v>
      </c>
    </row>
    <row r="491" spans="1:13" x14ac:dyDescent="0.3">
      <c r="A491" s="1">
        <v>44917</v>
      </c>
      <c r="B491" s="5">
        <v>16934917.911466248</v>
      </c>
      <c r="C491" s="5">
        <v>15619035.932374859</v>
      </c>
      <c r="D491" s="5">
        <v>0</v>
      </c>
      <c r="E491" s="5">
        <f t="shared" si="228"/>
        <v>0</v>
      </c>
      <c r="F491" s="5">
        <f t="shared" si="228"/>
        <v>0</v>
      </c>
      <c r="G491" s="9">
        <f t="shared" si="230"/>
        <v>-7.3242400112512041E-3</v>
      </c>
      <c r="H491" s="9">
        <f t="shared" si="230"/>
        <v>-1.302494928244724E-2</v>
      </c>
      <c r="I491" s="5">
        <f t="shared" si="231"/>
        <v>13152548.704510292</v>
      </c>
      <c r="J491" s="5">
        <f t="shared" si="232"/>
        <v>12080783.105086636</v>
      </c>
      <c r="K491" s="8">
        <f t="shared" ref="K491:L491" si="272">I491/I239-1</f>
        <v>3.474956719988076E-2</v>
      </c>
      <c r="L491" s="8">
        <f t="shared" si="272"/>
        <v>-8.209074287903928E-2</v>
      </c>
      <c r="M491" s="8">
        <f t="shared" si="224"/>
        <v>-0.11684031007892004</v>
      </c>
    </row>
    <row r="492" spans="1:13" x14ac:dyDescent="0.3">
      <c r="A492" s="1">
        <v>44918</v>
      </c>
      <c r="B492" s="5">
        <v>16305742.176872518</v>
      </c>
      <c r="C492" s="5">
        <v>15697868.003575657</v>
      </c>
      <c r="D492" s="5">
        <v>0</v>
      </c>
      <c r="E492" s="5">
        <f t="shared" si="228"/>
        <v>0</v>
      </c>
      <c r="F492" s="5">
        <f t="shared" si="228"/>
        <v>0</v>
      </c>
      <c r="G492" s="9">
        <f t="shared" si="230"/>
        <v>-3.7152570675747398E-2</v>
      </c>
      <c r="H492" s="9">
        <f t="shared" si="230"/>
        <v>5.0471790667563354E-3</v>
      </c>
      <c r="I492" s="5">
        <f t="shared" si="231"/>
        <v>12663897.709199764</v>
      </c>
      <c r="J492" s="5">
        <f t="shared" si="232"/>
        <v>12141756.980684653</v>
      </c>
      <c r="K492" s="8">
        <f t="shared" ref="K492:L492" si="273">I492/I240-1</f>
        <v>2.5308504216502881E-2</v>
      </c>
      <c r="L492" s="8">
        <f t="shared" si="273"/>
        <v>-6.4869897940687649E-2</v>
      </c>
      <c r="M492" s="8">
        <f t="shared" si="224"/>
        <v>-9.0178402157190529E-2</v>
      </c>
    </row>
    <row r="493" spans="1:13" x14ac:dyDescent="0.3">
      <c r="A493" s="1">
        <v>44921</v>
      </c>
      <c r="B493" s="5">
        <v>16689405.493263718</v>
      </c>
      <c r="C493" s="5">
        <v>15639345.654144989</v>
      </c>
      <c r="D493" s="5">
        <v>0</v>
      </c>
      <c r="E493" s="5">
        <f t="shared" si="228"/>
        <v>0</v>
      </c>
      <c r="F493" s="5">
        <f t="shared" si="228"/>
        <v>0</v>
      </c>
      <c r="G493" s="9">
        <f t="shared" si="230"/>
        <v>2.3529337838750664E-2</v>
      </c>
      <c r="H493" s="9">
        <f t="shared" si="230"/>
        <v>-3.7280444336349472E-3</v>
      </c>
      <c r="I493" s="5">
        <f t="shared" si="231"/>
        <v>12961870.836754905</v>
      </c>
      <c r="J493" s="5">
        <f t="shared" si="232"/>
        <v>12096491.971158262</v>
      </c>
      <c r="K493" s="8">
        <f t="shared" ref="K493:L493" si="274">I493/I241-1</f>
        <v>3.0006449940242819E-2</v>
      </c>
      <c r="L493" s="8">
        <f t="shared" si="274"/>
        <v>-8.288299413092004E-2</v>
      </c>
      <c r="M493" s="8">
        <f t="shared" si="224"/>
        <v>-0.11288944407116286</v>
      </c>
    </row>
    <row r="494" spans="1:13" x14ac:dyDescent="0.3">
      <c r="A494" s="1">
        <v>44922</v>
      </c>
      <c r="B494" s="5">
        <v>16860130.289881915</v>
      </c>
      <c r="C494" s="5">
        <v>15639345.654144989</v>
      </c>
      <c r="D494" s="5">
        <v>0</v>
      </c>
      <c r="E494" s="5">
        <f t="shared" si="228"/>
        <v>0</v>
      </c>
      <c r="F494" s="5">
        <f t="shared" si="228"/>
        <v>0</v>
      </c>
      <c r="G494" s="9">
        <f t="shared" si="230"/>
        <v>1.0229531344726706E-2</v>
      </c>
      <c r="H494" s="9">
        <f t="shared" si="230"/>
        <v>0</v>
      </c>
      <c r="I494" s="5">
        <f t="shared" si="231"/>
        <v>13094464.700765789</v>
      </c>
      <c r="J494" s="5">
        <f t="shared" si="232"/>
        <v>12096491.971158262</v>
      </c>
      <c r="K494" s="8">
        <f t="shared" ref="K494:L494" si="275">I494/I242-1</f>
        <v>2.645937023711542E-2</v>
      </c>
      <c r="L494" s="8">
        <f t="shared" si="275"/>
        <v>-8.9573243039648975E-2</v>
      </c>
      <c r="M494" s="8">
        <f t="shared" si="224"/>
        <v>-0.1160326132767644</v>
      </c>
    </row>
    <row r="495" spans="1:13" x14ac:dyDescent="0.3">
      <c r="A495" s="1">
        <v>44923</v>
      </c>
      <c r="B495" s="5">
        <v>16908961.253215723</v>
      </c>
      <c r="C495" s="5">
        <v>15425390.575208424</v>
      </c>
      <c r="D495" s="5">
        <v>0</v>
      </c>
      <c r="E495" s="5">
        <f t="shared" si="228"/>
        <v>0</v>
      </c>
      <c r="F495" s="5">
        <f t="shared" si="228"/>
        <v>0</v>
      </c>
      <c r="G495" s="9">
        <f t="shared" si="230"/>
        <v>2.8962387890389962E-3</v>
      </c>
      <c r="H495" s="9">
        <f t="shared" si="230"/>
        <v>-1.3680564626427305E-2</v>
      </c>
      <c r="I495" s="5">
        <f t="shared" si="231"/>
        <v>13132389.397353848</v>
      </c>
      <c r="J495" s="5">
        <f t="shared" si="232"/>
        <v>11931005.130993772</v>
      </c>
      <c r="K495" s="8">
        <f t="shared" ref="K495:L495" si="276">I495/I243-1</f>
        <v>1.8548197127376875E-2</v>
      </c>
      <c r="L495" s="8">
        <f t="shared" si="276"/>
        <v>-0.10248238600547155</v>
      </c>
      <c r="M495" s="8">
        <f t="shared" si="224"/>
        <v>-0.12103058313284842</v>
      </c>
    </row>
    <row r="496" spans="1:13" x14ac:dyDescent="0.3">
      <c r="A496" s="1">
        <v>44924</v>
      </c>
      <c r="B496" s="5">
        <v>16905397.90495589</v>
      </c>
      <c r="C496" s="5">
        <v>15713843.327860642</v>
      </c>
      <c r="D496" s="5">
        <v>0</v>
      </c>
      <c r="E496" s="5">
        <f t="shared" si="228"/>
        <v>0</v>
      </c>
      <c r="F496" s="5">
        <f t="shared" si="228"/>
        <v>0</v>
      </c>
      <c r="G496" s="9">
        <f t="shared" si="230"/>
        <v>-2.1073726567055751E-4</v>
      </c>
      <c r="H496" s="9">
        <f t="shared" si="230"/>
        <v>1.8699867030648631E-2</v>
      </c>
      <c r="I496" s="5">
        <f t="shared" si="231"/>
        <v>13129621.91352053</v>
      </c>
      <c r="J496" s="5">
        <f t="shared" si="232"/>
        <v>12154113.340485342</v>
      </c>
      <c r="K496" s="8">
        <f t="shared" ref="K496:L496" si="277">I496/I244-1</f>
        <v>2.9077644335719244E-2</v>
      </c>
      <c r="L496" s="8">
        <f t="shared" si="277"/>
        <v>-9.7610107168392912E-2</v>
      </c>
      <c r="M496" s="8">
        <f t="shared" si="224"/>
        <v>-0.12668775150411216</v>
      </c>
    </row>
    <row r="497" spans="1:13" x14ac:dyDescent="0.3">
      <c r="A497" s="1">
        <v>44925</v>
      </c>
      <c r="B497" s="5">
        <v>16879435.554455746</v>
      </c>
      <c r="C497" s="5">
        <v>15654040.8606099</v>
      </c>
      <c r="D497" s="5">
        <v>0</v>
      </c>
      <c r="E497" s="5">
        <f t="shared" si="228"/>
        <v>0</v>
      </c>
      <c r="F497" s="5">
        <f t="shared" si="228"/>
        <v>0</v>
      </c>
      <c r="G497" s="9">
        <f t="shared" si="230"/>
        <v>-1.5357432369298429E-3</v>
      </c>
      <c r="H497" s="9">
        <f t="shared" si="230"/>
        <v>-3.8057186903927009E-3</v>
      </c>
      <c r="I497" s="5">
        <f t="shared" si="231"/>
        <v>13109458.185463395</v>
      </c>
      <c r="J497" s="5">
        <f t="shared" si="232"/>
        <v>12107858.204180306</v>
      </c>
      <c r="K497" s="8">
        <f t="shared" ref="K497:L497" si="278">I497/I245-1</f>
        <v>2.4791436273154277E-2</v>
      </c>
      <c r="L497" s="8">
        <f t="shared" si="278"/>
        <v>-0.10104434924956363</v>
      </c>
      <c r="M497" s="8">
        <f t="shared" si="224"/>
        <v>-0.1258357855227179</v>
      </c>
    </row>
    <row r="498" spans="1:13" x14ac:dyDescent="0.3">
      <c r="A498" s="1">
        <v>44928</v>
      </c>
      <c r="B498" s="5">
        <v>17403730.0758183</v>
      </c>
      <c r="C498" s="5">
        <v>16118372.733229466</v>
      </c>
      <c r="D498" s="5">
        <v>500000</v>
      </c>
      <c r="E498" s="5">
        <f t="shared" si="228"/>
        <v>-500000</v>
      </c>
      <c r="F498" s="5">
        <f t="shared" si="228"/>
        <v>-500000</v>
      </c>
      <c r="G498" s="9">
        <f t="shared" si="230"/>
        <v>1.4392970241319247E-3</v>
      </c>
      <c r="H498" s="9">
        <f t="shared" si="230"/>
        <v>-2.2785252509583964E-3</v>
      </c>
      <c r="I498" s="5">
        <f t="shared" si="231"/>
        <v>13128326.589617714</v>
      </c>
      <c r="J498" s="5">
        <f t="shared" si="232"/>
        <v>12080270.143527057</v>
      </c>
      <c r="K498" s="8">
        <f t="shared" ref="K498:L498" si="279">I498/I246-1</f>
        <v>1.7103137376188515E-2</v>
      </c>
      <c r="L498" s="8">
        <f t="shared" si="279"/>
        <v>-9.8578552333367542E-2</v>
      </c>
      <c r="M498" s="8">
        <f t="shared" si="224"/>
        <v>-0.11568168970955606</v>
      </c>
    </row>
    <row r="499" spans="1:13" x14ac:dyDescent="0.3">
      <c r="A499" s="1">
        <v>44929</v>
      </c>
      <c r="B499" s="5">
        <v>17480299.104940046</v>
      </c>
      <c r="C499" s="5">
        <v>16118372.733229466</v>
      </c>
      <c r="D499" s="5">
        <v>0</v>
      </c>
      <c r="E499" s="5">
        <f t="shared" si="228"/>
        <v>0</v>
      </c>
      <c r="F499" s="5">
        <f t="shared" si="228"/>
        <v>0</v>
      </c>
      <c r="G499" s="9">
        <f t="shared" si="230"/>
        <v>4.3995757684229808E-3</v>
      </c>
      <c r="H499" s="9">
        <f t="shared" si="230"/>
        <v>0</v>
      </c>
      <c r="I499" s="5">
        <f t="shared" si="231"/>
        <v>13186085.65716134</v>
      </c>
      <c r="J499" s="5">
        <f t="shared" si="232"/>
        <v>12080270.143527057</v>
      </c>
      <c r="K499" s="8">
        <f t="shared" ref="K499:L499" si="280">I499/I247-1</f>
        <v>2.390655911767392E-2</v>
      </c>
      <c r="L499" s="8">
        <f t="shared" si="280"/>
        <v>-9.8756211866988575E-2</v>
      </c>
      <c r="M499" s="8">
        <f t="shared" si="224"/>
        <v>-0.12266277098466249</v>
      </c>
    </row>
    <row r="500" spans="1:13" x14ac:dyDescent="0.3">
      <c r="A500" s="1">
        <v>44930</v>
      </c>
      <c r="B500" s="5">
        <v>17244247.894036785</v>
      </c>
      <c r="C500" s="5">
        <v>16213260.690793891</v>
      </c>
      <c r="D500" s="5">
        <v>0</v>
      </c>
      <c r="E500" s="5">
        <f t="shared" si="228"/>
        <v>0</v>
      </c>
      <c r="F500" s="5">
        <f t="shared" si="228"/>
        <v>0</v>
      </c>
      <c r="G500" s="9">
        <f t="shared" si="230"/>
        <v>-1.3503842782447095E-2</v>
      </c>
      <c r="H500" s="9">
        <f t="shared" si="230"/>
        <v>5.886943994588556E-3</v>
      </c>
      <c r="I500" s="5">
        <f t="shared" si="231"/>
        <v>13008022.829531154</v>
      </c>
      <c r="J500" s="5">
        <f t="shared" si="232"/>
        <v>12151386.017301502</v>
      </c>
      <c r="K500" s="8">
        <f t="shared" ref="K500:L500" si="281">I500/I248-1</f>
        <v>1.7255077127532159E-2</v>
      </c>
      <c r="L500" s="8">
        <f t="shared" si="281"/>
        <v>-8.8493730292667605E-2</v>
      </c>
      <c r="M500" s="8">
        <f t="shared" si="224"/>
        <v>-0.10574880742019976</v>
      </c>
    </row>
    <row r="501" spans="1:13" x14ac:dyDescent="0.3">
      <c r="A501" s="1">
        <v>44931</v>
      </c>
      <c r="B501" s="5">
        <v>17363408.995040834</v>
      </c>
      <c r="C501" s="5">
        <v>15997973.61897454</v>
      </c>
      <c r="D501" s="5">
        <v>0</v>
      </c>
      <c r="E501" s="5">
        <f t="shared" si="228"/>
        <v>0</v>
      </c>
      <c r="F501" s="5">
        <f t="shared" si="228"/>
        <v>0</v>
      </c>
      <c r="G501" s="9">
        <f t="shared" si="230"/>
        <v>6.9101941549596368E-3</v>
      </c>
      <c r="H501" s="9">
        <f t="shared" si="230"/>
        <v>-1.3278456192442056E-2</v>
      </c>
      <c r="I501" s="5">
        <f t="shared" si="231"/>
        <v>13097910.792855361</v>
      </c>
      <c r="J501" s="5">
        <f t="shared" si="232"/>
        <v>11990034.370393312</v>
      </c>
      <c r="K501" s="8">
        <f t="shared" ref="K501:L501" si="282">I501/I249-1</f>
        <v>8.7476049379768828E-3</v>
      </c>
      <c r="L501" s="8">
        <f t="shared" si="282"/>
        <v>-0.10187279319410447</v>
      </c>
      <c r="M501" s="8">
        <f t="shared" si="224"/>
        <v>-0.11062039813208135</v>
      </c>
    </row>
    <row r="502" spans="1:13" x14ac:dyDescent="0.3">
      <c r="A502" s="1">
        <v>44932</v>
      </c>
      <c r="B502" s="5">
        <v>17236063.535126071</v>
      </c>
      <c r="C502" s="5">
        <v>16393401.085074363</v>
      </c>
      <c r="D502" s="5">
        <v>0</v>
      </c>
      <c r="E502" s="5">
        <f t="shared" si="228"/>
        <v>0</v>
      </c>
      <c r="F502" s="5">
        <f t="shared" si="228"/>
        <v>0</v>
      </c>
      <c r="G502" s="9">
        <f t="shared" si="230"/>
        <v>-7.3341277597696042E-3</v>
      </c>
      <c r="H502" s="9">
        <f t="shared" si="230"/>
        <v>2.4717347053930805E-2</v>
      </c>
      <c r="I502" s="5">
        <f t="shared" si="231"/>
        <v>13001849.041714495</v>
      </c>
      <c r="J502" s="5">
        <f t="shared" si="232"/>
        <v>12286396.211114882</v>
      </c>
      <c r="K502" s="8">
        <f t="shared" ref="K502:L502" si="283">I502/I250-1</f>
        <v>-6.4587039553209991E-3</v>
      </c>
      <c r="L502" s="8">
        <f t="shared" si="283"/>
        <v>-8.0976954078115448E-2</v>
      </c>
      <c r="M502" s="8">
        <f t="shared" si="224"/>
        <v>-7.4518250122794449E-2</v>
      </c>
    </row>
    <row r="503" spans="1:13" x14ac:dyDescent="0.3">
      <c r="A503" s="1">
        <v>44935</v>
      </c>
      <c r="B503" s="5">
        <v>17375446.713052016</v>
      </c>
      <c r="C503" s="5">
        <v>16312596.013897106</v>
      </c>
      <c r="D503" s="5">
        <v>0</v>
      </c>
      <c r="E503" s="5">
        <f t="shared" si="228"/>
        <v>0</v>
      </c>
      <c r="F503" s="5">
        <f t="shared" si="228"/>
        <v>0</v>
      </c>
      <c r="G503" s="9">
        <f t="shared" si="230"/>
        <v>8.0867175757324272E-3</v>
      </c>
      <c r="H503" s="9">
        <f t="shared" si="230"/>
        <v>-4.9291218312731422E-3</v>
      </c>
      <c r="I503" s="5">
        <f t="shared" si="231"/>
        <v>13106991.322877148</v>
      </c>
      <c r="J503" s="5">
        <f t="shared" si="232"/>
        <v>12225835.067323003</v>
      </c>
      <c r="K503" s="8">
        <f t="shared" ref="K503:L503" si="284">I503/I251-1</f>
        <v>1.4194872889596866E-3</v>
      </c>
      <c r="L503" s="8">
        <f t="shared" si="284"/>
        <v>-8.7447374021116797E-2</v>
      </c>
      <c r="M503" s="8">
        <f t="shared" si="224"/>
        <v>-8.8866861310076484E-2</v>
      </c>
    </row>
    <row r="504" spans="1:13" x14ac:dyDescent="0.3">
      <c r="A504" s="1">
        <v>44936</v>
      </c>
      <c r="B504" s="5">
        <v>17312245.763182219</v>
      </c>
      <c r="C504" s="5">
        <v>16274857.288591594</v>
      </c>
      <c r="D504" s="5">
        <v>0</v>
      </c>
      <c r="E504" s="5">
        <f t="shared" si="228"/>
        <v>0</v>
      </c>
      <c r="F504" s="5">
        <f t="shared" si="228"/>
        <v>0</v>
      </c>
      <c r="G504" s="9">
        <f t="shared" si="230"/>
        <v>-3.6373712235163724E-3</v>
      </c>
      <c r="H504" s="9">
        <f t="shared" si="230"/>
        <v>-2.3134714593165961E-3</v>
      </c>
      <c r="I504" s="5">
        <f t="shared" si="231"/>
        <v>13059316.329812435</v>
      </c>
      <c r="J504" s="5">
        <f t="shared" si="232"/>
        <v>12197550.94682844</v>
      </c>
      <c r="K504" s="8">
        <f t="shared" ref="K504:L504" si="285">I504/I252-1</f>
        <v>-6.9854034314201785E-3</v>
      </c>
      <c r="L504" s="8">
        <f t="shared" si="285"/>
        <v>-6.9000067103319851E-2</v>
      </c>
      <c r="M504" s="8">
        <f t="shared" si="224"/>
        <v>-6.2014663671899672E-2</v>
      </c>
    </row>
    <row r="505" spans="1:13" x14ac:dyDescent="0.3">
      <c r="A505" s="1">
        <v>44937</v>
      </c>
      <c r="B505" s="5">
        <v>17256057.047781933</v>
      </c>
      <c r="C505" s="5">
        <v>16484341.746016828</v>
      </c>
      <c r="D505" s="5">
        <v>0</v>
      </c>
      <c r="E505" s="5">
        <f t="shared" si="228"/>
        <v>0</v>
      </c>
      <c r="F505" s="5">
        <f t="shared" si="228"/>
        <v>0</v>
      </c>
      <c r="G505" s="9">
        <f t="shared" si="230"/>
        <v>-3.2456052304769001E-3</v>
      </c>
      <c r="H505" s="9">
        <f t="shared" si="230"/>
        <v>1.2871661711717719E-2</v>
      </c>
      <c r="I505" s="5">
        <f t="shared" si="231"/>
        <v>13016930.944425944</v>
      </c>
      <c r="J505" s="5">
        <f t="shared" si="232"/>
        <v>12354553.696327457</v>
      </c>
      <c r="K505" s="8">
        <f t="shared" ref="K505:L505" si="286">I505/I253-1</f>
        <v>-7.6368371987686201E-3</v>
      </c>
      <c r="L505" s="8">
        <f t="shared" si="286"/>
        <v>-5.7317035281589601E-2</v>
      </c>
      <c r="M505" s="8">
        <f t="shared" si="224"/>
        <v>-4.9680198082820981E-2</v>
      </c>
    </row>
    <row r="506" spans="1:13" x14ac:dyDescent="0.3">
      <c r="A506" s="1">
        <v>44938</v>
      </c>
      <c r="B506" s="5">
        <v>17292715.239680629</v>
      </c>
      <c r="C506" s="5">
        <v>16459489.228329496</v>
      </c>
      <c r="D506" s="5">
        <v>0</v>
      </c>
      <c r="E506" s="5">
        <f t="shared" si="228"/>
        <v>0</v>
      </c>
      <c r="F506" s="5">
        <f t="shared" si="228"/>
        <v>0</v>
      </c>
      <c r="G506" s="9">
        <f t="shared" si="230"/>
        <v>2.1243666381718374E-3</v>
      </c>
      <c r="H506" s="9">
        <f t="shared" si="230"/>
        <v>-1.5076439247770912E-3</v>
      </c>
      <c r="I506" s="5">
        <f t="shared" si="231"/>
        <v>13044583.67825567</v>
      </c>
      <c r="J506" s="5">
        <f t="shared" si="232"/>
        <v>12335927.428503856</v>
      </c>
      <c r="K506" s="8">
        <f t="shared" ref="K506:L506" si="287">I506/I254-1</f>
        <v>-9.6321038129174585E-3</v>
      </c>
      <c r="L506" s="8">
        <f t="shared" si="287"/>
        <v>-5.3428269520658489E-2</v>
      </c>
      <c r="M506" s="8">
        <f t="shared" si="224"/>
        <v>-4.379616570774103E-2</v>
      </c>
    </row>
    <row r="507" spans="1:13" x14ac:dyDescent="0.3">
      <c r="A507" s="1">
        <v>44939</v>
      </c>
      <c r="B507" s="5">
        <v>17364208.969971955</v>
      </c>
      <c r="C507" s="5">
        <v>16550302.603344228</v>
      </c>
      <c r="D507" s="5">
        <v>0</v>
      </c>
      <c r="E507" s="5">
        <f t="shared" si="228"/>
        <v>0</v>
      </c>
      <c r="F507" s="5">
        <f t="shared" si="228"/>
        <v>0</v>
      </c>
      <c r="G507" s="9">
        <f t="shared" si="230"/>
        <v>4.1343264663997736E-3</v>
      </c>
      <c r="H507" s="9">
        <f t="shared" si="230"/>
        <v>5.5173871895384252E-3</v>
      </c>
      <c r="I507" s="5">
        <f t="shared" si="231"/>
        <v>13098514.245799849</v>
      </c>
      <c r="J507" s="5">
        <f t="shared" si="232"/>
        <v>12403989.516468959</v>
      </c>
      <c r="K507" s="8">
        <f t="shared" ref="K507:L507" si="288">I507/I255-1</f>
        <v>-9.4224625247911753E-3</v>
      </c>
      <c r="L507" s="8">
        <f t="shared" si="288"/>
        <v>-4.413011516017995E-2</v>
      </c>
      <c r="M507" s="8">
        <f t="shared" si="224"/>
        <v>-3.4707652635388775E-2</v>
      </c>
    </row>
    <row r="508" spans="1:13" x14ac:dyDescent="0.3">
      <c r="A508" s="1">
        <v>44942</v>
      </c>
      <c r="B508" s="5">
        <v>17352971.226891898</v>
      </c>
      <c r="C508" s="5">
        <v>16569544.032554973</v>
      </c>
      <c r="D508" s="5">
        <v>0</v>
      </c>
      <c r="E508" s="5">
        <f t="shared" si="228"/>
        <v>0</v>
      </c>
      <c r="F508" s="5">
        <f t="shared" si="228"/>
        <v>0</v>
      </c>
      <c r="G508" s="9">
        <f t="shared" si="230"/>
        <v>-6.4717852103091111E-4</v>
      </c>
      <c r="H508" s="9">
        <f t="shared" si="230"/>
        <v>1.1626028642435227E-3</v>
      </c>
      <c r="I508" s="5">
        <f t="shared" si="231"/>
        <v>13090037.168722549</v>
      </c>
      <c r="J508" s="5">
        <f t="shared" si="232"/>
        <v>12418410.430208853</v>
      </c>
      <c r="K508" s="8">
        <f t="shared" ref="K508:L508" si="289">I508/I256-1</f>
        <v>-9.6264738818706563E-3</v>
      </c>
      <c r="L508" s="8">
        <f t="shared" si="289"/>
        <v>-4.8492893107821455E-2</v>
      </c>
      <c r="M508" s="8">
        <f t="shared" si="224"/>
        <v>-3.8866419225950799E-2</v>
      </c>
    </row>
    <row r="509" spans="1:13" x14ac:dyDescent="0.3">
      <c r="A509" s="1">
        <v>44943</v>
      </c>
      <c r="B509" s="5">
        <v>17367936.325694989</v>
      </c>
      <c r="C509" s="5">
        <v>16569544.032554973</v>
      </c>
      <c r="D509" s="5">
        <v>0</v>
      </c>
      <c r="E509" s="5">
        <f t="shared" si="228"/>
        <v>0</v>
      </c>
      <c r="F509" s="5">
        <f t="shared" si="228"/>
        <v>0</v>
      </c>
      <c r="G509" s="9">
        <f t="shared" si="230"/>
        <v>8.623940308216671E-4</v>
      </c>
      <c r="H509" s="9">
        <f t="shared" si="230"/>
        <v>0</v>
      </c>
      <c r="I509" s="5">
        <f t="shared" si="231"/>
        <v>13101325.93864009</v>
      </c>
      <c r="J509" s="5">
        <f t="shared" si="232"/>
        <v>12418410.430208853</v>
      </c>
      <c r="K509" s="8">
        <f t="shared" ref="K509:L509" si="290">I509/I257-1</f>
        <v>-1.6108153511852352E-2</v>
      </c>
      <c r="L509" s="8">
        <f t="shared" si="290"/>
        <v>-5.0666576435984378E-2</v>
      </c>
      <c r="M509" s="8">
        <f t="shared" si="224"/>
        <v>-3.4558422924132026E-2</v>
      </c>
    </row>
    <row r="510" spans="1:13" x14ac:dyDescent="0.3">
      <c r="A510" s="1">
        <v>44944</v>
      </c>
      <c r="B510" s="5">
        <v>17369398.550935395</v>
      </c>
      <c r="C510" s="5">
        <v>16263697.202334875</v>
      </c>
      <c r="D510" s="5">
        <v>0</v>
      </c>
      <c r="E510" s="5">
        <f t="shared" si="228"/>
        <v>0</v>
      </c>
      <c r="F510" s="5">
        <f t="shared" si="228"/>
        <v>0</v>
      </c>
      <c r="G510" s="9">
        <f t="shared" si="230"/>
        <v>8.4191075611084187E-5</v>
      </c>
      <c r="H510" s="9">
        <f t="shared" si="230"/>
        <v>-1.845837336375622E-2</v>
      </c>
      <c r="I510" s="5">
        <f t="shared" si="231"/>
        <v>13102428.953362795</v>
      </c>
      <c r="J510" s="5">
        <f t="shared" si="232"/>
        <v>12189186.773903692</v>
      </c>
      <c r="K510" s="8">
        <f t="shared" ref="K510:L510" si="291">I510/I258-1</f>
        <v>-2.0392065091987988E-2</v>
      </c>
      <c r="L510" s="8">
        <f t="shared" si="291"/>
        <v>-5.7258899208092906E-2</v>
      </c>
      <c r="M510" s="8">
        <f t="shared" si="224"/>
        <v>-3.6866834116104918E-2</v>
      </c>
    </row>
    <row r="511" spans="1:13" x14ac:dyDescent="0.3">
      <c r="A511" s="1">
        <v>44945</v>
      </c>
      <c r="B511" s="5">
        <v>17309283.218657073</v>
      </c>
      <c r="C511" s="5">
        <v>16131587.066297373</v>
      </c>
      <c r="D511" s="5">
        <v>0</v>
      </c>
      <c r="E511" s="5">
        <f t="shared" si="228"/>
        <v>0</v>
      </c>
      <c r="F511" s="5">
        <f t="shared" si="228"/>
        <v>0</v>
      </c>
      <c r="G511" s="9">
        <f t="shared" si="230"/>
        <v>-3.4609910125578125E-3</v>
      </c>
      <c r="H511" s="9">
        <f t="shared" si="230"/>
        <v>-8.1230076036177268E-3</v>
      </c>
      <c r="I511" s="5">
        <f t="shared" si="231"/>
        <v>13057081.564512528</v>
      </c>
      <c r="J511" s="5">
        <f t="shared" si="232"/>
        <v>12090173.917057356</v>
      </c>
      <c r="K511" s="8">
        <f t="shared" ref="K511:L511" si="292">I511/I259-1</f>
        <v>-2.5195337092735026E-2</v>
      </c>
      <c r="L511" s="8">
        <f t="shared" si="292"/>
        <v>-6.7212692202119118E-2</v>
      </c>
      <c r="M511" s="8">
        <f t="shared" ref="M511:M574" si="293">L511-K511</f>
        <v>-4.2017355109384091E-2</v>
      </c>
    </row>
    <row r="512" spans="1:13" x14ac:dyDescent="0.3">
      <c r="A512" s="1">
        <v>44946</v>
      </c>
      <c r="B512" s="5">
        <v>17244341.663992088</v>
      </c>
      <c r="C512" s="5">
        <v>16378462.302317595</v>
      </c>
      <c r="D512" s="5">
        <v>0</v>
      </c>
      <c r="E512" s="5">
        <f t="shared" si="228"/>
        <v>0</v>
      </c>
      <c r="F512" s="5">
        <f t="shared" si="228"/>
        <v>0</v>
      </c>
      <c r="G512" s="9">
        <f t="shared" si="230"/>
        <v>-3.7518338480351243E-3</v>
      </c>
      <c r="H512" s="9">
        <f t="shared" si="230"/>
        <v>1.5303840533830826E-2</v>
      </c>
      <c r="I512" s="5">
        <f t="shared" si="231"/>
        <v>13008093.563942235</v>
      </c>
      <c r="J512" s="5">
        <f t="shared" si="232"/>
        <v>12275200.010710282</v>
      </c>
      <c r="K512" s="8">
        <f t="shared" ref="K512:L512" si="294">I512/I260-1</f>
        <v>-3.2486613454232982E-2</v>
      </c>
      <c r="L512" s="8">
        <f t="shared" si="294"/>
        <v>-4.1423071247431831E-2</v>
      </c>
      <c r="M512" s="8">
        <f t="shared" si="293"/>
        <v>-8.9364577931988487E-3</v>
      </c>
    </row>
    <row r="513" spans="1:13" x14ac:dyDescent="0.3">
      <c r="A513" s="1">
        <v>44949</v>
      </c>
      <c r="B513" s="5">
        <v>17271036.798140541</v>
      </c>
      <c r="C513" s="5">
        <v>16659019.114250721</v>
      </c>
      <c r="D513" s="5">
        <v>0</v>
      </c>
      <c r="E513" s="5">
        <f t="shared" si="228"/>
        <v>0</v>
      </c>
      <c r="F513" s="5">
        <f t="shared" si="228"/>
        <v>0</v>
      </c>
      <c r="G513" s="9">
        <f t="shared" si="230"/>
        <v>1.5480517997503718E-3</v>
      </c>
      <c r="H513" s="9">
        <f t="shared" si="230"/>
        <v>1.7129618565805638E-2</v>
      </c>
      <c r="I513" s="5">
        <f t="shared" si="231"/>
        <v>13028230.766595216</v>
      </c>
      <c r="J513" s="5">
        <f t="shared" si="232"/>
        <v>12485469.504712723</v>
      </c>
      <c r="K513" s="8">
        <f t="shared" ref="K513:L513" si="295">I513/I261-1</f>
        <v>-1.3965429468282831E-2</v>
      </c>
      <c r="L513" s="8">
        <f t="shared" si="295"/>
        <v>-2.5003014091918851E-2</v>
      </c>
      <c r="M513" s="8">
        <f t="shared" si="293"/>
        <v>-1.1037584623636021E-2</v>
      </c>
    </row>
    <row r="514" spans="1:13" x14ac:dyDescent="0.3">
      <c r="A514" s="1">
        <v>44950</v>
      </c>
      <c r="B514" s="5">
        <v>17227536.3298163</v>
      </c>
      <c r="C514" s="5">
        <v>16672087.29537159</v>
      </c>
      <c r="D514" s="5">
        <v>0</v>
      </c>
      <c r="E514" s="5">
        <f t="shared" si="228"/>
        <v>0</v>
      </c>
      <c r="F514" s="5">
        <f t="shared" si="228"/>
        <v>0</v>
      </c>
      <c r="G514" s="9">
        <f t="shared" si="230"/>
        <v>-2.5186946697330903E-3</v>
      </c>
      <c r="H514" s="9">
        <f t="shared" si="230"/>
        <v>7.8445081497569014E-4</v>
      </c>
      <c r="I514" s="5">
        <f t="shared" si="231"/>
        <v>12995416.631207341</v>
      </c>
      <c r="J514" s="5">
        <f t="shared" si="232"/>
        <v>12495263.741441049</v>
      </c>
      <c r="K514" s="8">
        <f t="shared" ref="K514:L514" si="296">I514/I262-1</f>
        <v>-1.5754079525104547E-2</v>
      </c>
      <c r="L514" s="8">
        <f t="shared" si="296"/>
        <v>-1.2459059738967215E-2</v>
      </c>
      <c r="M514" s="8">
        <f t="shared" si="293"/>
        <v>3.295019786137332E-3</v>
      </c>
    </row>
    <row r="515" spans="1:13" x14ac:dyDescent="0.3">
      <c r="A515" s="1">
        <v>44951</v>
      </c>
      <c r="B515" s="5">
        <v>16795101.529411275</v>
      </c>
      <c r="C515" s="5">
        <v>16661047.0919211</v>
      </c>
      <c r="D515" s="5">
        <v>0</v>
      </c>
      <c r="E515" s="5">
        <f t="shared" ref="E515:F578" si="297">$D515*-1</f>
        <v>0</v>
      </c>
      <c r="F515" s="5">
        <f t="shared" si="297"/>
        <v>0</v>
      </c>
      <c r="G515" s="9">
        <f t="shared" si="230"/>
        <v>-2.5101372136223321E-2</v>
      </c>
      <c r="H515" s="9">
        <f t="shared" si="230"/>
        <v>-6.6219683563883969E-4</v>
      </c>
      <c r="I515" s="5">
        <f t="shared" si="231"/>
        <v>12669213.842282141</v>
      </c>
      <c r="J515" s="5">
        <f t="shared" si="232"/>
        <v>12486989.417330993</v>
      </c>
      <c r="K515" s="8">
        <f t="shared" ref="K515:L515" si="298">I515/I263-1</f>
        <v>-3.9790464696203398E-2</v>
      </c>
      <c r="L515" s="8">
        <f t="shared" si="298"/>
        <v>-1.2343337059593784E-3</v>
      </c>
      <c r="M515" s="8">
        <f t="shared" si="293"/>
        <v>3.855613099024402E-2</v>
      </c>
    </row>
    <row r="516" spans="1:13" x14ac:dyDescent="0.3">
      <c r="A516" s="1">
        <v>44953</v>
      </c>
      <c r="B516" s="5">
        <v>16169846.397805749</v>
      </c>
      <c r="C516" s="5">
        <v>16898339.822995305</v>
      </c>
      <c r="D516" s="5">
        <v>0</v>
      </c>
      <c r="E516" s="5">
        <f t="shared" si="297"/>
        <v>0</v>
      </c>
      <c r="F516" s="5">
        <f t="shared" si="297"/>
        <v>0</v>
      </c>
      <c r="G516" s="9">
        <f t="shared" ref="G516:H579" si="299">((B516-$D516)/B515-1)</f>
        <v>-3.7228422258156146E-2</v>
      </c>
      <c r="H516" s="9">
        <f t="shared" si="299"/>
        <v>1.4242366026878894E-2</v>
      </c>
      <c r="I516" s="5">
        <f t="shared" ref="I516:I579" si="300">I515*(1+G516)</f>
        <v>12197558.999682784</v>
      </c>
      <c r="J516" s="5">
        <f t="shared" ref="J516:J579" si="301">J515*(1+H516)</f>
        <v>12664833.691186385</v>
      </c>
      <c r="K516" s="8">
        <f t="shared" ref="K516:L516" si="302">I516/I264-1</f>
        <v>-5.9897146572097992E-2</v>
      </c>
      <c r="L516" s="8">
        <f t="shared" si="302"/>
        <v>3.3065244359685719E-2</v>
      </c>
      <c r="M516" s="8">
        <f t="shared" si="293"/>
        <v>9.2962390931783712E-2</v>
      </c>
    </row>
    <row r="517" spans="1:13" x14ac:dyDescent="0.3">
      <c r="A517" s="1">
        <v>44956</v>
      </c>
      <c r="B517" s="5">
        <v>15985503.456626266</v>
      </c>
      <c r="C517" s="5">
        <v>16666452.325857898</v>
      </c>
      <c r="D517" s="5">
        <v>0</v>
      </c>
      <c r="E517" s="5">
        <f t="shared" si="297"/>
        <v>0</v>
      </c>
      <c r="F517" s="5">
        <f t="shared" si="297"/>
        <v>0</v>
      </c>
      <c r="G517" s="9">
        <f t="shared" si="299"/>
        <v>-1.1400413871865744E-2</v>
      </c>
      <c r="H517" s="9">
        <f t="shared" si="299"/>
        <v>-1.3722501711194934E-2</v>
      </c>
      <c r="I517" s="5">
        <f t="shared" si="300"/>
        <v>12058501.7788599</v>
      </c>
      <c r="J517" s="5">
        <f t="shared" si="301"/>
        <v>12491040.48918708</v>
      </c>
      <c r="K517" s="8">
        <f t="shared" ref="K517:L517" si="303">I517/I265-1</f>
        <v>-3.4777374482862111E-2</v>
      </c>
      <c r="L517" s="8">
        <f t="shared" si="303"/>
        <v>1.0089316930251613E-2</v>
      </c>
      <c r="M517" s="8">
        <f t="shared" si="293"/>
        <v>4.4866691413113724E-2</v>
      </c>
    </row>
    <row r="518" spans="1:13" x14ac:dyDescent="0.3">
      <c r="A518" s="1">
        <v>44957</v>
      </c>
      <c r="B518" s="5">
        <v>16152862.314652683</v>
      </c>
      <c r="C518" s="5">
        <v>16956483.93925973</v>
      </c>
      <c r="D518" s="5">
        <v>0</v>
      </c>
      <c r="E518" s="5">
        <f t="shared" si="297"/>
        <v>0</v>
      </c>
      <c r="F518" s="5">
        <f t="shared" si="297"/>
        <v>0</v>
      </c>
      <c r="G518" s="9">
        <f t="shared" si="299"/>
        <v>1.0469414271531363E-2</v>
      </c>
      <c r="H518" s="9">
        <f t="shared" si="299"/>
        <v>1.7402120603186244E-2</v>
      </c>
      <c r="I518" s="5">
        <f t="shared" si="300"/>
        <v>12184747.229476782</v>
      </c>
      <c r="J518" s="5">
        <f t="shared" si="301"/>
        <v>12708411.082239196</v>
      </c>
      <c r="K518" s="8">
        <f t="shared" ref="K518:L518" si="304">I518/I266-1</f>
        <v>-3.3776153013016286E-2</v>
      </c>
      <c r="L518" s="8">
        <f t="shared" si="304"/>
        <v>4.0185847090559612E-2</v>
      </c>
      <c r="M518" s="8">
        <f t="shared" si="293"/>
        <v>7.3962000103575898E-2</v>
      </c>
    </row>
    <row r="519" spans="1:13" x14ac:dyDescent="0.3">
      <c r="A519" s="1">
        <v>44958</v>
      </c>
      <c r="B519" s="5">
        <v>15891543.031108135</v>
      </c>
      <c r="C519" s="5">
        <v>17142185.510649256</v>
      </c>
      <c r="D519" s="5">
        <v>0</v>
      </c>
      <c r="E519" s="5">
        <f t="shared" si="297"/>
        <v>0</v>
      </c>
      <c r="F519" s="5">
        <f t="shared" si="297"/>
        <v>0</v>
      </c>
      <c r="G519" s="9">
        <f t="shared" si="299"/>
        <v>-1.6177893332719018E-2</v>
      </c>
      <c r="H519" s="9">
        <f t="shared" si="299"/>
        <v>1.0951655546912464E-2</v>
      </c>
      <c r="I519" s="5">
        <f t="shared" si="300"/>
        <v>11987623.688512163</v>
      </c>
      <c r="J519" s="5">
        <f t="shared" si="301"/>
        <v>12847589.222960444</v>
      </c>
      <c r="K519" s="8">
        <f t="shared" ref="K519:L519" si="305">I519/I267-1</f>
        <v>-3.2909018184451244E-2</v>
      </c>
      <c r="L519" s="8">
        <f t="shared" si="305"/>
        <v>5.2437119804823018E-2</v>
      </c>
      <c r="M519" s="8">
        <f t="shared" si="293"/>
        <v>8.5346137989274262E-2</v>
      </c>
    </row>
    <row r="520" spans="1:13" x14ac:dyDescent="0.3">
      <c r="A520" s="1">
        <v>44959</v>
      </c>
      <c r="B520" s="5">
        <v>15853941.279034264</v>
      </c>
      <c r="C520" s="5">
        <v>17458950.273409896</v>
      </c>
      <c r="D520" s="5">
        <v>0</v>
      </c>
      <c r="E520" s="5">
        <f t="shared" si="297"/>
        <v>0</v>
      </c>
      <c r="F520" s="5">
        <f t="shared" si="297"/>
        <v>0</v>
      </c>
      <c r="G520" s="9">
        <f t="shared" si="299"/>
        <v>-2.366148586091632E-3</v>
      </c>
      <c r="H520" s="9">
        <f t="shared" si="299"/>
        <v>1.847866846172308E-2</v>
      </c>
      <c r="I520" s="5">
        <f t="shared" si="300"/>
        <v>11959259.189670991</v>
      </c>
      <c r="J520" s="5">
        <f t="shared" si="301"/>
        <v>13084995.564743936</v>
      </c>
      <c r="K520" s="8">
        <f t="shared" ref="K520:L520" si="306">I520/I268-1</f>
        <v>-4.3124869786186348E-2</v>
      </c>
      <c r="L520" s="8">
        <f t="shared" si="306"/>
        <v>4.8796429892013826E-2</v>
      </c>
      <c r="M520" s="8">
        <f t="shared" si="293"/>
        <v>9.1921299678200175E-2</v>
      </c>
    </row>
    <row r="521" spans="1:13" x14ac:dyDescent="0.3">
      <c r="A521" s="1">
        <v>44960</v>
      </c>
      <c r="B521" s="5">
        <v>15851846.106595611</v>
      </c>
      <c r="C521" s="5">
        <v>17316876.491074294</v>
      </c>
      <c r="D521" s="5">
        <v>0</v>
      </c>
      <c r="E521" s="5">
        <f t="shared" si="297"/>
        <v>0</v>
      </c>
      <c r="F521" s="5">
        <f t="shared" si="297"/>
        <v>0</v>
      </c>
      <c r="G521" s="9">
        <f t="shared" si="299"/>
        <v>-1.3215467383020929E-4</v>
      </c>
      <c r="H521" s="9">
        <f t="shared" si="299"/>
        <v>-8.1375901821532093E-3</v>
      </c>
      <c r="I521" s="5">
        <f t="shared" si="300"/>
        <v>11957678.717673529</v>
      </c>
      <c r="J521" s="5">
        <f t="shared" si="301"/>
        <v>12978515.233302757</v>
      </c>
      <c r="K521" s="8">
        <f t="shared" ref="K521:L521" si="307">I521/I269-1</f>
        <v>-5.4055098510353949E-2</v>
      </c>
      <c r="L521" s="8">
        <f t="shared" si="307"/>
        <v>2.6434497275080293E-2</v>
      </c>
      <c r="M521" s="8">
        <f t="shared" si="293"/>
        <v>8.0489595785434243E-2</v>
      </c>
    </row>
    <row r="522" spans="1:13" x14ac:dyDescent="0.3">
      <c r="A522" s="1">
        <v>44963</v>
      </c>
      <c r="B522" s="5">
        <v>15939819.906530283</v>
      </c>
      <c r="C522" s="5">
        <v>17328947.638896313</v>
      </c>
      <c r="D522" s="5">
        <v>0</v>
      </c>
      <c r="E522" s="5">
        <f t="shared" si="297"/>
        <v>0</v>
      </c>
      <c r="F522" s="5">
        <f t="shared" si="297"/>
        <v>0</v>
      </c>
      <c r="G522" s="9">
        <f t="shared" si="299"/>
        <v>5.5497510727200439E-3</v>
      </c>
      <c r="H522" s="9">
        <f t="shared" si="299"/>
        <v>6.970741997402996E-4</v>
      </c>
      <c r="I522" s="5">
        <f t="shared" si="300"/>
        <v>12024040.857964179</v>
      </c>
      <c r="J522" s="5">
        <f t="shared" si="301"/>
        <v>12987562.221422829</v>
      </c>
      <c r="K522" s="8">
        <f t="shared" ref="K522:L522" si="308">I522/I270-1</f>
        <v>-6.5033367147943943E-2</v>
      </c>
      <c r="L522" s="8">
        <f t="shared" si="308"/>
        <v>1.7688036471013246E-2</v>
      </c>
      <c r="M522" s="8">
        <f t="shared" si="293"/>
        <v>8.272140361895719E-2</v>
      </c>
    </row>
    <row r="523" spans="1:13" x14ac:dyDescent="0.3">
      <c r="A523" s="1">
        <v>44964</v>
      </c>
      <c r="B523" s="5">
        <v>15915017.753354376</v>
      </c>
      <c r="C523" s="5">
        <v>17560809.583324023</v>
      </c>
      <c r="D523" s="5">
        <v>0</v>
      </c>
      <c r="E523" s="5">
        <f t="shared" si="297"/>
        <v>0</v>
      </c>
      <c r="F523" s="5">
        <f t="shared" si="297"/>
        <v>0</v>
      </c>
      <c r="G523" s="9">
        <f t="shared" si="299"/>
        <v>-1.5559870388338615E-3</v>
      </c>
      <c r="H523" s="9">
        <f t="shared" si="299"/>
        <v>1.3380036067930368E-2</v>
      </c>
      <c r="I523" s="5">
        <f t="shared" si="300"/>
        <v>12005331.606234778</v>
      </c>
      <c r="J523" s="5">
        <f t="shared" si="301"/>
        <v>13161336.272379955</v>
      </c>
      <c r="K523" s="8">
        <f t="shared" ref="K523:L523" si="309">I523/I271-1</f>
        <v>-7.6269108011052911E-2</v>
      </c>
      <c r="L523" s="8">
        <f t="shared" si="309"/>
        <v>2.1805396970257851E-2</v>
      </c>
      <c r="M523" s="8">
        <f t="shared" si="293"/>
        <v>9.8074504981310762E-2</v>
      </c>
    </row>
    <row r="524" spans="1:13" x14ac:dyDescent="0.3">
      <c r="A524" s="1">
        <v>44965</v>
      </c>
      <c r="B524" s="5">
        <v>16057905.583359526</v>
      </c>
      <c r="C524" s="5">
        <v>17333213.508553158</v>
      </c>
      <c r="D524" s="5">
        <v>0</v>
      </c>
      <c r="E524" s="5">
        <f t="shared" si="297"/>
        <v>0</v>
      </c>
      <c r="F524" s="5">
        <f t="shared" si="297"/>
        <v>0</v>
      </c>
      <c r="G524" s="9">
        <f t="shared" si="299"/>
        <v>8.9781759731328847E-3</v>
      </c>
      <c r="H524" s="9">
        <f t="shared" si="299"/>
        <v>-1.2960454567367607E-2</v>
      </c>
      <c r="I524" s="5">
        <f t="shared" si="300"/>
        <v>12113117.586011367</v>
      </c>
      <c r="J524" s="5">
        <f t="shared" si="301"/>
        <v>12990759.371575927</v>
      </c>
      <c r="K524" s="8">
        <f t="shared" ref="K524:L524" si="310">I524/I272-1</f>
        <v>-6.3119996156693281E-2</v>
      </c>
      <c r="L524" s="8">
        <f t="shared" si="310"/>
        <v>3.4557780480507061E-2</v>
      </c>
      <c r="M524" s="8">
        <f t="shared" si="293"/>
        <v>9.7677776637200342E-2</v>
      </c>
    </row>
    <row r="525" spans="1:13" x14ac:dyDescent="0.3">
      <c r="A525" s="1">
        <v>44966</v>
      </c>
      <c r="B525" s="5">
        <v>15978054.605802406</v>
      </c>
      <c r="C525" s="5">
        <v>17139134.230539221</v>
      </c>
      <c r="D525" s="5">
        <v>0</v>
      </c>
      <c r="E525" s="5">
        <f t="shared" si="297"/>
        <v>0</v>
      </c>
      <c r="F525" s="5">
        <f t="shared" si="297"/>
        <v>0</v>
      </c>
      <c r="G525" s="9">
        <f t="shared" si="299"/>
        <v>-4.9726894421318057E-3</v>
      </c>
      <c r="H525" s="9">
        <f t="shared" si="299"/>
        <v>-1.1196958828100012E-2</v>
      </c>
      <c r="I525" s="5">
        <f t="shared" si="300"/>
        <v>12052882.814080108</v>
      </c>
      <c r="J525" s="5">
        <f t="shared" si="301"/>
        <v>12845302.373746637</v>
      </c>
      <c r="K525" s="8">
        <f t="shared" ref="K525:L525" si="311">I525/I273-1</f>
        <v>-6.7308407765140688E-2</v>
      </c>
      <c r="L525" s="8">
        <f t="shared" si="311"/>
        <v>1.8919754676598011E-2</v>
      </c>
      <c r="M525" s="8">
        <f t="shared" si="293"/>
        <v>8.6228162441738698E-2</v>
      </c>
    </row>
    <row r="526" spans="1:13" x14ac:dyDescent="0.3">
      <c r="A526" s="1">
        <v>44967</v>
      </c>
      <c r="B526" s="5">
        <v>15968923.756405417</v>
      </c>
      <c r="C526" s="5">
        <v>17186513.252900522</v>
      </c>
      <c r="D526" s="5">
        <v>0</v>
      </c>
      <c r="E526" s="5">
        <f t="shared" si="297"/>
        <v>0</v>
      </c>
      <c r="F526" s="5">
        <f t="shared" si="297"/>
        <v>0</v>
      </c>
      <c r="G526" s="9">
        <f t="shared" si="299"/>
        <v>-5.7146189709933459E-4</v>
      </c>
      <c r="H526" s="9">
        <f t="shared" si="299"/>
        <v>2.7643766437677186E-3</v>
      </c>
      <c r="I526" s="5">
        <f t="shared" si="300"/>
        <v>12045995.050801657</v>
      </c>
      <c r="J526" s="5">
        <f t="shared" si="301"/>
        <v>12880811.627610756</v>
      </c>
      <c r="K526" s="8">
        <f t="shared" ref="K526:L526" si="312">I526/I274-1</f>
        <v>-6.1560667960266491E-2</v>
      </c>
      <c r="L526" s="8">
        <f t="shared" si="312"/>
        <v>2.4548917196694386E-2</v>
      </c>
      <c r="M526" s="8">
        <f t="shared" si="293"/>
        <v>8.6109585156960877E-2</v>
      </c>
    </row>
    <row r="527" spans="1:13" x14ac:dyDescent="0.3">
      <c r="A527" s="1">
        <v>44970</v>
      </c>
      <c r="B527" s="5">
        <v>15738765.401130317</v>
      </c>
      <c r="C527" s="5">
        <v>17438625.839166749</v>
      </c>
      <c r="D527" s="5">
        <v>0</v>
      </c>
      <c r="E527" s="5">
        <f t="shared" si="297"/>
        <v>0</v>
      </c>
      <c r="F527" s="5">
        <f t="shared" si="297"/>
        <v>0</v>
      </c>
      <c r="G527" s="9">
        <f t="shared" si="299"/>
        <v>-1.441289086140074E-2</v>
      </c>
      <c r="H527" s="9">
        <f t="shared" si="299"/>
        <v>1.4669210825743129E-2</v>
      </c>
      <c r="I527" s="5">
        <f t="shared" si="300"/>
        <v>11872377.438817479</v>
      </c>
      <c r="J527" s="5">
        <f t="shared" si="301"/>
        <v>13069762.968982862</v>
      </c>
      <c r="K527" s="8">
        <f t="shared" ref="K527:L527" si="313">I527/I275-1</f>
        <v>-7.0798915896142178E-2</v>
      </c>
      <c r="L527" s="8">
        <f t="shared" si="313"/>
        <v>3.0493595155239639E-2</v>
      </c>
      <c r="M527" s="8">
        <f t="shared" si="293"/>
        <v>0.10129251105138182</v>
      </c>
    </row>
    <row r="528" spans="1:13" x14ac:dyDescent="0.3">
      <c r="A528" s="1">
        <v>44971</v>
      </c>
      <c r="B528" s="5">
        <v>15721335.91068959</v>
      </c>
      <c r="C528" s="5">
        <v>17465369.734992262</v>
      </c>
      <c r="D528" s="5">
        <v>0</v>
      </c>
      <c r="E528" s="5">
        <f t="shared" si="297"/>
        <v>0</v>
      </c>
      <c r="F528" s="5">
        <f t="shared" si="297"/>
        <v>0</v>
      </c>
      <c r="G528" s="9">
        <f t="shared" si="299"/>
        <v>-1.1074242481227126E-3</v>
      </c>
      <c r="H528" s="9">
        <f t="shared" si="299"/>
        <v>1.5336011032156538E-3</v>
      </c>
      <c r="I528" s="5">
        <f t="shared" si="300"/>
        <v>11859229.680158867</v>
      </c>
      <c r="J528" s="5">
        <f t="shared" si="301"/>
        <v>13089806.771890862</v>
      </c>
      <c r="K528" s="8">
        <f t="shared" ref="K528:L528" si="314">I528/I276-1</f>
        <v>-8.2211502767697842E-2</v>
      </c>
      <c r="L528" s="8">
        <f t="shared" si="314"/>
        <v>1.5955322513137915E-2</v>
      </c>
      <c r="M528" s="8">
        <f t="shared" si="293"/>
        <v>9.8166825280835757E-2</v>
      </c>
    </row>
    <row r="529" spans="1:13" x14ac:dyDescent="0.3">
      <c r="A529" s="1">
        <v>44972</v>
      </c>
      <c r="B529" s="5">
        <v>15832793.223803815</v>
      </c>
      <c r="C529" s="5">
        <v>17501289.680512376</v>
      </c>
      <c r="D529" s="5">
        <v>0</v>
      </c>
      <c r="E529" s="5">
        <f t="shared" si="297"/>
        <v>0</v>
      </c>
      <c r="F529" s="5">
        <f t="shared" si="297"/>
        <v>0</v>
      </c>
      <c r="G529" s="9">
        <f t="shared" si="299"/>
        <v>7.0895573854152794E-3</v>
      </c>
      <c r="H529" s="9">
        <f t="shared" si="299"/>
        <v>2.0566381396522893E-3</v>
      </c>
      <c r="I529" s="5">
        <f t="shared" si="300"/>
        <v>11943306.369523173</v>
      </c>
      <c r="J529" s="5">
        <f t="shared" si="301"/>
        <v>13116727.767738612</v>
      </c>
      <c r="K529" s="8">
        <f t="shared" ref="K529:L529" si="315">I529/I277-1</f>
        <v>-7.9545073179192016E-2</v>
      </c>
      <c r="L529" s="8">
        <f t="shared" si="315"/>
        <v>3.2964884623360557E-2</v>
      </c>
      <c r="M529" s="8">
        <f t="shared" si="293"/>
        <v>0.11250995780255257</v>
      </c>
    </row>
    <row r="530" spans="1:13" x14ac:dyDescent="0.3">
      <c r="A530" s="1">
        <v>44973</v>
      </c>
      <c r="B530" s="5">
        <v>15947022.61122149</v>
      </c>
      <c r="C530" s="5">
        <v>17253213.467136484</v>
      </c>
      <c r="D530" s="5">
        <v>0</v>
      </c>
      <c r="E530" s="5">
        <f t="shared" si="297"/>
        <v>0</v>
      </c>
      <c r="F530" s="5">
        <f t="shared" si="297"/>
        <v>0</v>
      </c>
      <c r="G530" s="9">
        <f t="shared" si="299"/>
        <v>7.2147337366812447E-3</v>
      </c>
      <c r="H530" s="9">
        <f t="shared" si="299"/>
        <v>-1.4174738999499281E-2</v>
      </c>
      <c r="I530" s="5">
        <f t="shared" si="300"/>
        <v>12029474.144914892</v>
      </c>
      <c r="J530" s="5">
        <f t="shared" si="301"/>
        <v>12930801.575103432</v>
      </c>
      <c r="K530" s="8">
        <f t="shared" ref="K530:L530" si="316">I530/I278-1</f>
        <v>-5.9243656441315573E-2</v>
      </c>
      <c r="L530" s="8">
        <f t="shared" si="316"/>
        <v>3.4253841895166337E-2</v>
      </c>
      <c r="M530" s="8">
        <f t="shared" si="293"/>
        <v>9.349749833648191E-2</v>
      </c>
    </row>
    <row r="531" spans="1:13" x14ac:dyDescent="0.3">
      <c r="A531" s="1">
        <v>44974</v>
      </c>
      <c r="B531" s="5">
        <v>15847787.625717934</v>
      </c>
      <c r="C531" s="5">
        <v>17206596.24985861</v>
      </c>
      <c r="D531" s="5">
        <v>0</v>
      </c>
      <c r="E531" s="5">
        <f t="shared" si="297"/>
        <v>0</v>
      </c>
      <c r="F531" s="5">
        <f t="shared" si="297"/>
        <v>0</v>
      </c>
      <c r="G531" s="9">
        <f t="shared" si="299"/>
        <v>-6.2227907944224503E-3</v>
      </c>
      <c r="H531" s="9">
        <f t="shared" si="299"/>
        <v>-2.7019440388116323E-3</v>
      </c>
      <c r="I531" s="5">
        <f t="shared" si="300"/>
        <v>11954617.243944172</v>
      </c>
      <c r="J531" s="5">
        <f t="shared" si="301"/>
        <v>12895863.272870526</v>
      </c>
      <c r="K531" s="8">
        <f t="shared" ref="K531:L531" si="317">I531/I279-1</f>
        <v>-3.2802672843498915E-2</v>
      </c>
      <c r="L531" s="8">
        <f t="shared" si="317"/>
        <v>3.1390969145400405E-2</v>
      </c>
      <c r="M531" s="8">
        <f t="shared" si="293"/>
        <v>6.4193641988899319E-2</v>
      </c>
    </row>
    <row r="532" spans="1:13" x14ac:dyDescent="0.3">
      <c r="A532" s="1">
        <v>44977</v>
      </c>
      <c r="B532" s="5">
        <v>15798274.159010315</v>
      </c>
      <c r="C532" s="5">
        <v>16886338.168991245</v>
      </c>
      <c r="D532" s="5">
        <v>0</v>
      </c>
      <c r="E532" s="5">
        <f t="shared" si="297"/>
        <v>0</v>
      </c>
      <c r="F532" s="5">
        <f t="shared" si="297"/>
        <v>0</v>
      </c>
      <c r="G532" s="9">
        <f t="shared" si="299"/>
        <v>-3.1243141236488858E-3</v>
      </c>
      <c r="H532" s="9">
        <f t="shared" si="299"/>
        <v>-1.8612517909810111E-2</v>
      </c>
      <c r="I532" s="5">
        <f t="shared" si="300"/>
        <v>11917267.2644461</v>
      </c>
      <c r="J532" s="5">
        <f t="shared" si="301"/>
        <v>12655838.786741761</v>
      </c>
      <c r="K532" s="8">
        <f t="shared" ref="K532:L532" si="318">I532/I280-1</f>
        <v>-5.8653095525236121E-2</v>
      </c>
      <c r="L532" s="8">
        <f t="shared" si="318"/>
        <v>2.0660829676169001E-3</v>
      </c>
      <c r="M532" s="8">
        <f t="shared" si="293"/>
        <v>6.0719178492853021E-2</v>
      </c>
    </row>
    <row r="533" spans="1:13" x14ac:dyDescent="0.3">
      <c r="A533" s="1">
        <v>44978</v>
      </c>
      <c r="B533" s="5">
        <v>15768991.560157901</v>
      </c>
      <c r="C533" s="5">
        <v>16886338.168991245</v>
      </c>
      <c r="D533" s="5">
        <v>0</v>
      </c>
      <c r="E533" s="5">
        <f t="shared" si="297"/>
        <v>0</v>
      </c>
      <c r="F533" s="5">
        <f t="shared" si="297"/>
        <v>0</v>
      </c>
      <c r="G533" s="9">
        <f t="shared" si="299"/>
        <v>-1.8535315033580968E-3</v>
      </c>
      <c r="H533" s="9">
        <f t="shared" si="299"/>
        <v>0</v>
      </c>
      <c r="I533" s="5">
        <f t="shared" si="300"/>
        <v>11895178.234137511</v>
      </c>
      <c r="J533" s="5">
        <f t="shared" si="301"/>
        <v>12655838.786741761</v>
      </c>
      <c r="K533" s="8">
        <f t="shared" ref="K533:L533" si="319">I533/I281-1</f>
        <v>-5.8552907465273196E-2</v>
      </c>
      <c r="L533" s="8">
        <f t="shared" si="319"/>
        <v>3.3186166242356041E-3</v>
      </c>
      <c r="M533" s="8">
        <f t="shared" si="293"/>
        <v>6.18715240895088E-2</v>
      </c>
    </row>
    <row r="534" spans="1:13" x14ac:dyDescent="0.3">
      <c r="A534" s="1">
        <v>44979</v>
      </c>
      <c r="B534" s="5">
        <v>15546299.637573279</v>
      </c>
      <c r="C534" s="5">
        <v>16845818.01929491</v>
      </c>
      <c r="D534" s="5">
        <v>0</v>
      </c>
      <c r="E534" s="5">
        <f t="shared" si="297"/>
        <v>0</v>
      </c>
      <c r="F534" s="5">
        <f t="shared" si="297"/>
        <v>0</v>
      </c>
      <c r="G534" s="9">
        <f t="shared" si="299"/>
        <v>-1.4122141021831514E-2</v>
      </c>
      <c r="H534" s="9">
        <f t="shared" si="299"/>
        <v>-2.3995817974760136E-3</v>
      </c>
      <c r="I534" s="5">
        <f t="shared" si="300"/>
        <v>11727192.849635201</v>
      </c>
      <c r="J534" s="5">
        <f t="shared" si="301"/>
        <v>12625470.066357305</v>
      </c>
      <c r="K534" s="8">
        <f t="shared" ref="K534:L534" si="320">I534/I282-1</f>
        <v>-7.4321694149374284E-2</v>
      </c>
      <c r="L534" s="8">
        <f t="shared" si="320"/>
        <v>2.2571290799383359E-2</v>
      </c>
      <c r="M534" s="8">
        <f t="shared" si="293"/>
        <v>9.6892984948757643E-2</v>
      </c>
    </row>
    <row r="535" spans="1:13" x14ac:dyDescent="0.3">
      <c r="A535" s="1">
        <v>44980</v>
      </c>
      <c r="B535" s="5">
        <v>15479611.617490895</v>
      </c>
      <c r="C535" s="5">
        <v>16898117.01291918</v>
      </c>
      <c r="D535" s="5">
        <v>0</v>
      </c>
      <c r="E535" s="5">
        <f t="shared" si="297"/>
        <v>0</v>
      </c>
      <c r="F535" s="5">
        <f t="shared" si="297"/>
        <v>0</v>
      </c>
      <c r="G535" s="9">
        <f t="shared" si="299"/>
        <v>-4.2896394407070382E-3</v>
      </c>
      <c r="H535" s="9">
        <f t="shared" si="299"/>
        <v>3.1045683601929053E-3</v>
      </c>
      <c r="I535" s="5">
        <f t="shared" si="300"/>
        <v>11676887.420658628</v>
      </c>
      <c r="J535" s="5">
        <f t="shared" si="301"/>
        <v>12664666.701257881</v>
      </c>
      <c r="K535" s="8">
        <f t="shared" ref="K535:L535" si="321">I535/I283-1</f>
        <v>-6.844268459931202E-2</v>
      </c>
      <c r="L535" s="8">
        <f t="shared" si="321"/>
        <v>3.839450827363744E-2</v>
      </c>
      <c r="M535" s="8">
        <f t="shared" si="293"/>
        <v>0.10683719287294946</v>
      </c>
    </row>
    <row r="536" spans="1:13" x14ac:dyDescent="0.3">
      <c r="A536" s="1">
        <v>44981</v>
      </c>
      <c r="B536" s="5">
        <v>15466929.231037052</v>
      </c>
      <c r="C536" s="5">
        <v>16797717.311992496</v>
      </c>
      <c r="D536" s="5">
        <v>0</v>
      </c>
      <c r="E536" s="5">
        <f t="shared" si="297"/>
        <v>0</v>
      </c>
      <c r="F536" s="5">
        <f t="shared" si="297"/>
        <v>0</v>
      </c>
      <c r="G536" s="9">
        <f t="shared" si="299"/>
        <v>-8.1929616628828583E-4</v>
      </c>
      <c r="H536" s="9">
        <f t="shared" si="299"/>
        <v>-5.9414727007703894E-3</v>
      </c>
      <c r="I536" s="5">
        <f t="shared" si="300"/>
        <v>11667320.591560703</v>
      </c>
      <c r="J536" s="5">
        <f t="shared" si="301"/>
        <v>12589419.929788001</v>
      </c>
      <c r="K536" s="8">
        <f t="shared" ref="K536:L536" si="322">I536/I284-1</f>
        <v>-5.6887249331384115E-2</v>
      </c>
      <c r="L536" s="8">
        <f t="shared" si="322"/>
        <v>4.2508388670762232E-2</v>
      </c>
      <c r="M536" s="8">
        <f t="shared" si="293"/>
        <v>9.9395638002146347E-2</v>
      </c>
    </row>
    <row r="537" spans="1:13" x14ac:dyDescent="0.3">
      <c r="A537" s="1">
        <v>44984</v>
      </c>
      <c r="B537" s="5">
        <v>15322151.350370459</v>
      </c>
      <c r="C537" s="5">
        <v>16794544.716214005</v>
      </c>
      <c r="D537" s="5">
        <v>0</v>
      </c>
      <c r="E537" s="5">
        <f t="shared" si="297"/>
        <v>0</v>
      </c>
      <c r="F537" s="5">
        <f t="shared" si="297"/>
        <v>0</v>
      </c>
      <c r="G537" s="9">
        <f t="shared" si="299"/>
        <v>-9.3604799313409259E-3</v>
      </c>
      <c r="H537" s="9">
        <f t="shared" si="299"/>
        <v>-1.8887064947958887E-4</v>
      </c>
      <c r="I537" s="5">
        <f t="shared" si="300"/>
        <v>11558108.871310879</v>
      </c>
      <c r="J537" s="5">
        <f t="shared" si="301"/>
        <v>12587042.157869291</v>
      </c>
      <c r="K537" s="8">
        <f t="shared" ref="K537:L537" si="323">I537/I285-1</f>
        <v>-6.3839280039431734E-2</v>
      </c>
      <c r="L537" s="8">
        <f t="shared" si="323"/>
        <v>4.231148943430596E-2</v>
      </c>
      <c r="M537" s="8">
        <f t="shared" si="293"/>
        <v>0.10615076947373769</v>
      </c>
    </row>
    <row r="538" spans="1:13" x14ac:dyDescent="0.3">
      <c r="A538" s="1">
        <v>44985</v>
      </c>
      <c r="B538" s="5">
        <v>15363137.611768309</v>
      </c>
      <c r="C538" s="5">
        <v>16720955.061585592</v>
      </c>
      <c r="D538" s="5">
        <v>0</v>
      </c>
      <c r="E538" s="5">
        <f t="shared" si="297"/>
        <v>0</v>
      </c>
      <c r="F538" s="5">
        <f t="shared" si="297"/>
        <v>0</v>
      </c>
      <c r="G538" s="9">
        <f t="shared" si="299"/>
        <v>2.6749677940531846E-3</v>
      </c>
      <c r="H538" s="9">
        <f t="shared" si="299"/>
        <v>-4.3817594267600013E-3</v>
      </c>
      <c r="I538" s="5">
        <f t="shared" si="300"/>
        <v>11589026.440301796</v>
      </c>
      <c r="J538" s="5">
        <f t="shared" si="301"/>
        <v>12531888.767239021</v>
      </c>
      <c r="K538" s="8">
        <f t="shared" ref="K538:L538" si="324">I538/I286-1</f>
        <v>-6.9164348529471842E-2</v>
      </c>
      <c r="L538" s="8">
        <f t="shared" si="324"/>
        <v>5.7913071723307175E-2</v>
      </c>
      <c r="M538" s="8">
        <f t="shared" si="293"/>
        <v>0.12707742025277902</v>
      </c>
    </row>
    <row r="539" spans="1:13" x14ac:dyDescent="0.3">
      <c r="A539" s="1">
        <v>44986</v>
      </c>
      <c r="B539" s="5">
        <v>15542164.968606928</v>
      </c>
      <c r="C539" s="5">
        <v>16614749.402919602</v>
      </c>
      <c r="D539" s="5">
        <v>0</v>
      </c>
      <c r="E539" s="5">
        <f t="shared" si="297"/>
        <v>0</v>
      </c>
      <c r="F539" s="5">
        <f t="shared" si="297"/>
        <v>0</v>
      </c>
      <c r="G539" s="9">
        <f t="shared" si="299"/>
        <v>1.1653046491068464E-2</v>
      </c>
      <c r="H539" s="9">
        <f t="shared" si="299"/>
        <v>-6.3516502660775354E-3</v>
      </c>
      <c r="I539" s="5">
        <f t="shared" si="300"/>
        <v>11724073.904196855</v>
      </c>
      <c r="J539" s="5">
        <f t="shared" si="301"/>
        <v>12452290.592616133</v>
      </c>
      <c r="K539" s="8">
        <f t="shared" ref="K539:L539" si="325">I539/I287-1</f>
        <v>-2.3324360978348446E-3</v>
      </c>
      <c r="L539" s="8">
        <f t="shared" si="325"/>
        <v>2.1785675560480833E-2</v>
      </c>
      <c r="M539" s="8">
        <f t="shared" si="293"/>
        <v>2.4118111658315677E-2</v>
      </c>
    </row>
    <row r="540" spans="1:13" x14ac:dyDescent="0.3">
      <c r="A540" s="1">
        <v>44987</v>
      </c>
      <c r="B540" s="5">
        <v>15533485.387119802</v>
      </c>
      <c r="C540" s="5">
        <v>16739230.980466461</v>
      </c>
      <c r="D540" s="5">
        <v>0</v>
      </c>
      <c r="E540" s="5">
        <f t="shared" si="297"/>
        <v>0</v>
      </c>
      <c r="F540" s="5">
        <f t="shared" si="297"/>
        <v>0</v>
      </c>
      <c r="G540" s="9">
        <f t="shared" si="299"/>
        <v>-5.5845382574815083E-4</v>
      </c>
      <c r="H540" s="9">
        <f t="shared" si="299"/>
        <v>7.4922332277238546E-3</v>
      </c>
      <c r="I540" s="5">
        <f t="shared" si="300"/>
        <v>11717526.550271701</v>
      </c>
      <c r="J540" s="5">
        <f t="shared" si="301"/>
        <v>12545586.057955405</v>
      </c>
      <c r="K540" s="8">
        <f t="shared" ref="K540:L540" si="326">I540/I288-1</f>
        <v>-3.9245978438092521E-2</v>
      </c>
      <c r="L540" s="8">
        <f t="shared" si="326"/>
        <v>1.3775932126445678E-2</v>
      </c>
      <c r="M540" s="8">
        <f t="shared" si="293"/>
        <v>5.3021910564538199E-2</v>
      </c>
    </row>
    <row r="541" spans="1:13" x14ac:dyDescent="0.3">
      <c r="A541" s="1">
        <v>44988</v>
      </c>
      <c r="B541" s="5">
        <v>15674720.521662854</v>
      </c>
      <c r="C541" s="5">
        <v>16922178.113037083</v>
      </c>
      <c r="D541" s="5">
        <v>0</v>
      </c>
      <c r="E541" s="5">
        <f t="shared" si="297"/>
        <v>0</v>
      </c>
      <c r="F541" s="5">
        <f t="shared" si="297"/>
        <v>0</v>
      </c>
      <c r="G541" s="9">
        <f t="shared" si="299"/>
        <v>9.0923016324566674E-3</v>
      </c>
      <c r="H541" s="9">
        <f t="shared" si="299"/>
        <v>1.0929243570634073E-2</v>
      </c>
      <c r="I541" s="5">
        <f t="shared" si="300"/>
        <v>11824065.83605309</v>
      </c>
      <c r="J541" s="5">
        <f t="shared" si="301"/>
        <v>12682699.823719149</v>
      </c>
      <c r="K541" s="8">
        <f t="shared" ref="K541:L541" si="327">I541/I289-1</f>
        <v>-4.1225830642970362E-2</v>
      </c>
      <c r="L541" s="8">
        <f t="shared" si="327"/>
        <v>2.1808992735713462E-2</v>
      </c>
      <c r="M541" s="8">
        <f t="shared" si="293"/>
        <v>6.3034823378683824E-2</v>
      </c>
    </row>
    <row r="542" spans="1:13" x14ac:dyDescent="0.3">
      <c r="A542" s="1">
        <v>44991</v>
      </c>
      <c r="B542" s="5">
        <v>15799478.516873658</v>
      </c>
      <c r="C542" s="5">
        <v>16891074.017458186</v>
      </c>
      <c r="D542" s="5">
        <v>0</v>
      </c>
      <c r="E542" s="5">
        <f t="shared" si="297"/>
        <v>0</v>
      </c>
      <c r="F542" s="5">
        <f t="shared" si="297"/>
        <v>0</v>
      </c>
      <c r="G542" s="9">
        <f t="shared" si="299"/>
        <v>7.9591846654225584E-3</v>
      </c>
      <c r="H542" s="9">
        <f t="shared" si="299"/>
        <v>-1.8380669067024069E-3</v>
      </c>
      <c r="I542" s="5">
        <f t="shared" si="300"/>
        <v>11918175.759538351</v>
      </c>
      <c r="J542" s="5">
        <f t="shared" si="301"/>
        <v>12659388.172885532</v>
      </c>
      <c r="K542" s="8">
        <f t="shared" ref="K542:L542" si="328">I542/I290-1</f>
        <v>-3.3879454187345059E-2</v>
      </c>
      <c r="L542" s="8">
        <f t="shared" si="328"/>
        <v>1.5325718842872815E-2</v>
      </c>
      <c r="M542" s="8">
        <f t="shared" si="293"/>
        <v>4.9205173030217875E-2</v>
      </c>
    </row>
    <row r="543" spans="1:13" x14ac:dyDescent="0.3">
      <c r="A543" s="1">
        <v>44993</v>
      </c>
      <c r="B543" s="5">
        <v>15861630.415368577</v>
      </c>
      <c r="C543" s="5">
        <v>16675956.501002237</v>
      </c>
      <c r="D543" s="5">
        <v>0</v>
      </c>
      <c r="E543" s="5">
        <f t="shared" si="297"/>
        <v>0</v>
      </c>
      <c r="F543" s="5">
        <f t="shared" si="297"/>
        <v>0</v>
      </c>
      <c r="G543" s="9">
        <f t="shared" si="299"/>
        <v>3.93379429761187E-3</v>
      </c>
      <c r="H543" s="9">
        <f t="shared" si="299"/>
        <v>-1.2735573607315254E-2</v>
      </c>
      <c r="I543" s="5">
        <f t="shared" si="300"/>
        <v>11965059.411379158</v>
      </c>
      <c r="J543" s="5">
        <f t="shared" si="301"/>
        <v>12498163.602986172</v>
      </c>
      <c r="K543" s="8">
        <f t="shared" ref="K543:L543" si="329">I543/I291-1</f>
        <v>-2.8784343854722505E-2</v>
      </c>
      <c r="L543" s="8">
        <f t="shared" si="329"/>
        <v>3.1848537898682139E-3</v>
      </c>
      <c r="M543" s="8">
        <f t="shared" si="293"/>
        <v>3.1969197644590719E-2</v>
      </c>
    </row>
    <row r="544" spans="1:13" x14ac:dyDescent="0.3">
      <c r="A544" s="1">
        <v>44994</v>
      </c>
      <c r="B544" s="5">
        <v>15745736.61124439</v>
      </c>
      <c r="C544" s="5">
        <v>16402833.378297031</v>
      </c>
      <c r="D544" s="5">
        <v>0</v>
      </c>
      <c r="E544" s="5">
        <f t="shared" si="297"/>
        <v>0</v>
      </c>
      <c r="F544" s="5">
        <f t="shared" si="297"/>
        <v>0</v>
      </c>
      <c r="G544" s="9">
        <f t="shared" si="299"/>
        <v>-7.306550530385314E-3</v>
      </c>
      <c r="H544" s="9">
        <f t="shared" si="299"/>
        <v>-1.6378258283942571E-2</v>
      </c>
      <c r="I544" s="5">
        <f t="shared" si="300"/>
        <v>11877636.100190854</v>
      </c>
      <c r="J544" s="5">
        <f t="shared" si="301"/>
        <v>12293465.451421494</v>
      </c>
      <c r="K544" s="8">
        <f t="shared" ref="K544:L544" si="330">I544/I292-1</f>
        <v>-1.1972208574698828E-2</v>
      </c>
      <c r="L544" s="8">
        <f t="shared" si="330"/>
        <v>-1.1670417974368297E-2</v>
      </c>
      <c r="M544" s="8">
        <f t="shared" si="293"/>
        <v>3.0179060033053151E-4</v>
      </c>
    </row>
    <row r="545" spans="1:13" x14ac:dyDescent="0.3">
      <c r="A545" s="1">
        <v>44995</v>
      </c>
      <c r="B545" s="5">
        <v>15709183.910545398</v>
      </c>
      <c r="C545" s="5">
        <v>16148871.683328293</v>
      </c>
      <c r="D545" s="5">
        <v>0</v>
      </c>
      <c r="E545" s="5">
        <f t="shared" si="297"/>
        <v>0</v>
      </c>
      <c r="F545" s="5">
        <f t="shared" si="297"/>
        <v>0</v>
      </c>
      <c r="G545" s="9">
        <f t="shared" si="299"/>
        <v>-2.3214347859019657E-3</v>
      </c>
      <c r="H545" s="9">
        <f t="shared" si="299"/>
        <v>-1.5482794289964574E-2</v>
      </c>
      <c r="I545" s="5">
        <f t="shared" si="300"/>
        <v>11850062.942573586</v>
      </c>
      <c r="J545" s="5">
        <f t="shared" si="301"/>
        <v>12103128.254726348</v>
      </c>
      <c r="K545" s="8">
        <f t="shared" ref="K545:L545" si="331">I545/I293-1</f>
        <v>1.2375471966769247E-2</v>
      </c>
      <c r="L545" s="8">
        <f t="shared" si="331"/>
        <v>-3.778200358926731E-3</v>
      </c>
      <c r="M545" s="8">
        <f t="shared" si="293"/>
        <v>-1.6153672325695978E-2</v>
      </c>
    </row>
    <row r="546" spans="1:13" x14ac:dyDescent="0.3">
      <c r="A546" s="1">
        <v>44998</v>
      </c>
      <c r="B546" s="5">
        <v>15507766.046568656</v>
      </c>
      <c r="C546" s="5">
        <v>16176055.467857148</v>
      </c>
      <c r="D546" s="5">
        <v>0</v>
      </c>
      <c r="E546" s="5">
        <f t="shared" si="297"/>
        <v>0</v>
      </c>
      <c r="F546" s="5">
        <f t="shared" si="297"/>
        <v>0</v>
      </c>
      <c r="G546" s="9">
        <f t="shared" si="299"/>
        <v>-1.2821663119083615E-2</v>
      </c>
      <c r="H546" s="9">
        <f t="shared" si="299"/>
        <v>1.6833240774907221E-3</v>
      </c>
      <c r="I546" s="5">
        <f t="shared" si="300"/>
        <v>11698125.427583972</v>
      </c>
      <c r="J546" s="5">
        <f t="shared" si="301"/>
        <v>12123501.741930488</v>
      </c>
      <c r="K546" s="8">
        <f t="shared" ref="K546:L546" si="332">I546/I294-1</f>
        <v>-1.5443326594981932E-2</v>
      </c>
      <c r="L546" s="8">
        <f t="shared" si="332"/>
        <v>3.0564679046871657E-3</v>
      </c>
      <c r="M546" s="8">
        <f t="shared" si="293"/>
        <v>1.8499794499669098E-2</v>
      </c>
    </row>
    <row r="547" spans="1:13" x14ac:dyDescent="0.3">
      <c r="A547" s="1">
        <v>44999</v>
      </c>
      <c r="B547" s="5">
        <v>15417275.109396493</v>
      </c>
      <c r="C547" s="5">
        <v>16458474.284252821</v>
      </c>
      <c r="D547" s="5">
        <v>0</v>
      </c>
      <c r="E547" s="5">
        <f t="shared" si="297"/>
        <v>0</v>
      </c>
      <c r="F547" s="5">
        <f t="shared" si="297"/>
        <v>0</v>
      </c>
      <c r="G547" s="9">
        <f t="shared" si="299"/>
        <v>-5.8352013372156009E-3</v>
      </c>
      <c r="H547" s="9">
        <f t="shared" si="299"/>
        <v>1.7459065775142557E-2</v>
      </c>
      <c r="I547" s="5">
        <f t="shared" si="300"/>
        <v>11629864.510446018</v>
      </c>
      <c r="J547" s="5">
        <f t="shared" si="301"/>
        <v>12335166.756267909</v>
      </c>
      <c r="K547" s="8">
        <f t="shared" ref="K547:L547" si="333">I547/I295-1</f>
        <v>-3.6236543185452774E-2</v>
      </c>
      <c r="L547" s="8">
        <f t="shared" si="333"/>
        <v>4.0977700604345468E-3</v>
      </c>
      <c r="M547" s="8">
        <f t="shared" si="293"/>
        <v>4.0334313245887321E-2</v>
      </c>
    </row>
    <row r="548" spans="1:13" x14ac:dyDescent="0.3">
      <c r="A548" s="1">
        <v>45000</v>
      </c>
      <c r="B548" s="5">
        <v>15408393.33644326</v>
      </c>
      <c r="C548" s="5">
        <v>16461397.800814377</v>
      </c>
      <c r="D548" s="5">
        <v>0</v>
      </c>
      <c r="E548" s="5">
        <f t="shared" si="297"/>
        <v>0</v>
      </c>
      <c r="F548" s="5">
        <f t="shared" si="297"/>
        <v>0</v>
      </c>
      <c r="G548" s="9">
        <f t="shared" si="299"/>
        <v>-5.7609226599453223E-4</v>
      </c>
      <c r="H548" s="9">
        <f t="shared" si="299"/>
        <v>1.7762986477753984E-4</v>
      </c>
      <c r="I548" s="5">
        <f t="shared" si="300"/>
        <v>11623164.635446986</v>
      </c>
      <c r="J548" s="5">
        <f t="shared" si="301"/>
        <v>12337357.850270834</v>
      </c>
      <c r="K548" s="8">
        <f t="shared" ref="K548:L548" si="334">I548/I296-1</f>
        <v>-5.5092141597837485E-2</v>
      </c>
      <c r="L548" s="8">
        <f t="shared" si="334"/>
        <v>8.3795577294552004E-3</v>
      </c>
      <c r="M548" s="8">
        <f t="shared" si="293"/>
        <v>6.3471699327292685E-2</v>
      </c>
    </row>
    <row r="549" spans="1:13" x14ac:dyDescent="0.3">
      <c r="A549" s="1">
        <v>45001</v>
      </c>
      <c r="B549" s="5">
        <v>15501263.686231071</v>
      </c>
      <c r="C549" s="5">
        <v>16710471.763920233</v>
      </c>
      <c r="D549" s="5">
        <v>0</v>
      </c>
      <c r="E549" s="5">
        <f t="shared" si="297"/>
        <v>0</v>
      </c>
      <c r="F549" s="5">
        <f t="shared" si="297"/>
        <v>0</v>
      </c>
      <c r="G549" s="9">
        <f t="shared" si="299"/>
        <v>6.0272572071584651E-3</v>
      </c>
      <c r="H549" s="9">
        <f t="shared" si="299"/>
        <v>1.5130790599904742E-2</v>
      </c>
      <c r="I549" s="5">
        <f t="shared" si="300"/>
        <v>11693220.438265974</v>
      </c>
      <c r="J549" s="5">
        <f t="shared" si="301"/>
        <v>12524031.828459373</v>
      </c>
      <c r="K549" s="8">
        <f t="shared" ref="K549:L549" si="335">I549/I297-1</f>
        <v>-5.4052343190911123E-2</v>
      </c>
      <c r="L549" s="8">
        <f t="shared" si="335"/>
        <v>3.5527016141723378E-2</v>
      </c>
      <c r="M549" s="8">
        <f t="shared" si="293"/>
        <v>8.9579359332634501E-2</v>
      </c>
    </row>
    <row r="550" spans="1:13" x14ac:dyDescent="0.3">
      <c r="A550" s="1">
        <v>45002</v>
      </c>
      <c r="B550" s="5">
        <v>15587136.453104883</v>
      </c>
      <c r="C550" s="5">
        <v>16512718.388348738</v>
      </c>
      <c r="D550" s="5">
        <v>0</v>
      </c>
      <c r="E550" s="5">
        <f t="shared" si="297"/>
        <v>0</v>
      </c>
      <c r="F550" s="5">
        <f t="shared" si="297"/>
        <v>0</v>
      </c>
      <c r="G550" s="9">
        <f t="shared" si="299"/>
        <v>5.5397268643386788E-3</v>
      </c>
      <c r="H550" s="9">
        <f t="shared" si="299"/>
        <v>-1.1834098903088175E-2</v>
      </c>
      <c r="I550" s="5">
        <f t="shared" si="300"/>
        <v>11757997.68565847</v>
      </c>
      <c r="J550" s="5">
        <f t="shared" si="301"/>
        <v>12375821.197135961</v>
      </c>
      <c r="K550" s="8">
        <f t="shared" ref="K550:L550" si="336">I550/I298-1</f>
        <v>-4.5304485166107411E-2</v>
      </c>
      <c r="L550" s="8">
        <f t="shared" si="336"/>
        <v>3.1102059320611275E-2</v>
      </c>
      <c r="M550" s="8">
        <f t="shared" si="293"/>
        <v>7.6406544486718686E-2</v>
      </c>
    </row>
    <row r="551" spans="1:13" x14ac:dyDescent="0.3">
      <c r="A551" s="1">
        <v>45005</v>
      </c>
      <c r="B551" s="5">
        <v>15476265.202211263</v>
      </c>
      <c r="C551" s="5">
        <v>16658118.321531376</v>
      </c>
      <c r="D551" s="5">
        <v>0</v>
      </c>
      <c r="E551" s="5">
        <f t="shared" si="297"/>
        <v>0</v>
      </c>
      <c r="F551" s="5">
        <f t="shared" si="297"/>
        <v>0</v>
      </c>
      <c r="G551" s="9">
        <f t="shared" si="299"/>
        <v>-7.1129967474902189E-3</v>
      </c>
      <c r="H551" s="9">
        <f t="shared" si="299"/>
        <v>8.8053299137731411E-3</v>
      </c>
      <c r="I551" s="5">
        <f t="shared" si="300"/>
        <v>11674363.086363385</v>
      </c>
      <c r="J551" s="5">
        <f t="shared" si="301"/>
        <v>12484794.385730609</v>
      </c>
      <c r="K551" s="8">
        <f t="shared" ref="K551:L551" si="337">I551/I299-1</f>
        <v>-4.3172315512630011E-2</v>
      </c>
      <c r="L551" s="8">
        <f t="shared" si="337"/>
        <v>1.8889659136691606E-2</v>
      </c>
      <c r="M551" s="8">
        <f t="shared" si="293"/>
        <v>6.2061974649321616E-2</v>
      </c>
    </row>
    <row r="552" spans="1:13" x14ac:dyDescent="0.3">
      <c r="A552" s="1">
        <v>45006</v>
      </c>
      <c r="B552" s="5">
        <v>15565478.523742512</v>
      </c>
      <c r="C552" s="5">
        <v>16883797.704264741</v>
      </c>
      <c r="D552" s="5">
        <v>0</v>
      </c>
      <c r="E552" s="5">
        <f t="shared" si="297"/>
        <v>0</v>
      </c>
      <c r="F552" s="5">
        <f t="shared" si="297"/>
        <v>0</v>
      </c>
      <c r="G552" s="9">
        <f t="shared" si="299"/>
        <v>5.7645252498323973E-3</v>
      </c>
      <c r="H552" s="9">
        <f t="shared" si="299"/>
        <v>1.3547711594872336E-2</v>
      </c>
      <c r="I552" s="5">
        <f t="shared" si="300"/>
        <v>11741660.247150438</v>
      </c>
      <c r="J552" s="5">
        <f t="shared" si="301"/>
        <v>12653934.779389769</v>
      </c>
      <c r="K552" s="8">
        <f t="shared" ref="K552:L552" si="338">I552/I300-1</f>
        <v>-5.8966942492823637E-2</v>
      </c>
      <c r="L552" s="8">
        <f t="shared" si="338"/>
        <v>1.3242378908787877E-2</v>
      </c>
      <c r="M552" s="8">
        <f t="shared" si="293"/>
        <v>7.2209321401611515E-2</v>
      </c>
    </row>
    <row r="553" spans="1:13" x14ac:dyDescent="0.3">
      <c r="A553" s="1">
        <v>45007</v>
      </c>
      <c r="B553" s="5">
        <v>15666263.643819561</v>
      </c>
      <c r="C553" s="5">
        <v>16621174.357140493</v>
      </c>
      <c r="D553" s="5">
        <v>0</v>
      </c>
      <c r="E553" s="5">
        <f t="shared" si="297"/>
        <v>0</v>
      </c>
      <c r="F553" s="5">
        <f t="shared" si="297"/>
        <v>0</v>
      </c>
      <c r="G553" s="9">
        <f t="shared" si="299"/>
        <v>6.4749130534804689E-3</v>
      </c>
      <c r="H553" s="9">
        <f t="shared" si="299"/>
        <v>-1.555475561389319E-2</v>
      </c>
      <c r="I553" s="5">
        <f t="shared" si="300"/>
        <v>11817686.476354245</v>
      </c>
      <c r="J553" s="5">
        <f t="shared" si="301"/>
        <v>12457105.916342217</v>
      </c>
      <c r="K553" s="8">
        <f t="shared" ref="K553:L553" si="339">I553/I301-1</f>
        <v>-6.6644320375975896E-2</v>
      </c>
      <c r="L553" s="8">
        <f t="shared" si="339"/>
        <v>-1.1758980055205703E-2</v>
      </c>
      <c r="M553" s="8">
        <f t="shared" si="293"/>
        <v>5.4885340320770193E-2</v>
      </c>
    </row>
    <row r="554" spans="1:13" x14ac:dyDescent="0.3">
      <c r="A554" s="1">
        <v>45008</v>
      </c>
      <c r="B554" s="5">
        <v>15602546.959195632</v>
      </c>
      <c r="C554" s="5">
        <v>16553201.761247946</v>
      </c>
      <c r="D554" s="5">
        <v>0</v>
      </c>
      <c r="E554" s="5">
        <f t="shared" si="297"/>
        <v>0</v>
      </c>
      <c r="F554" s="5">
        <f t="shared" si="297"/>
        <v>0</v>
      </c>
      <c r="G554" s="9">
        <f t="shared" si="299"/>
        <v>-4.0671270490884037E-3</v>
      </c>
      <c r="H554" s="9">
        <f t="shared" si="299"/>
        <v>-4.0895182513590589E-3</v>
      </c>
      <c r="I554" s="5">
        <f t="shared" si="300"/>
        <v>11769622.444028618</v>
      </c>
      <c r="J554" s="5">
        <f t="shared" si="301"/>
        <v>12406162.354338223</v>
      </c>
      <c r="K554" s="8">
        <f t="shared" ref="K554:L554" si="340">I554/I302-1</f>
        <v>-5.8427831797390306E-2</v>
      </c>
      <c r="L554" s="8">
        <f t="shared" si="340"/>
        <v>-2.9977686560082373E-2</v>
      </c>
      <c r="M554" s="8">
        <f t="shared" si="293"/>
        <v>2.8450145237307933E-2</v>
      </c>
    </row>
    <row r="555" spans="1:13" x14ac:dyDescent="0.3">
      <c r="A555" s="1">
        <v>45009</v>
      </c>
      <c r="B555" s="5">
        <v>15486149.141561726</v>
      </c>
      <c r="C555" s="5">
        <v>16701416.074652603</v>
      </c>
      <c r="D555" s="5">
        <v>0</v>
      </c>
      <c r="E555" s="5">
        <f t="shared" si="297"/>
        <v>0</v>
      </c>
      <c r="F555" s="5">
        <f t="shared" si="297"/>
        <v>0</v>
      </c>
      <c r="G555" s="9">
        <f t="shared" si="299"/>
        <v>-7.460180567846697E-3</v>
      </c>
      <c r="H555" s="9">
        <f t="shared" si="299"/>
        <v>8.9538154335577769E-3</v>
      </c>
      <c r="I555" s="5">
        <f t="shared" si="300"/>
        <v>11681818.935380783</v>
      </c>
      <c r="J555" s="5">
        <f t="shared" si="301"/>
        <v>12517244.84229772</v>
      </c>
      <c r="K555" s="8">
        <f t="shared" ref="K555:L555" si="341">I555/I303-1</f>
        <v>-6.7032828713026404E-2</v>
      </c>
      <c r="L555" s="8">
        <f t="shared" si="341"/>
        <v>-3.0578009198407363E-2</v>
      </c>
      <c r="M555" s="8">
        <f t="shared" si="293"/>
        <v>3.6454819514619041E-2</v>
      </c>
    </row>
    <row r="556" spans="1:13" x14ac:dyDescent="0.3">
      <c r="A556" s="1">
        <v>45012</v>
      </c>
      <c r="B556" s="5">
        <v>15405855.68702805</v>
      </c>
      <c r="C556" s="5">
        <v>16708608.565405833</v>
      </c>
      <c r="D556" s="5">
        <v>0</v>
      </c>
      <c r="E556" s="5">
        <f t="shared" si="297"/>
        <v>0</v>
      </c>
      <c r="F556" s="5">
        <f t="shared" si="297"/>
        <v>0</v>
      </c>
      <c r="G556" s="9">
        <f t="shared" si="299"/>
        <v>-5.184856080081568E-3</v>
      </c>
      <c r="H556" s="9">
        <f t="shared" si="299"/>
        <v>4.3065155200494587E-4</v>
      </c>
      <c r="I556" s="5">
        <f t="shared" si="300"/>
        <v>11621250.385447262</v>
      </c>
      <c r="J556" s="5">
        <f t="shared" si="301"/>
        <v>12522635.413215881</v>
      </c>
      <c r="K556" s="8">
        <f t="shared" ref="K556:L556" si="342">I556/I304-1</f>
        <v>-7.3881112728016674E-2</v>
      </c>
      <c r="L556" s="8">
        <f t="shared" si="342"/>
        <v>-2.3301554412739067E-2</v>
      </c>
      <c r="M556" s="8">
        <f t="shared" si="293"/>
        <v>5.0579558315277606E-2</v>
      </c>
    </row>
    <row r="557" spans="1:13" x14ac:dyDescent="0.3">
      <c r="A557" s="1">
        <v>45013</v>
      </c>
      <c r="B557" s="5">
        <v>15260723.238717994</v>
      </c>
      <c r="C557" s="5">
        <v>16668503.945755005</v>
      </c>
      <c r="D557" s="5">
        <v>0</v>
      </c>
      <c r="E557" s="5">
        <f t="shared" si="297"/>
        <v>0</v>
      </c>
      <c r="F557" s="5">
        <f t="shared" si="297"/>
        <v>0</v>
      </c>
      <c r="G557" s="9">
        <f t="shared" si="299"/>
        <v>-9.4206028706513845E-3</v>
      </c>
      <c r="H557" s="9">
        <f t="shared" si="299"/>
        <v>-2.4002369493448805E-3</v>
      </c>
      <c r="I557" s="5">
        <f t="shared" si="300"/>
        <v>11511771.200705558</v>
      </c>
      <c r="J557" s="5">
        <f t="shared" si="301"/>
        <v>12492578.120993907</v>
      </c>
      <c r="K557" s="8">
        <f t="shared" ref="K557:L557" si="343">I557/I305-1</f>
        <v>-8.434095268269548E-2</v>
      </c>
      <c r="L557" s="8">
        <f t="shared" si="343"/>
        <v>-3.597707158740493E-2</v>
      </c>
      <c r="M557" s="8">
        <f t="shared" si="293"/>
        <v>4.8363881095290551E-2</v>
      </c>
    </row>
    <row r="558" spans="1:13" x14ac:dyDescent="0.3">
      <c r="A558" s="1">
        <v>45014</v>
      </c>
      <c r="B558" s="5">
        <v>15384268.08513215</v>
      </c>
      <c r="C558" s="5">
        <v>16907882.446609367</v>
      </c>
      <c r="D558" s="5">
        <v>0</v>
      </c>
      <c r="E558" s="5">
        <f t="shared" si="297"/>
        <v>0</v>
      </c>
      <c r="F558" s="5">
        <f t="shared" si="297"/>
        <v>0</v>
      </c>
      <c r="G558" s="9">
        <f t="shared" si="299"/>
        <v>8.0956088700114837E-3</v>
      </c>
      <c r="H558" s="9">
        <f t="shared" si="299"/>
        <v>1.436112692737046E-2</v>
      </c>
      <c r="I558" s="5">
        <f t="shared" si="300"/>
        <v>11604965.997747533</v>
      </c>
      <c r="J558" s="5">
        <f t="shared" si="301"/>
        <v>12671985.621039592</v>
      </c>
      <c r="K558" s="8">
        <f t="shared" ref="K558:L558" si="344">I558/I306-1</f>
        <v>-7.7302886821557615E-2</v>
      </c>
      <c r="L558" s="8">
        <f t="shared" si="344"/>
        <v>-2.7961003362987569E-2</v>
      </c>
      <c r="M558" s="8">
        <f t="shared" si="293"/>
        <v>4.9341883458570046E-2</v>
      </c>
    </row>
    <row r="559" spans="1:13" x14ac:dyDescent="0.3">
      <c r="A559" s="1">
        <v>45016</v>
      </c>
      <c r="B559" s="5">
        <v>15598344.893073911</v>
      </c>
      <c r="C559" s="5">
        <v>17255075.471599028</v>
      </c>
      <c r="D559" s="5">
        <v>0</v>
      </c>
      <c r="E559" s="5">
        <f t="shared" si="297"/>
        <v>0</v>
      </c>
      <c r="F559" s="5">
        <f t="shared" si="297"/>
        <v>0</v>
      </c>
      <c r="G559" s="9">
        <f t="shared" si="299"/>
        <v>1.3915306646836934E-2</v>
      </c>
      <c r="H559" s="9">
        <f t="shared" si="299"/>
        <v>2.0534388388729674E-2</v>
      </c>
      <c r="I559" s="5">
        <f t="shared" si="300"/>
        <v>11766452.658232305</v>
      </c>
      <c r="J559" s="5">
        <f t="shared" si="301"/>
        <v>12932197.095438417</v>
      </c>
      <c r="K559" s="8">
        <f t="shared" ref="K559:L559" si="345">I559/I307-1</f>
        <v>-6.1527728829551931E-2</v>
      </c>
      <c r="L559" s="8">
        <f t="shared" si="345"/>
        <v>-1.2578698605558269E-2</v>
      </c>
      <c r="M559" s="8">
        <f t="shared" si="293"/>
        <v>4.8949030223993661E-2</v>
      </c>
    </row>
    <row r="560" spans="1:13" x14ac:dyDescent="0.3">
      <c r="A560" s="1">
        <v>45019</v>
      </c>
      <c r="B560" s="5">
        <v>16136963.463100528</v>
      </c>
      <c r="C560" s="5">
        <v>17829460.842383552</v>
      </c>
      <c r="D560" s="5">
        <v>500000</v>
      </c>
      <c r="E560" s="5">
        <f t="shared" si="297"/>
        <v>-500000</v>
      </c>
      <c r="F560" s="5">
        <f t="shared" si="297"/>
        <v>-500000</v>
      </c>
      <c r="G560" s="9">
        <f t="shared" si="299"/>
        <v>2.4758120359145153E-3</v>
      </c>
      <c r="H560" s="9">
        <f t="shared" si="299"/>
        <v>4.3109270027221758E-3</v>
      </c>
      <c r="I560" s="5">
        <f t="shared" si="300"/>
        <v>11795584.183343574</v>
      </c>
      <c r="J560" s="5">
        <f t="shared" si="301"/>
        <v>12987946.853101667</v>
      </c>
      <c r="K560" s="8">
        <f t="shared" ref="K560:L560" si="346">I560/I308-1</f>
        <v>-6.3748591135134425E-2</v>
      </c>
      <c r="L560" s="8">
        <f t="shared" si="346"/>
        <v>-1.4110024138659583E-2</v>
      </c>
      <c r="M560" s="8">
        <f t="shared" si="293"/>
        <v>4.9638566996474842E-2</v>
      </c>
    </row>
    <row r="561" spans="1:13" x14ac:dyDescent="0.3">
      <c r="A561" s="1">
        <v>45021</v>
      </c>
      <c r="B561" s="5">
        <v>16223413.841460124</v>
      </c>
      <c r="C561" s="5">
        <v>17610485.03330994</v>
      </c>
      <c r="D561" s="5">
        <v>0</v>
      </c>
      <c r="E561" s="5">
        <f t="shared" si="297"/>
        <v>0</v>
      </c>
      <c r="F561" s="5">
        <f t="shared" si="297"/>
        <v>0</v>
      </c>
      <c r="G561" s="9">
        <f t="shared" si="299"/>
        <v>5.3572890932842565E-3</v>
      </c>
      <c r="H561" s="9">
        <f t="shared" si="299"/>
        <v>-1.2281684287001604E-2</v>
      </c>
      <c r="I561" s="5">
        <f t="shared" si="300"/>
        <v>11858776.537837917</v>
      </c>
      <c r="J561" s="5">
        <f t="shared" si="301"/>
        <v>12828432.990315516</v>
      </c>
      <c r="K561" s="8">
        <f t="shared" ref="K561:L561" si="347">I561/I309-1</f>
        <v>-6.4707927216635208E-2</v>
      </c>
      <c r="L561" s="8">
        <f t="shared" si="347"/>
        <v>-2.2479378549656093E-2</v>
      </c>
      <c r="M561" s="8">
        <f t="shared" si="293"/>
        <v>4.2228548666979115E-2</v>
      </c>
    </row>
    <row r="562" spans="1:13" x14ac:dyDescent="0.3">
      <c r="A562" s="1">
        <v>45022</v>
      </c>
      <c r="B562" s="5">
        <v>16262898.331114568</v>
      </c>
      <c r="C562" s="5">
        <v>17670728.380848464</v>
      </c>
      <c r="D562" s="5">
        <v>0</v>
      </c>
      <c r="E562" s="5">
        <f t="shared" si="297"/>
        <v>0</v>
      </c>
      <c r="F562" s="5">
        <f t="shared" si="297"/>
        <v>0</v>
      </c>
      <c r="G562" s="9">
        <f t="shared" si="299"/>
        <v>2.4337966127412347E-3</v>
      </c>
      <c r="H562" s="9">
        <f t="shared" si="299"/>
        <v>3.4208795172065987E-3</v>
      </c>
      <c r="I562" s="5">
        <f t="shared" si="300"/>
        <v>11887638.388006963</v>
      </c>
      <c r="J562" s="5">
        <f t="shared" si="301"/>
        <v>12872317.513969943</v>
      </c>
      <c r="K562" s="8">
        <f t="shared" ref="K562:L562" si="348">I562/I310-1</f>
        <v>-6.3816134997551233E-2</v>
      </c>
      <c r="L562" s="8">
        <f t="shared" si="348"/>
        <v>-5.0508378389014785E-3</v>
      </c>
      <c r="M562" s="8">
        <f t="shared" si="293"/>
        <v>5.8765297158649754E-2</v>
      </c>
    </row>
    <row r="563" spans="1:13" x14ac:dyDescent="0.3">
      <c r="A563" s="1">
        <v>45026</v>
      </c>
      <c r="B563" s="5">
        <v>16309622.299074342</v>
      </c>
      <c r="C563" s="5">
        <v>17721142.473041017</v>
      </c>
      <c r="D563" s="5">
        <v>0</v>
      </c>
      <c r="E563" s="5">
        <f t="shared" si="297"/>
        <v>0</v>
      </c>
      <c r="F563" s="5">
        <f t="shared" si="297"/>
        <v>0</v>
      </c>
      <c r="G563" s="9">
        <f t="shared" si="299"/>
        <v>2.8730406480117487E-3</v>
      </c>
      <c r="H563" s="9">
        <f t="shared" si="299"/>
        <v>2.8529719378851404E-3</v>
      </c>
      <c r="I563" s="5">
        <f t="shared" si="300"/>
        <v>11921792.056304572</v>
      </c>
      <c r="J563" s="5">
        <f t="shared" si="301"/>
        <v>12909041.874612847</v>
      </c>
      <c r="K563" s="8">
        <f t="shared" ref="K563:L563" si="349">I563/I311-1</f>
        <v>-7.5487439301498926E-2</v>
      </c>
      <c r="L563" s="8">
        <f t="shared" si="349"/>
        <v>-6.7815032709814815E-3</v>
      </c>
      <c r="M563" s="8">
        <f t="shared" si="293"/>
        <v>6.8705936030517445E-2</v>
      </c>
    </row>
    <row r="564" spans="1:13" x14ac:dyDescent="0.3">
      <c r="A564" s="1">
        <v>45027</v>
      </c>
      <c r="B564" s="5">
        <v>16344924.583843127</v>
      </c>
      <c r="C564" s="5">
        <v>17726899.239764079</v>
      </c>
      <c r="D564" s="5">
        <v>0</v>
      </c>
      <c r="E564" s="5">
        <f t="shared" si="297"/>
        <v>0</v>
      </c>
      <c r="F564" s="5">
        <f t="shared" si="297"/>
        <v>0</v>
      </c>
      <c r="G564" s="9">
        <f t="shared" si="299"/>
        <v>2.1645065790878437E-3</v>
      </c>
      <c r="H564" s="9">
        <f t="shared" si="299"/>
        <v>3.2485302411067174E-4</v>
      </c>
      <c r="I564" s="5">
        <f t="shared" si="300"/>
        <v>11947596.853644961</v>
      </c>
      <c r="J564" s="5">
        <f t="shared" si="301"/>
        <v>12913235.415904187</v>
      </c>
      <c r="K564" s="8">
        <f t="shared" ref="K564:L564" si="350">I564/I312-1</f>
        <v>-8.8060624415279842E-2</v>
      </c>
      <c r="L564" s="8">
        <f t="shared" si="350"/>
        <v>-7.3837747503642248E-3</v>
      </c>
      <c r="M564" s="8">
        <f t="shared" si="293"/>
        <v>8.0676849664915617E-2</v>
      </c>
    </row>
    <row r="565" spans="1:13" x14ac:dyDescent="0.3">
      <c r="A565" s="1">
        <v>45028</v>
      </c>
      <c r="B565" s="5">
        <v>16422269.670148684</v>
      </c>
      <c r="C565" s="5">
        <v>17641059.042014632</v>
      </c>
      <c r="D565" s="5">
        <v>0</v>
      </c>
      <c r="E565" s="5">
        <f t="shared" si="297"/>
        <v>0</v>
      </c>
      <c r="F565" s="5">
        <f t="shared" si="297"/>
        <v>0</v>
      </c>
      <c r="G565" s="9">
        <f t="shared" si="299"/>
        <v>4.7320552572027719E-3</v>
      </c>
      <c r="H565" s="9">
        <f t="shared" si="299"/>
        <v>-4.8423695869436179E-3</v>
      </c>
      <c r="I565" s="5">
        <f t="shared" si="300"/>
        <v>12004133.542147191</v>
      </c>
      <c r="J565" s="5">
        <f t="shared" si="301"/>
        <v>12850704.757457169</v>
      </c>
      <c r="K565" s="8">
        <f t="shared" ref="K565:L565" si="351">I565/I313-1</f>
        <v>-9.1232089887670287E-2</v>
      </c>
      <c r="L565" s="8">
        <f t="shared" si="351"/>
        <v>1.6654667437749904E-3</v>
      </c>
      <c r="M565" s="8">
        <f t="shared" si="293"/>
        <v>9.2897556631445277E-2</v>
      </c>
    </row>
    <row r="566" spans="1:13" x14ac:dyDescent="0.3">
      <c r="A566" s="1">
        <v>45029</v>
      </c>
      <c r="B566" s="5">
        <v>16394932.625921359</v>
      </c>
      <c r="C566" s="5">
        <v>17805849.499295507</v>
      </c>
      <c r="D566" s="5">
        <v>0</v>
      </c>
      <c r="E566" s="5">
        <f t="shared" si="297"/>
        <v>0</v>
      </c>
      <c r="F566" s="5">
        <f t="shared" si="297"/>
        <v>0</v>
      </c>
      <c r="G566" s="9">
        <f t="shared" si="299"/>
        <v>-1.6646325250044836E-3</v>
      </c>
      <c r="H566" s="9">
        <f t="shared" si="299"/>
        <v>9.3413018395551717E-3</v>
      </c>
      <c r="I566" s="5">
        <f t="shared" si="300"/>
        <v>11984151.071018435</v>
      </c>
      <c r="J566" s="5">
        <f t="shared" si="301"/>
        <v>12970747.069447584</v>
      </c>
      <c r="K566" s="8">
        <f t="shared" ref="K566:L566" si="352">I566/I314-1</f>
        <v>-9.6068298546879927E-2</v>
      </c>
      <c r="L566" s="8">
        <f t="shared" si="352"/>
        <v>1.2735933431638591E-2</v>
      </c>
      <c r="M566" s="8">
        <f t="shared" si="293"/>
        <v>0.10880423197851852</v>
      </c>
    </row>
    <row r="567" spans="1:13" x14ac:dyDescent="0.3">
      <c r="A567" s="1">
        <v>45033</v>
      </c>
      <c r="B567" s="5">
        <v>16465957.532754011</v>
      </c>
      <c r="C567" s="5">
        <v>17900192.66016851</v>
      </c>
      <c r="D567" s="5">
        <v>0</v>
      </c>
      <c r="E567" s="5">
        <f t="shared" si="297"/>
        <v>0</v>
      </c>
      <c r="F567" s="5">
        <f t="shared" si="297"/>
        <v>0</v>
      </c>
      <c r="G567" s="9">
        <f t="shared" si="299"/>
        <v>4.3321255691137761E-3</v>
      </c>
      <c r="H567" s="9">
        <f t="shared" si="299"/>
        <v>5.2984363861290351E-3</v>
      </c>
      <c r="I567" s="5">
        <f t="shared" si="300"/>
        <v>12036067.918297317</v>
      </c>
      <c r="J567" s="5">
        <f t="shared" si="301"/>
        <v>13039471.747675622</v>
      </c>
      <c r="K567" s="8">
        <f t="shared" ref="K567:L567" si="353">I567/I315-1</f>
        <v>-8.9476246192198294E-2</v>
      </c>
      <c r="L567" s="8">
        <f t="shared" si="353"/>
        <v>1.3930581433338585E-2</v>
      </c>
      <c r="M567" s="8">
        <f t="shared" si="293"/>
        <v>0.10340682762553688</v>
      </c>
    </row>
    <row r="568" spans="1:13" x14ac:dyDescent="0.3">
      <c r="A568" s="1">
        <v>45034</v>
      </c>
      <c r="B568" s="5">
        <v>16526709.879936198</v>
      </c>
      <c r="C568" s="5">
        <v>17937334.493511453</v>
      </c>
      <c r="D568" s="5">
        <v>0</v>
      </c>
      <c r="E568" s="5">
        <f t="shared" si="297"/>
        <v>0</v>
      </c>
      <c r="F568" s="5">
        <f t="shared" si="297"/>
        <v>0</v>
      </c>
      <c r="G568" s="9">
        <f t="shared" si="299"/>
        <v>3.689572687245013E-3</v>
      </c>
      <c r="H568" s="9">
        <f t="shared" si="299"/>
        <v>2.0749404237190294E-3</v>
      </c>
      <c r="I568" s="5">
        <f t="shared" si="300"/>
        <v>12080475.865750493</v>
      </c>
      <c r="J568" s="5">
        <f t="shared" si="301"/>
        <v>13066527.874708816</v>
      </c>
      <c r="K568" s="8">
        <f t="shared" ref="K568:L568" si="354">I568/I316-1</f>
        <v>-0.10003370860712257</v>
      </c>
      <c r="L568" s="8">
        <f t="shared" si="354"/>
        <v>1.8313563524219312E-2</v>
      </c>
      <c r="M568" s="8">
        <f t="shared" si="293"/>
        <v>0.11834727213134189</v>
      </c>
    </row>
    <row r="569" spans="1:13" x14ac:dyDescent="0.3">
      <c r="A569" s="1">
        <v>45035</v>
      </c>
      <c r="B569" s="5">
        <v>16379271.281667678</v>
      </c>
      <c r="C569" s="5">
        <v>17957673.595062248</v>
      </c>
      <c r="D569" s="5">
        <v>0</v>
      </c>
      <c r="E569" s="5">
        <f t="shared" si="297"/>
        <v>0</v>
      </c>
      <c r="F569" s="5">
        <f t="shared" si="297"/>
        <v>0</v>
      </c>
      <c r="G569" s="9">
        <f t="shared" si="299"/>
        <v>-8.9212311064716943E-3</v>
      </c>
      <c r="H569" s="9">
        <f t="shared" si="299"/>
        <v>1.1338976567645265E-3</v>
      </c>
      <c r="I569" s="5">
        <f t="shared" si="300"/>
        <v>11972703.14867598</v>
      </c>
      <c r="J569" s="5">
        <f t="shared" si="301"/>
        <v>13081343.980047997</v>
      </c>
      <c r="K569" s="8">
        <f t="shared" ref="K569:L569" si="355">I569/I317-1</f>
        <v>-0.11684903922192003</v>
      </c>
      <c r="L569" s="8">
        <f t="shared" si="355"/>
        <v>3.8063981463593688E-2</v>
      </c>
      <c r="M569" s="8">
        <f t="shared" si="293"/>
        <v>0.15491302068551371</v>
      </c>
    </row>
    <row r="570" spans="1:13" x14ac:dyDescent="0.3">
      <c r="A570" s="1">
        <v>45036</v>
      </c>
      <c r="B570" s="5">
        <v>16385951.318249334</v>
      </c>
      <c r="C570" s="5">
        <v>17835338.002435435</v>
      </c>
      <c r="D570" s="5">
        <v>0</v>
      </c>
      <c r="E570" s="5">
        <f t="shared" si="297"/>
        <v>0</v>
      </c>
      <c r="F570" s="5">
        <f t="shared" si="297"/>
        <v>0</v>
      </c>
      <c r="G570" s="9">
        <f t="shared" si="299"/>
        <v>4.0783478500250325E-4</v>
      </c>
      <c r="H570" s="9">
        <f t="shared" si="299"/>
        <v>-6.8124410424996729E-3</v>
      </c>
      <c r="I570" s="5">
        <f t="shared" si="300"/>
        <v>11977586.03349052</v>
      </c>
      <c r="J570" s="5">
        <f t="shared" si="301"/>
        <v>12992228.095427262</v>
      </c>
      <c r="K570" s="8">
        <f t="shared" ref="K570:L570" si="356">I570/I318-1</f>
        <v>-0.1063883472345718</v>
      </c>
      <c r="L570" s="8">
        <f t="shared" si="356"/>
        <v>3.2179358960929605E-2</v>
      </c>
      <c r="M570" s="8">
        <f t="shared" si="293"/>
        <v>0.13856770619550141</v>
      </c>
    </row>
    <row r="571" spans="1:13" x14ac:dyDescent="0.3">
      <c r="A571" s="1">
        <v>45037</v>
      </c>
      <c r="B571" s="5">
        <v>16364822.565150185</v>
      </c>
      <c r="C571" s="5">
        <v>17843060.620227691</v>
      </c>
      <c r="D571" s="5">
        <v>0</v>
      </c>
      <c r="E571" s="5">
        <f t="shared" si="297"/>
        <v>0</v>
      </c>
      <c r="F571" s="5">
        <f t="shared" si="297"/>
        <v>0</v>
      </c>
      <c r="G571" s="9">
        <f t="shared" si="299"/>
        <v>-1.2894431753631697E-3</v>
      </c>
      <c r="H571" s="9">
        <f t="shared" si="299"/>
        <v>4.3299531476237441E-4</v>
      </c>
      <c r="I571" s="5">
        <f t="shared" si="300"/>
        <v>11962141.61692231</v>
      </c>
      <c r="J571" s="5">
        <f t="shared" si="301"/>
        <v>12997853.669320906</v>
      </c>
      <c r="K571" s="8">
        <f t="shared" ref="K571:L571" si="357">I571/I319-1</f>
        <v>-0.10880823298645448</v>
      </c>
      <c r="L571" s="8">
        <f t="shared" si="357"/>
        <v>1.9413016191049071E-2</v>
      </c>
      <c r="M571" s="8">
        <f t="shared" si="293"/>
        <v>0.12822124917750355</v>
      </c>
    </row>
    <row r="572" spans="1:13" x14ac:dyDescent="0.3">
      <c r="A572" s="1">
        <v>45040</v>
      </c>
      <c r="B572" s="5">
        <v>16426981.076664858</v>
      </c>
      <c r="C572" s="5">
        <v>17823442.895847145</v>
      </c>
      <c r="D572" s="5">
        <v>0</v>
      </c>
      <c r="E572" s="5">
        <f t="shared" si="297"/>
        <v>0</v>
      </c>
      <c r="F572" s="5">
        <f t="shared" si="297"/>
        <v>0</v>
      </c>
      <c r="G572" s="9">
        <f t="shared" si="299"/>
        <v>3.7983003645296609E-3</v>
      </c>
      <c r="H572" s="9">
        <f t="shared" si="299"/>
        <v>-1.0994596049461736E-3</v>
      </c>
      <c r="I572" s="5">
        <f t="shared" si="300"/>
        <v>12007577.42378642</v>
      </c>
      <c r="J572" s="5">
        <f t="shared" si="301"/>
        <v>12983563.054260487</v>
      </c>
      <c r="K572" s="8">
        <f t="shared" ref="K572:L572" si="358">I572/I320-1</f>
        <v>-0.1022299039094956</v>
      </c>
      <c r="L572" s="8">
        <f t="shared" si="358"/>
        <v>2.99399685136994E-2</v>
      </c>
      <c r="M572" s="8">
        <f t="shared" si="293"/>
        <v>0.132169872423195</v>
      </c>
    </row>
    <row r="573" spans="1:13" x14ac:dyDescent="0.3">
      <c r="A573" s="1">
        <v>45041</v>
      </c>
      <c r="B573" s="5">
        <v>16497933.407273896</v>
      </c>
      <c r="C573" s="5">
        <v>17546670.426517483</v>
      </c>
      <c r="D573" s="5">
        <v>0</v>
      </c>
      <c r="E573" s="5">
        <f t="shared" si="297"/>
        <v>0</v>
      </c>
      <c r="F573" s="5">
        <f t="shared" si="297"/>
        <v>0</v>
      </c>
      <c r="G573" s="9">
        <f t="shared" si="299"/>
        <v>4.3192556366811186E-3</v>
      </c>
      <c r="H573" s="9">
        <f t="shared" si="299"/>
        <v>-1.552856375432099E-2</v>
      </c>
      <c r="I573" s="5">
        <f t="shared" si="300"/>
        <v>12059441.220256995</v>
      </c>
      <c r="J573" s="5">
        <f t="shared" si="301"/>
        <v>12781946.967614157</v>
      </c>
      <c r="K573" s="8">
        <f t="shared" ref="K573:L573" si="359">I573/I321-1</f>
        <v>-8.1614630739372362E-2</v>
      </c>
      <c r="L573" s="8">
        <f t="shared" si="359"/>
        <v>-4.3130506555160153E-3</v>
      </c>
      <c r="M573" s="8">
        <f t="shared" si="293"/>
        <v>7.7301580083856347E-2</v>
      </c>
    </row>
    <row r="574" spans="1:13" x14ac:dyDescent="0.3">
      <c r="A574" s="1">
        <v>45042</v>
      </c>
      <c r="B574" s="5">
        <v>16561743.027875753</v>
      </c>
      <c r="C574" s="5">
        <v>17440956.238587569</v>
      </c>
      <c r="D574" s="5">
        <v>0</v>
      </c>
      <c r="E574" s="5">
        <f t="shared" si="297"/>
        <v>0</v>
      </c>
      <c r="F574" s="5">
        <f t="shared" si="297"/>
        <v>0</v>
      </c>
      <c r="G574" s="9">
        <f t="shared" si="299"/>
        <v>3.8677341595840797E-3</v>
      </c>
      <c r="H574" s="9">
        <f t="shared" si="299"/>
        <v>-6.0247434618794227E-3</v>
      </c>
      <c r="I574" s="5">
        <f t="shared" si="300"/>
        <v>12106083.933010079</v>
      </c>
      <c r="J574" s="5">
        <f t="shared" si="301"/>
        <v>12704939.016190935</v>
      </c>
      <c r="K574" s="8">
        <f t="shared" ref="K574:L574" si="360">I574/I322-1</f>
        <v>-8.2650482254413737E-2</v>
      </c>
      <c r="L574" s="8">
        <f t="shared" si="360"/>
        <v>-7.7654340727952853E-3</v>
      </c>
      <c r="M574" s="8">
        <f t="shared" si="293"/>
        <v>7.4885048181618452E-2</v>
      </c>
    </row>
    <row r="575" spans="1:13" x14ac:dyDescent="0.3">
      <c r="A575" s="1">
        <v>45043</v>
      </c>
      <c r="B575" s="5">
        <v>16606295.757145796</v>
      </c>
      <c r="C575" s="5">
        <v>17804393.231418103</v>
      </c>
      <c r="D575" s="5">
        <v>0</v>
      </c>
      <c r="E575" s="5">
        <f t="shared" si="297"/>
        <v>0</v>
      </c>
      <c r="F575" s="5">
        <f t="shared" si="297"/>
        <v>0</v>
      </c>
      <c r="G575" s="9">
        <f t="shared" si="299"/>
        <v>2.6900990550966508E-3</v>
      </c>
      <c r="H575" s="9">
        <f t="shared" si="299"/>
        <v>2.0838134552877419E-2</v>
      </c>
      <c r="I575" s="5">
        <f t="shared" si="300"/>
        <v>12138650.497959191</v>
      </c>
      <c r="J575" s="5">
        <f t="shared" si="301"/>
        <v>12969686.244896423</v>
      </c>
      <c r="K575" s="8">
        <f t="shared" ref="K575:L575" si="361">I575/I323-1</f>
        <v>-9.1732115138588477E-2</v>
      </c>
      <c r="L575" s="8">
        <f t="shared" si="361"/>
        <v>2.8128979829525225E-2</v>
      </c>
      <c r="M575" s="8">
        <f t="shared" ref="M575:M638" si="362">L575-K575</f>
        <v>0.1198610949681137</v>
      </c>
    </row>
    <row r="576" spans="1:13" x14ac:dyDescent="0.3">
      <c r="A576" s="1">
        <v>45044</v>
      </c>
      <c r="B576" s="5">
        <v>16828696.522377934</v>
      </c>
      <c r="C576" s="5">
        <v>17953253.685690455</v>
      </c>
      <c r="D576" s="5">
        <v>0</v>
      </c>
      <c r="E576" s="5">
        <f t="shared" si="297"/>
        <v>0</v>
      </c>
      <c r="F576" s="5">
        <f t="shared" si="297"/>
        <v>0</v>
      </c>
      <c r="G576" s="9">
        <f t="shared" si="299"/>
        <v>1.3392557165341268E-2</v>
      </c>
      <c r="H576" s="9">
        <f t="shared" si="299"/>
        <v>8.3608833133199667E-3</v>
      </c>
      <c r="I576" s="5">
        <f t="shared" si="300"/>
        <v>12301218.068663208</v>
      </c>
      <c r="J576" s="5">
        <f t="shared" si="301"/>
        <v>13078124.278200373</v>
      </c>
      <c r="K576" s="8">
        <f t="shared" ref="K576:L576" si="363">I576/I324-1</f>
        <v>-7.2673843618436096E-2</v>
      </c>
      <c r="L576" s="8">
        <f t="shared" si="363"/>
        <v>6.2664430623964096E-2</v>
      </c>
      <c r="M576" s="8">
        <f t="shared" si="362"/>
        <v>0.13533827424240019</v>
      </c>
    </row>
    <row r="577" spans="1:13" x14ac:dyDescent="0.3">
      <c r="A577" s="1">
        <v>45048</v>
      </c>
      <c r="B577" s="5">
        <v>16939562.751964457</v>
      </c>
      <c r="C577" s="5">
        <v>17749416.723464541</v>
      </c>
      <c r="D577" s="5">
        <v>0</v>
      </c>
      <c r="E577" s="5">
        <f t="shared" si="297"/>
        <v>0</v>
      </c>
      <c r="F577" s="5">
        <f t="shared" si="297"/>
        <v>0</v>
      </c>
      <c r="G577" s="9">
        <f t="shared" si="299"/>
        <v>6.5879273204016986E-3</v>
      </c>
      <c r="H577" s="9">
        <f t="shared" si="299"/>
        <v>-1.1353761596338496E-2</v>
      </c>
      <c r="I577" s="5">
        <f t="shared" si="300"/>
        <v>12382257.599251973</v>
      </c>
      <c r="J577" s="5">
        <f t="shared" si="301"/>
        <v>12929638.373018399</v>
      </c>
      <c r="K577" s="8">
        <f t="shared" ref="K577:L577" si="364">I577/I325-1</f>
        <v>-4.7882824296953785E-2</v>
      </c>
      <c r="L577" s="8">
        <f t="shared" si="364"/>
        <v>4.1500312320333022E-2</v>
      </c>
      <c r="M577" s="8">
        <f t="shared" si="362"/>
        <v>8.9383136617286807E-2</v>
      </c>
    </row>
    <row r="578" spans="1:13" x14ac:dyDescent="0.3">
      <c r="A578" s="1">
        <v>45049</v>
      </c>
      <c r="B578" s="5">
        <v>16969660.716698367</v>
      </c>
      <c r="C578" s="5">
        <v>17612480.368459664</v>
      </c>
      <c r="D578" s="5">
        <v>0</v>
      </c>
      <c r="E578" s="5">
        <f t="shared" si="297"/>
        <v>0</v>
      </c>
      <c r="F578" s="5">
        <f t="shared" si="297"/>
        <v>0</v>
      </c>
      <c r="G578" s="9">
        <f t="shared" si="299"/>
        <v>1.7767852201746592E-3</v>
      </c>
      <c r="H578" s="9">
        <f t="shared" si="299"/>
        <v>-7.7149777448094481E-3</v>
      </c>
      <c r="I578" s="5">
        <f t="shared" si="300"/>
        <v>12404258.211546719</v>
      </c>
      <c r="J578" s="5">
        <f t="shared" si="301"/>
        <v>12829886.500722127</v>
      </c>
      <c r="K578" s="8">
        <f t="shared" ref="K578:L578" si="365">I578/I326-1</f>
        <v>-6.8066681646304583E-2</v>
      </c>
      <c r="L578" s="8">
        <f t="shared" si="365"/>
        <v>6.4913381631078515E-2</v>
      </c>
      <c r="M578" s="8">
        <f t="shared" si="362"/>
        <v>0.1329800632773831</v>
      </c>
    </row>
    <row r="579" spans="1:13" x14ac:dyDescent="0.3">
      <c r="A579" s="1">
        <v>45050</v>
      </c>
      <c r="B579" s="5">
        <v>17076556.422051426</v>
      </c>
      <c r="C579" s="5">
        <v>17465912.055747684</v>
      </c>
      <c r="D579" s="5">
        <v>0</v>
      </c>
      <c r="E579" s="5">
        <f t="shared" ref="E579:F642" si="366">$D579*-1</f>
        <v>0</v>
      </c>
      <c r="F579" s="5">
        <f t="shared" si="366"/>
        <v>0</v>
      </c>
      <c r="G579" s="9">
        <f t="shared" si="299"/>
        <v>6.2992246655746431E-3</v>
      </c>
      <c r="H579" s="9">
        <f t="shared" si="299"/>
        <v>-8.3218439223616825E-3</v>
      </c>
      <c r="I579" s="5">
        <f t="shared" si="300"/>
        <v>12482395.420831051</v>
      </c>
      <c r="J579" s="5">
        <f t="shared" si="301"/>
        <v>12723118.187721502</v>
      </c>
      <c r="K579" s="8">
        <f t="shared" ref="K579:L579" si="367">I579/I327-1</f>
        <v>-4.9676078258199752E-2</v>
      </c>
      <c r="L579" s="8">
        <f t="shared" si="367"/>
        <v>5.382889849478234E-2</v>
      </c>
      <c r="M579" s="8">
        <f t="shared" si="362"/>
        <v>0.10350497675298209</v>
      </c>
    </row>
    <row r="580" spans="1:13" x14ac:dyDescent="0.3">
      <c r="A580" s="1">
        <v>45051</v>
      </c>
      <c r="B580" s="5">
        <v>17074463.807603937</v>
      </c>
      <c r="C580" s="5">
        <v>17806992.498817306</v>
      </c>
      <c r="D580" s="5">
        <v>0</v>
      </c>
      <c r="E580" s="5">
        <f t="shared" si="366"/>
        <v>0</v>
      </c>
      <c r="F580" s="5">
        <f t="shared" si="366"/>
        <v>0</v>
      </c>
      <c r="G580" s="9">
        <f t="shared" ref="G580:H643" si="368">((B580-$D580)/B579-1)</f>
        <v>-1.2254311676018759E-4</v>
      </c>
      <c r="H580" s="9">
        <f t="shared" si="368"/>
        <v>1.9528349964259561E-2</v>
      </c>
      <c r="I580" s="5">
        <f t="shared" ref="I580:I643" si="369">I579*(1+G580)</f>
        <v>12480865.78919155</v>
      </c>
      <c r="J580" s="5">
        <f t="shared" ref="J580:J643" si="370">J579*(1+H580)</f>
        <v>12971579.692327963</v>
      </c>
      <c r="K580" s="8">
        <f t="shared" ref="K580:L580" si="371">I580/I328-1</f>
        <v>-6.2612529080128265E-2</v>
      </c>
      <c r="L580" s="8">
        <f t="shared" si="371"/>
        <v>4.7717611321252518E-2</v>
      </c>
      <c r="M580" s="8">
        <f t="shared" si="362"/>
        <v>0.11033014040138078</v>
      </c>
    </row>
    <row r="581" spans="1:13" x14ac:dyDescent="0.3">
      <c r="A581" s="1">
        <v>45054</v>
      </c>
      <c r="B581" s="5">
        <v>17191090.77493969</v>
      </c>
      <c r="C581" s="5">
        <v>17808801.347157691</v>
      </c>
      <c r="D581" s="5">
        <v>0</v>
      </c>
      <c r="E581" s="5">
        <f t="shared" si="366"/>
        <v>0</v>
      </c>
      <c r="F581" s="5">
        <f t="shared" si="366"/>
        <v>0</v>
      </c>
      <c r="G581" s="9">
        <f t="shared" si="368"/>
        <v>6.8304907638629953E-3</v>
      </c>
      <c r="H581" s="9">
        <f t="shared" si="368"/>
        <v>1.0158078858646391E-4</v>
      </c>
      <c r="I581" s="5">
        <f t="shared" si="369"/>
        <v>12566116.227689637</v>
      </c>
      <c r="J581" s="5">
        <f t="shared" si="370"/>
        <v>12972897.355622321</v>
      </c>
      <c r="K581" s="8">
        <f t="shared" ref="K581:L581" si="372">I581/I329-1</f>
        <v>-4.3957941910298337E-2</v>
      </c>
      <c r="L581" s="8">
        <f t="shared" si="372"/>
        <v>8.975401258170157E-2</v>
      </c>
      <c r="M581" s="8">
        <f t="shared" si="362"/>
        <v>0.13371195449199991</v>
      </c>
    </row>
    <row r="582" spans="1:13" x14ac:dyDescent="0.3">
      <c r="A582" s="1">
        <v>45055</v>
      </c>
      <c r="B582" s="5">
        <v>17173288.432089441</v>
      </c>
      <c r="C582" s="5">
        <v>17784871.575999949</v>
      </c>
      <c r="D582" s="5">
        <v>0</v>
      </c>
      <c r="E582" s="5">
        <f t="shared" si="366"/>
        <v>0</v>
      </c>
      <c r="F582" s="5">
        <f t="shared" si="366"/>
        <v>0</v>
      </c>
      <c r="G582" s="9">
        <f t="shared" si="368"/>
        <v>-1.0355563287584024E-3</v>
      </c>
      <c r="H582" s="9">
        <f t="shared" si="368"/>
        <v>-1.3437047609923258E-3</v>
      </c>
      <c r="I582" s="5">
        <f t="shared" si="369"/>
        <v>12553103.306502139</v>
      </c>
      <c r="J582" s="5">
        <f t="shared" si="370"/>
        <v>12955465.611681707</v>
      </c>
      <c r="K582" s="8">
        <f t="shared" ref="K582:L582" si="373">I582/I330-1</f>
        <v>-4.1504729791652872E-2</v>
      </c>
      <c r="L582" s="8">
        <f t="shared" si="373"/>
        <v>8.2001286246381921E-2</v>
      </c>
      <c r="M582" s="8">
        <f t="shared" si="362"/>
        <v>0.12350601603803479</v>
      </c>
    </row>
    <row r="583" spans="1:13" x14ac:dyDescent="0.3">
      <c r="A583" s="1">
        <v>45056</v>
      </c>
      <c r="B583" s="5">
        <v>17270486.139562298</v>
      </c>
      <c r="C583" s="5">
        <v>17843321.554340366</v>
      </c>
      <c r="D583" s="5">
        <v>0</v>
      </c>
      <c r="E583" s="5">
        <f t="shared" si="366"/>
        <v>0</v>
      </c>
      <c r="F583" s="5">
        <f t="shared" si="366"/>
        <v>0</v>
      </c>
      <c r="G583" s="9">
        <f t="shared" si="368"/>
        <v>5.6598191928831643E-3</v>
      </c>
      <c r="H583" s="9">
        <f t="shared" si="368"/>
        <v>3.2864998822534908E-3</v>
      </c>
      <c r="I583" s="5">
        <f t="shared" si="369"/>
        <v>12624151.601526525</v>
      </c>
      <c r="J583" s="5">
        <f t="shared" si="370"/>
        <v>12998043.747889038</v>
      </c>
      <c r="K583" s="8">
        <f t="shared" ref="K583:L583" si="374">I583/I331-1</f>
        <v>-7.5384455509782677E-3</v>
      </c>
      <c r="L583" s="8">
        <f t="shared" si="374"/>
        <v>5.2433594416512408E-2</v>
      </c>
      <c r="M583" s="8">
        <f t="shared" si="362"/>
        <v>5.9972039967490676E-2</v>
      </c>
    </row>
    <row r="584" spans="1:13" x14ac:dyDescent="0.3">
      <c r="A584" s="1">
        <v>45057</v>
      </c>
      <c r="B584" s="5">
        <v>17404848.921543323</v>
      </c>
      <c r="C584" s="5">
        <v>17858140.00751299</v>
      </c>
      <c r="D584" s="5">
        <v>0</v>
      </c>
      <c r="E584" s="5">
        <f t="shared" si="366"/>
        <v>0</v>
      </c>
      <c r="F584" s="5">
        <f t="shared" si="366"/>
        <v>0</v>
      </c>
      <c r="G584" s="9">
        <f t="shared" si="368"/>
        <v>7.7799073457018864E-3</v>
      </c>
      <c r="H584" s="9">
        <f t="shared" si="368"/>
        <v>8.3047616036591165E-4</v>
      </c>
      <c r="I584" s="5">
        <f t="shared" si="369"/>
        <v>12722366.331304496</v>
      </c>
      <c r="J584" s="5">
        <f t="shared" si="370"/>
        <v>13008838.313353052</v>
      </c>
      <c r="K584" s="8">
        <f t="shared" ref="K584:L584" si="375">I584/I332-1</f>
        <v>-1.5955586641014374E-3</v>
      </c>
      <c r="L584" s="8">
        <f t="shared" si="375"/>
        <v>8.7843656688308069E-2</v>
      </c>
      <c r="M584" s="8">
        <f t="shared" si="362"/>
        <v>8.9439215352409507E-2</v>
      </c>
    </row>
    <row r="585" spans="1:13" x14ac:dyDescent="0.3">
      <c r="A585" s="1">
        <v>45058</v>
      </c>
      <c r="B585" s="5">
        <v>17376777.043051921</v>
      </c>
      <c r="C585" s="5">
        <v>17842590.349143274</v>
      </c>
      <c r="D585" s="5">
        <v>0</v>
      </c>
      <c r="E585" s="5">
        <f t="shared" si="366"/>
        <v>0</v>
      </c>
      <c r="F585" s="5">
        <f t="shared" si="366"/>
        <v>0</v>
      </c>
      <c r="G585" s="9">
        <f t="shared" si="368"/>
        <v>-1.6128768837893048E-3</v>
      </c>
      <c r="H585" s="9">
        <f t="shared" si="368"/>
        <v>-8.7073224664913074E-4</v>
      </c>
      <c r="I585" s="5">
        <f t="shared" si="369"/>
        <v>12701846.720741635</v>
      </c>
      <c r="J585" s="5">
        <f t="shared" si="370"/>
        <v>12997511.098342171</v>
      </c>
      <c r="K585" s="8">
        <f t="shared" ref="K585:L585" si="376">I585/I333-1</f>
        <v>1.8318772262489569E-2</v>
      </c>
      <c r="L585" s="8">
        <f t="shared" si="376"/>
        <v>8.781982333777183E-2</v>
      </c>
      <c r="M585" s="8">
        <f t="shared" si="362"/>
        <v>6.9501051075282261E-2</v>
      </c>
    </row>
    <row r="586" spans="1:13" x14ac:dyDescent="0.3">
      <c r="A586" s="1">
        <v>45061</v>
      </c>
      <c r="B586" s="5">
        <v>17459392.97759733</v>
      </c>
      <c r="C586" s="5">
        <v>17926123.663292084</v>
      </c>
      <c r="D586" s="5">
        <v>0</v>
      </c>
      <c r="E586" s="5">
        <f t="shared" si="366"/>
        <v>0</v>
      </c>
      <c r="F586" s="5">
        <f t="shared" si="366"/>
        <v>0</v>
      </c>
      <c r="G586" s="9">
        <f t="shared" si="368"/>
        <v>4.7543876715874234E-3</v>
      </c>
      <c r="H586" s="9">
        <f t="shared" si="368"/>
        <v>4.6816808834497792E-3</v>
      </c>
      <c r="I586" s="5">
        <f t="shared" si="369"/>
        <v>12762236.224197123</v>
      </c>
      <c r="J586" s="5">
        <f t="shared" si="370"/>
        <v>13058361.297583707</v>
      </c>
      <c r="K586" s="8">
        <f t="shared" ref="K586:L586" si="377">I586/I334-1</f>
        <v>4.3316608485689301E-2</v>
      </c>
      <c r="L586" s="8">
        <f t="shared" si="377"/>
        <v>0.1209814232773474</v>
      </c>
      <c r="M586" s="8">
        <f t="shared" si="362"/>
        <v>7.7664814791658099E-2</v>
      </c>
    </row>
    <row r="587" spans="1:13" x14ac:dyDescent="0.3">
      <c r="A587" s="1">
        <v>45062</v>
      </c>
      <c r="B587" s="5">
        <v>17483663.676377032</v>
      </c>
      <c r="C587" s="5">
        <v>17804065.958124246</v>
      </c>
      <c r="D587" s="5">
        <v>0</v>
      </c>
      <c r="E587" s="5">
        <f t="shared" si="366"/>
        <v>0</v>
      </c>
      <c r="F587" s="5">
        <f t="shared" si="366"/>
        <v>0</v>
      </c>
      <c r="G587" s="9">
        <f t="shared" si="368"/>
        <v>1.3901227156547513E-3</v>
      </c>
      <c r="H587" s="9">
        <f t="shared" si="368"/>
        <v>-6.808929105949435E-3</v>
      </c>
      <c r="I587" s="5">
        <f t="shared" si="369"/>
        <v>12779977.298674932</v>
      </c>
      <c r="J587" s="5">
        <f t="shared" si="370"/>
        <v>12969447.841268586</v>
      </c>
      <c r="K587" s="8">
        <f t="shared" ref="K587:L587" si="378">I587/I335-1</f>
        <v>6.8651053814821728E-2</v>
      </c>
      <c r="L587" s="8">
        <f t="shared" si="378"/>
        <v>0.11262422365732006</v>
      </c>
      <c r="M587" s="8">
        <f t="shared" si="362"/>
        <v>4.3973169842498327E-2</v>
      </c>
    </row>
    <row r="588" spans="1:13" x14ac:dyDescent="0.3">
      <c r="A588" s="1">
        <v>45063</v>
      </c>
      <c r="B588" s="5">
        <v>17385428.733708378</v>
      </c>
      <c r="C588" s="5">
        <v>18047753.112190258</v>
      </c>
      <c r="D588" s="5">
        <v>0</v>
      </c>
      <c r="E588" s="5">
        <f t="shared" si="366"/>
        <v>0</v>
      </c>
      <c r="F588" s="5">
        <f t="shared" si="366"/>
        <v>0</v>
      </c>
      <c r="G588" s="9">
        <f t="shared" si="368"/>
        <v>-5.6186703477592026E-3</v>
      </c>
      <c r="H588" s="9">
        <f t="shared" si="368"/>
        <v>1.3687163069333153E-2</v>
      </c>
      <c r="I588" s="5">
        <f t="shared" si="369"/>
        <v>12708170.819181832</v>
      </c>
      <c r="J588" s="5">
        <f t="shared" si="370"/>
        <v>13146962.788791239</v>
      </c>
      <c r="K588" s="8">
        <f t="shared" ref="K588:L588" si="379">I588/I336-1</f>
        <v>6.38691750382685E-2</v>
      </c>
      <c r="L588" s="8">
        <f t="shared" si="379"/>
        <v>0.14713410156544993</v>
      </c>
      <c r="M588" s="8">
        <f t="shared" si="362"/>
        <v>8.3264926527181427E-2</v>
      </c>
    </row>
    <row r="589" spans="1:13" x14ac:dyDescent="0.3">
      <c r="A589" s="1">
        <v>45064</v>
      </c>
      <c r="B589" s="5">
        <v>17212500.760905333</v>
      </c>
      <c r="C589" s="5">
        <v>18305522.108817037</v>
      </c>
      <c r="D589" s="5">
        <v>0</v>
      </c>
      <c r="E589" s="5">
        <f t="shared" si="366"/>
        <v>0</v>
      </c>
      <c r="F589" s="5">
        <f t="shared" si="366"/>
        <v>0</v>
      </c>
      <c r="G589" s="9">
        <f t="shared" si="368"/>
        <v>-9.9467189133942702E-3</v>
      </c>
      <c r="H589" s="9">
        <f t="shared" si="368"/>
        <v>1.4282608756026827E-2</v>
      </c>
      <c r="I589" s="5">
        <f t="shared" si="369"/>
        <v>12581766.21614003</v>
      </c>
      <c r="J589" s="5">
        <f t="shared" si="370"/>
        <v>13334735.714633588</v>
      </c>
      <c r="K589" s="8">
        <f t="shared" ref="K589:L589" si="380">I589/I337-1</f>
        <v>8.0400830162521197E-2</v>
      </c>
      <c r="L589" s="8">
        <f t="shared" si="380"/>
        <v>0.16295633137440757</v>
      </c>
      <c r="M589" s="8">
        <f t="shared" si="362"/>
        <v>8.2555501211886373E-2</v>
      </c>
    </row>
    <row r="590" spans="1:13" x14ac:dyDescent="0.3">
      <c r="A590" s="1">
        <v>45065</v>
      </c>
      <c r="B590" s="5">
        <v>17272497.105758224</v>
      </c>
      <c r="C590" s="5">
        <v>18253009.978594258</v>
      </c>
      <c r="D590" s="5">
        <v>0</v>
      </c>
      <c r="E590" s="5">
        <f t="shared" si="366"/>
        <v>0</v>
      </c>
      <c r="F590" s="5">
        <f t="shared" si="366"/>
        <v>0</v>
      </c>
      <c r="G590" s="9">
        <f t="shared" si="368"/>
        <v>3.4856262716431718E-3</v>
      </c>
      <c r="H590" s="9">
        <f t="shared" si="368"/>
        <v>-2.8686496845389264E-3</v>
      </c>
      <c r="I590" s="5">
        <f t="shared" si="369"/>
        <v>12625621.55100668</v>
      </c>
      <c r="J590" s="5">
        <f t="shared" si="370"/>
        <v>13296483.029232394</v>
      </c>
      <c r="K590" s="8">
        <f t="shared" ref="K590:L590" si="381">I590/I338-1</f>
        <v>8.9032696222906438E-2</v>
      </c>
      <c r="L590" s="8">
        <f t="shared" si="381"/>
        <v>0.13202189907429962</v>
      </c>
      <c r="M590" s="8">
        <f t="shared" si="362"/>
        <v>4.2989202851393182E-2</v>
      </c>
    </row>
    <row r="591" spans="1:13" x14ac:dyDescent="0.3">
      <c r="A591" s="1">
        <v>45068</v>
      </c>
      <c r="B591" s="5">
        <v>17433223.20096644</v>
      </c>
      <c r="C591" s="5">
        <v>18297707.844674475</v>
      </c>
      <c r="D591" s="5">
        <v>0</v>
      </c>
      <c r="E591" s="5">
        <f t="shared" si="366"/>
        <v>0</v>
      </c>
      <c r="F591" s="5">
        <f t="shared" si="366"/>
        <v>0</v>
      </c>
      <c r="G591" s="9">
        <f t="shared" si="368"/>
        <v>9.3053189833585126E-3</v>
      </c>
      <c r="H591" s="9">
        <f t="shared" si="368"/>
        <v>2.44879426092659E-3</v>
      </c>
      <c r="I591" s="5">
        <f t="shared" si="369"/>
        <v>12743106.986901963</v>
      </c>
      <c r="J591" s="5">
        <f t="shared" si="370"/>
        <v>13329043.380564885</v>
      </c>
      <c r="K591" s="8">
        <f t="shared" ref="K591:L591" si="382">I591/I339-1</f>
        <v>8.2810047685485388E-2</v>
      </c>
      <c r="L591" s="8">
        <f t="shared" si="382"/>
        <v>0.13337607616372793</v>
      </c>
      <c r="M591" s="8">
        <f t="shared" si="362"/>
        <v>5.0566028478242542E-2</v>
      </c>
    </row>
    <row r="592" spans="1:13" x14ac:dyDescent="0.3">
      <c r="A592" s="1">
        <v>45069</v>
      </c>
      <c r="B592" s="5">
        <v>17470228.002980791</v>
      </c>
      <c r="C592" s="5">
        <v>18094892.505838849</v>
      </c>
      <c r="D592" s="5">
        <v>0</v>
      </c>
      <c r="E592" s="5">
        <f t="shared" si="366"/>
        <v>0</v>
      </c>
      <c r="F592" s="5">
        <f t="shared" si="366"/>
        <v>0</v>
      </c>
      <c r="G592" s="9">
        <f t="shared" si="368"/>
        <v>2.1226597966290672E-3</v>
      </c>
      <c r="H592" s="9">
        <f t="shared" si="368"/>
        <v>-1.1084193744773096E-2</v>
      </c>
      <c r="I592" s="5">
        <f t="shared" si="369"/>
        <v>12770156.267787203</v>
      </c>
      <c r="J592" s="5">
        <f t="shared" si="370"/>
        <v>13181301.681302218</v>
      </c>
      <c r="K592" s="8">
        <f t="shared" ref="K592:L592" si="383">I592/I340-1</f>
        <v>5.8050944616721667E-2</v>
      </c>
      <c r="L592" s="8">
        <f t="shared" si="383"/>
        <v>0.10370161335584194</v>
      </c>
      <c r="M592" s="8">
        <f t="shared" si="362"/>
        <v>4.565066873912027E-2</v>
      </c>
    </row>
    <row r="593" spans="1:13" x14ac:dyDescent="0.3">
      <c r="A593" s="1">
        <v>45070</v>
      </c>
      <c r="B593" s="5">
        <v>17459030.096479267</v>
      </c>
      <c r="C593" s="5">
        <v>17923765.428251199</v>
      </c>
      <c r="D593" s="5">
        <v>0</v>
      </c>
      <c r="E593" s="5">
        <f t="shared" si="366"/>
        <v>0</v>
      </c>
      <c r="F593" s="5">
        <f t="shared" si="366"/>
        <v>0</v>
      </c>
      <c r="G593" s="9">
        <f t="shared" si="368"/>
        <v>-6.4097082760528057E-4</v>
      </c>
      <c r="H593" s="9">
        <f t="shared" si="368"/>
        <v>-9.4572033258794042E-3</v>
      </c>
      <c r="I593" s="5">
        <f t="shared" si="369"/>
        <v>12761970.970155591</v>
      </c>
      <c r="J593" s="5">
        <f t="shared" si="370"/>
        <v>13056643.431202387</v>
      </c>
      <c r="K593" s="8">
        <f t="shared" ref="K593:L593" si="384">I593/I341-1</f>
        <v>5.6797354359926944E-2</v>
      </c>
      <c r="L593" s="8">
        <f t="shared" si="384"/>
        <v>0.13534727460294871</v>
      </c>
      <c r="M593" s="8">
        <f t="shared" si="362"/>
        <v>7.8549920243021765E-2</v>
      </c>
    </row>
    <row r="594" spans="1:13" x14ac:dyDescent="0.3">
      <c r="A594" s="1">
        <v>45071</v>
      </c>
      <c r="B594" s="5">
        <v>17556693.501386974</v>
      </c>
      <c r="C594" s="5">
        <v>18103201.856833614</v>
      </c>
      <c r="D594" s="5">
        <v>0</v>
      </c>
      <c r="E594" s="5">
        <f t="shared" si="366"/>
        <v>0</v>
      </c>
      <c r="F594" s="5">
        <f t="shared" si="366"/>
        <v>0</v>
      </c>
      <c r="G594" s="9">
        <f t="shared" si="368"/>
        <v>5.5938619939375211E-3</v>
      </c>
      <c r="H594" s="9">
        <f t="shared" si="368"/>
        <v>1.0011089985566768E-2</v>
      </c>
      <c r="I594" s="5">
        <f t="shared" si="369"/>
        <v>12833359.674533278</v>
      </c>
      <c r="J594" s="5">
        <f t="shared" si="370"/>
        <v>13187354.663501615</v>
      </c>
      <c r="K594" s="8">
        <f t="shared" ref="K594:L594" si="385">I594/I342-1</f>
        <v>9.2604075843993883E-2</v>
      </c>
      <c r="L594" s="8">
        <f t="shared" si="385"/>
        <v>0.1571897108675735</v>
      </c>
      <c r="M594" s="8">
        <f t="shared" si="362"/>
        <v>6.4585635023579613E-2</v>
      </c>
    </row>
    <row r="595" spans="1:13" x14ac:dyDescent="0.3">
      <c r="A595" s="1">
        <v>45072</v>
      </c>
      <c r="B595" s="5">
        <v>17757499.816085119</v>
      </c>
      <c r="C595" s="5">
        <v>18300814.729660101</v>
      </c>
      <c r="D595" s="5">
        <v>0</v>
      </c>
      <c r="E595" s="5">
        <f t="shared" si="366"/>
        <v>0</v>
      </c>
      <c r="F595" s="5">
        <f t="shared" si="366"/>
        <v>0</v>
      </c>
      <c r="G595" s="9">
        <f t="shared" si="368"/>
        <v>1.1437593000201307E-2</v>
      </c>
      <c r="H595" s="9">
        <f t="shared" si="368"/>
        <v>1.0915907273711944E-2</v>
      </c>
      <c r="I595" s="5">
        <f t="shared" si="369"/>
        <v>12980142.419315785</v>
      </c>
      <c r="J595" s="5">
        <f t="shared" si="370"/>
        <v>13331306.604193952</v>
      </c>
      <c r="K595" s="8">
        <f t="shared" ref="K595:L595" si="386">I595/I343-1</f>
        <v>8.8794017740596143E-2</v>
      </c>
      <c r="L595" s="8">
        <f t="shared" si="386"/>
        <v>0.16451870019189041</v>
      </c>
      <c r="M595" s="8">
        <f t="shared" si="362"/>
        <v>7.5724682451294267E-2</v>
      </c>
    </row>
    <row r="596" spans="1:13" x14ac:dyDescent="0.3">
      <c r="A596" s="1">
        <v>45075</v>
      </c>
      <c r="B596" s="5">
        <v>17859992.563872363</v>
      </c>
      <c r="C596" s="5">
        <v>18322283.317195781</v>
      </c>
      <c r="D596" s="5">
        <v>0</v>
      </c>
      <c r="E596" s="5">
        <f t="shared" si="366"/>
        <v>0</v>
      </c>
      <c r="F596" s="5">
        <f t="shared" si="366"/>
        <v>0</v>
      </c>
      <c r="G596" s="9">
        <f t="shared" si="368"/>
        <v>5.7718005827827046E-3</v>
      </c>
      <c r="H596" s="9">
        <f t="shared" si="368"/>
        <v>1.1730946328245562E-3</v>
      </c>
      <c r="I596" s="5">
        <f t="shared" si="369"/>
        <v>13055061.212896194</v>
      </c>
      <c r="J596" s="5">
        <f t="shared" si="370"/>
        <v>13346945.48841987</v>
      </c>
      <c r="K596" s="8">
        <f t="shared" ref="K596:L596" si="387">I596/I344-1</f>
        <v>0.10467268113835848</v>
      </c>
      <c r="L596" s="8">
        <f t="shared" si="387"/>
        <v>0.14864437237366679</v>
      </c>
      <c r="M596" s="8">
        <f t="shared" si="362"/>
        <v>4.3971691235308308E-2</v>
      </c>
    </row>
    <row r="597" spans="1:13" x14ac:dyDescent="0.3">
      <c r="A597" s="1">
        <v>45076</v>
      </c>
      <c r="B597" s="5">
        <v>17868819.647069219</v>
      </c>
      <c r="C597" s="5">
        <v>18322283.317195781</v>
      </c>
      <c r="D597" s="5">
        <v>0</v>
      </c>
      <c r="E597" s="5">
        <f t="shared" si="366"/>
        <v>0</v>
      </c>
      <c r="F597" s="5">
        <f t="shared" si="366"/>
        <v>0</v>
      </c>
      <c r="G597" s="9">
        <f t="shared" si="368"/>
        <v>4.942377867900305E-4</v>
      </c>
      <c r="H597" s="9">
        <f t="shared" si="368"/>
        <v>0</v>
      </c>
      <c r="I597" s="5">
        <f t="shared" si="369"/>
        <v>13061513.517456464</v>
      </c>
      <c r="J597" s="5">
        <f t="shared" si="370"/>
        <v>13346945.48841987</v>
      </c>
      <c r="K597" s="8">
        <f t="shared" ref="K597:L597" si="388">I597/I345-1</f>
        <v>0.11459646455548578</v>
      </c>
      <c r="L597" s="8">
        <f t="shared" si="388"/>
        <v>0.15818150710717238</v>
      </c>
      <c r="M597" s="8">
        <f t="shared" si="362"/>
        <v>4.3585042551686604E-2</v>
      </c>
    </row>
    <row r="598" spans="1:13" x14ac:dyDescent="0.3">
      <c r="A598" s="1">
        <v>45077</v>
      </c>
      <c r="B598" s="5">
        <v>17912815.958624899</v>
      </c>
      <c r="C598" s="5">
        <v>18216365.443409555</v>
      </c>
      <c r="D598" s="5">
        <v>0</v>
      </c>
      <c r="E598" s="5">
        <f t="shared" si="366"/>
        <v>0</v>
      </c>
      <c r="F598" s="5">
        <f t="shared" si="366"/>
        <v>0</v>
      </c>
      <c r="G598" s="9">
        <f t="shared" si="368"/>
        <v>2.4621834247957608E-3</v>
      </c>
      <c r="H598" s="9">
        <f t="shared" si="368"/>
        <v>-5.7808228348276147E-3</v>
      </c>
      <c r="I598" s="5">
        <f t="shared" si="369"/>
        <v>13093673.359541891</v>
      </c>
      <c r="J598" s="5">
        <f t="shared" si="370"/>
        <v>13269789.161165213</v>
      </c>
      <c r="K598" s="8">
        <f t="shared" ref="K598:L598" si="389">I598/I346-1</f>
        <v>0.1366536835362937</v>
      </c>
      <c r="L598" s="8">
        <f t="shared" si="389"/>
        <v>0.13951132709053815</v>
      </c>
      <c r="M598" s="8">
        <f t="shared" si="362"/>
        <v>2.8576435542444489E-3</v>
      </c>
    </row>
    <row r="599" spans="1:13" x14ac:dyDescent="0.3">
      <c r="A599" s="1">
        <v>45078</v>
      </c>
      <c r="B599" s="5">
        <v>17958847.428451039</v>
      </c>
      <c r="C599" s="5">
        <v>18339131.995013416</v>
      </c>
      <c r="D599" s="5">
        <v>0</v>
      </c>
      <c r="E599" s="5">
        <f t="shared" si="366"/>
        <v>0</v>
      </c>
      <c r="F599" s="5">
        <f t="shared" si="366"/>
        <v>0</v>
      </c>
      <c r="G599" s="9">
        <f t="shared" si="368"/>
        <v>2.5697506150046401E-3</v>
      </c>
      <c r="H599" s="9">
        <f t="shared" si="368"/>
        <v>6.7393548941057091E-3</v>
      </c>
      <c r="I599" s="5">
        <f t="shared" si="369"/>
        <v>13127320.834710244</v>
      </c>
      <c r="J599" s="5">
        <f t="shared" si="370"/>
        <v>13359218.979692264</v>
      </c>
      <c r="K599" s="8">
        <f t="shared" ref="K599:L599" si="390">I599/I347-1</f>
        <v>0.12401828862404418</v>
      </c>
      <c r="L599" s="8">
        <f t="shared" si="390"/>
        <v>0.12362669294318218</v>
      </c>
      <c r="M599" s="8">
        <f t="shared" si="362"/>
        <v>-3.9159568086200025E-4</v>
      </c>
    </row>
    <row r="600" spans="1:13" x14ac:dyDescent="0.3">
      <c r="A600" s="1">
        <v>45079</v>
      </c>
      <c r="B600" s="5">
        <v>18036422.339464705</v>
      </c>
      <c r="C600" s="5">
        <v>18593205.4078467</v>
      </c>
      <c r="D600" s="5">
        <v>0</v>
      </c>
      <c r="E600" s="5">
        <f t="shared" si="366"/>
        <v>0</v>
      </c>
      <c r="F600" s="5">
        <f t="shared" si="366"/>
        <v>0</v>
      </c>
      <c r="G600" s="9">
        <f t="shared" si="368"/>
        <v>4.3195929651236309E-3</v>
      </c>
      <c r="H600" s="9">
        <f t="shared" si="368"/>
        <v>1.3854167847331622E-2</v>
      </c>
      <c r="I600" s="5">
        <f t="shared" si="369"/>
        <v>13184025.517438779</v>
      </c>
      <c r="J600" s="5">
        <f t="shared" si="370"/>
        <v>13544299.841746178</v>
      </c>
      <c r="K600" s="8">
        <f t="shared" ref="K600:L600" si="391">I600/I348-1</f>
        <v>0.12129163831826051</v>
      </c>
      <c r="L600" s="8">
        <f t="shared" si="391"/>
        <v>0.11264229563415862</v>
      </c>
      <c r="M600" s="8">
        <f t="shared" si="362"/>
        <v>-8.6493426841018906E-3</v>
      </c>
    </row>
    <row r="601" spans="1:13" x14ac:dyDescent="0.3">
      <c r="A601" s="1">
        <v>45082</v>
      </c>
      <c r="B601" s="5">
        <v>18066229.999304168</v>
      </c>
      <c r="C601" s="5">
        <v>18628386.304133866</v>
      </c>
      <c r="D601" s="5">
        <v>0</v>
      </c>
      <c r="E601" s="5">
        <f t="shared" si="366"/>
        <v>0</v>
      </c>
      <c r="F601" s="5">
        <f t="shared" si="366"/>
        <v>0</v>
      </c>
      <c r="G601" s="9">
        <f t="shared" si="368"/>
        <v>1.6526370517639943E-3</v>
      </c>
      <c r="H601" s="9">
        <f t="shared" si="368"/>
        <v>1.8921372359130828E-3</v>
      </c>
      <c r="I601" s="5">
        <f t="shared" si="369"/>
        <v>13205813.9265003</v>
      </c>
      <c r="J601" s="5">
        <f t="shared" si="370"/>
        <v>13569927.515811117</v>
      </c>
      <c r="K601" s="8">
        <f t="shared" ref="K601:L601" si="392">I601/I349-1</f>
        <v>9.7010036078174045E-2</v>
      </c>
      <c r="L601" s="8">
        <f t="shared" si="392"/>
        <v>0.12154155031556013</v>
      </c>
      <c r="M601" s="8">
        <f t="shared" si="362"/>
        <v>2.4531514237386087E-2</v>
      </c>
    </row>
    <row r="602" spans="1:13" x14ac:dyDescent="0.3">
      <c r="A602" s="1">
        <v>45083</v>
      </c>
      <c r="B602" s="5">
        <v>18149626.128253412</v>
      </c>
      <c r="C602" s="5">
        <v>18659175.300925739</v>
      </c>
      <c r="D602" s="5">
        <v>0</v>
      </c>
      <c r="E602" s="5">
        <f t="shared" si="366"/>
        <v>0</v>
      </c>
      <c r="F602" s="5">
        <f t="shared" si="366"/>
        <v>0</v>
      </c>
      <c r="G602" s="9">
        <f t="shared" si="368"/>
        <v>4.6161334684908795E-3</v>
      </c>
      <c r="H602" s="9">
        <f t="shared" si="368"/>
        <v>1.652799995082832E-3</v>
      </c>
      <c r="I602" s="5">
        <f t="shared" si="369"/>
        <v>13266773.726145081</v>
      </c>
      <c r="J602" s="5">
        <f t="shared" si="370"/>
        <v>13592355.891942525</v>
      </c>
      <c r="K602" s="8">
        <f t="shared" ref="K602:L602" si="393">I602/I350-1</f>
        <v>0.1010566165668445</v>
      </c>
      <c r="L602" s="8">
        <f t="shared" si="393"/>
        <v>0.1233952341844069</v>
      </c>
      <c r="M602" s="8">
        <f t="shared" si="362"/>
        <v>2.2338617617562395E-2</v>
      </c>
    </row>
    <row r="603" spans="1:13" x14ac:dyDescent="0.3">
      <c r="A603" s="1">
        <v>45084</v>
      </c>
      <c r="B603" s="5">
        <v>18325175.917134453</v>
      </c>
      <c r="C603" s="5">
        <v>18563809.288159091</v>
      </c>
      <c r="D603" s="5">
        <v>0</v>
      </c>
      <c r="E603" s="5">
        <f t="shared" si="366"/>
        <v>0</v>
      </c>
      <c r="F603" s="5">
        <f t="shared" si="366"/>
        <v>0</v>
      </c>
      <c r="G603" s="9">
        <f t="shared" si="368"/>
        <v>9.6723639176106158E-3</v>
      </c>
      <c r="H603" s="9">
        <f t="shared" si="368"/>
        <v>-5.1109446815645887E-3</v>
      </c>
      <c r="I603" s="5">
        <f t="shared" si="369"/>
        <v>13395094.789636951</v>
      </c>
      <c r="J603" s="5">
        <f t="shared" si="370"/>
        <v>13522886.112886669</v>
      </c>
      <c r="K603" s="8">
        <f t="shared" ref="K603:L603" si="394">I603/I351-1</f>
        <v>0.1222458198389873</v>
      </c>
      <c r="L603" s="8">
        <f t="shared" si="394"/>
        <v>0.12596595288024326</v>
      </c>
      <c r="M603" s="8">
        <f t="shared" si="362"/>
        <v>3.7201330412559575E-3</v>
      </c>
    </row>
    <row r="604" spans="1:13" x14ac:dyDescent="0.3">
      <c r="A604" s="1">
        <v>45085</v>
      </c>
      <c r="B604" s="5">
        <v>18203689.366825987</v>
      </c>
      <c r="C604" s="5">
        <v>18696680.034159847</v>
      </c>
      <c r="D604" s="5">
        <v>0</v>
      </c>
      <c r="E604" s="5">
        <f t="shared" si="366"/>
        <v>0</v>
      </c>
      <c r="F604" s="5">
        <f t="shared" si="366"/>
        <v>0</v>
      </c>
      <c r="G604" s="9">
        <f t="shared" si="368"/>
        <v>-6.6294888986507816E-3</v>
      </c>
      <c r="H604" s="9">
        <f t="shared" si="368"/>
        <v>7.1575151380975921E-3</v>
      </c>
      <c r="I604" s="5">
        <f t="shared" si="369"/>
        <v>13306292.157432677</v>
      </c>
      <c r="J604" s="5">
        <f t="shared" si="370"/>
        <v>13619676.374950426</v>
      </c>
      <c r="K604" s="8">
        <f t="shared" ref="K604:L604" si="395">I604/I352-1</f>
        <v>0.10898188148816867</v>
      </c>
      <c r="L604" s="8">
        <f t="shared" si="395"/>
        <v>0.11590083872471246</v>
      </c>
      <c r="M604" s="8">
        <f t="shared" si="362"/>
        <v>6.9189572365437879E-3</v>
      </c>
    </row>
    <row r="605" spans="1:13" x14ac:dyDescent="0.3">
      <c r="A605" s="1">
        <v>45086</v>
      </c>
      <c r="B605" s="5">
        <v>18186286.193205606</v>
      </c>
      <c r="C605" s="5">
        <v>18693734.574515115</v>
      </c>
      <c r="D605" s="5">
        <v>0</v>
      </c>
      <c r="E605" s="5">
        <f t="shared" si="366"/>
        <v>0</v>
      </c>
      <c r="F605" s="5">
        <f t="shared" si="366"/>
        <v>0</v>
      </c>
      <c r="G605" s="9">
        <f t="shared" si="368"/>
        <v>-9.5602453270249299E-4</v>
      </c>
      <c r="H605" s="9">
        <f t="shared" si="368"/>
        <v>-1.5753918018335256E-4</v>
      </c>
      <c r="I605" s="5">
        <f t="shared" si="369"/>
        <v>13293571.015690865</v>
      </c>
      <c r="J605" s="5">
        <f t="shared" si="370"/>
        <v>13617530.742299953</v>
      </c>
      <c r="K605" s="8">
        <f t="shared" ref="K605:L605" si="396">I605/I353-1</f>
        <v>0.12404824950053994</v>
      </c>
      <c r="L605" s="8">
        <f t="shared" si="396"/>
        <v>0.1315540859355846</v>
      </c>
      <c r="M605" s="8">
        <f t="shared" si="362"/>
        <v>7.5058364350446549E-3</v>
      </c>
    </row>
    <row r="606" spans="1:13" x14ac:dyDescent="0.3">
      <c r="A606" s="1">
        <v>45089</v>
      </c>
      <c r="B606" s="5">
        <v>18272784.955714274</v>
      </c>
      <c r="C606" s="5">
        <v>18861150.834867664</v>
      </c>
      <c r="D606" s="5">
        <v>0</v>
      </c>
      <c r="E606" s="5">
        <f t="shared" si="366"/>
        <v>0</v>
      </c>
      <c r="F606" s="5">
        <f t="shared" si="366"/>
        <v>0</v>
      </c>
      <c r="G606" s="9">
        <f t="shared" si="368"/>
        <v>4.7562631308961656E-3</v>
      </c>
      <c r="H606" s="9">
        <f t="shared" si="368"/>
        <v>8.9557418120607135E-3</v>
      </c>
      <c r="I606" s="5">
        <f t="shared" si="369"/>
        <v>13356798.737390745</v>
      </c>
      <c r="J606" s="5">
        <f t="shared" si="370"/>
        <v>13739485.831745792</v>
      </c>
      <c r="K606" s="8">
        <f t="shared" ref="K606:L606" si="397">I606/I354-1</f>
        <v>0.13269101066938749</v>
      </c>
      <c r="L606" s="8">
        <f t="shared" si="397"/>
        <v>0.13459832428602625</v>
      </c>
      <c r="M606" s="8">
        <f t="shared" si="362"/>
        <v>1.9073136166387616E-3</v>
      </c>
    </row>
    <row r="607" spans="1:13" x14ac:dyDescent="0.3">
      <c r="A607" s="1">
        <v>45090</v>
      </c>
      <c r="B607" s="5">
        <v>18446741.091685161</v>
      </c>
      <c r="C607" s="5">
        <v>18981133.843569025</v>
      </c>
      <c r="D607" s="5">
        <v>0</v>
      </c>
      <c r="E607" s="5">
        <f t="shared" si="366"/>
        <v>0</v>
      </c>
      <c r="F607" s="5">
        <f t="shared" si="366"/>
        <v>0</v>
      </c>
      <c r="G607" s="9">
        <f t="shared" si="368"/>
        <v>9.5199574882802729E-3</v>
      </c>
      <c r="H607" s="9">
        <f t="shared" si="368"/>
        <v>6.3613832343440979E-3</v>
      </c>
      <c r="I607" s="5">
        <f t="shared" si="369"/>
        <v>13483954.893550221</v>
      </c>
      <c r="J607" s="5">
        <f t="shared" si="370"/>
        <v>13826887.966564368</v>
      </c>
      <c r="K607" s="8">
        <f t="shared" ref="K607:L607" si="398">I607/I355-1</f>
        <v>0.15315081316673829</v>
      </c>
      <c r="L607" s="8">
        <f t="shared" si="398"/>
        <v>0.13348911523368212</v>
      </c>
      <c r="M607" s="8">
        <f t="shared" si="362"/>
        <v>-1.9661697933056166E-2</v>
      </c>
    </row>
    <row r="608" spans="1:13" x14ac:dyDescent="0.3">
      <c r="A608" s="1">
        <v>45091</v>
      </c>
      <c r="B608" s="5">
        <v>18489615.495784167</v>
      </c>
      <c r="C608" s="5">
        <v>18936569.147252526</v>
      </c>
      <c r="D608" s="5">
        <v>0</v>
      </c>
      <c r="E608" s="5">
        <f t="shared" si="366"/>
        <v>0</v>
      </c>
      <c r="F608" s="5">
        <f t="shared" si="366"/>
        <v>0</v>
      </c>
      <c r="G608" s="9">
        <f t="shared" si="368"/>
        <v>2.3242264791329958E-3</v>
      </c>
      <c r="H608" s="9">
        <f t="shared" si="368"/>
        <v>-2.3478416349504982E-3</v>
      </c>
      <c r="I608" s="5">
        <f t="shared" si="369"/>
        <v>13515294.658557246</v>
      </c>
      <c r="J608" s="5">
        <f t="shared" si="370"/>
        <v>13794424.623314673</v>
      </c>
      <c r="K608" s="8">
        <f t="shared" ref="K608:L608" si="399">I608/I356-1</f>
        <v>0.15945252154534528</v>
      </c>
      <c r="L608" s="8">
        <f t="shared" si="399"/>
        <v>0.14327240885674453</v>
      </c>
      <c r="M608" s="8">
        <f t="shared" si="362"/>
        <v>-1.6180112688600756E-2</v>
      </c>
    </row>
    <row r="609" spans="1:13" x14ac:dyDescent="0.3">
      <c r="A609" s="1">
        <v>45092</v>
      </c>
      <c r="B609" s="5">
        <v>18495838.90695893</v>
      </c>
      <c r="C609" s="5">
        <v>19189224.867213767</v>
      </c>
      <c r="D609" s="5">
        <v>0</v>
      </c>
      <c r="E609" s="5">
        <f t="shared" si="366"/>
        <v>0</v>
      </c>
      <c r="F609" s="5">
        <f t="shared" si="366"/>
        <v>0</v>
      </c>
      <c r="G609" s="9">
        <f t="shared" si="368"/>
        <v>3.3658954001403174E-4</v>
      </c>
      <c r="H609" s="9">
        <f t="shared" si="368"/>
        <v>1.334221199186425E-2</v>
      </c>
      <c r="I609" s="5">
        <f t="shared" si="369"/>
        <v>13519843.765369523</v>
      </c>
      <c r="J609" s="5">
        <f t="shared" si="370"/>
        <v>13978472.76094473</v>
      </c>
      <c r="K609" s="8">
        <f t="shared" ref="K609:L609" si="400">I609/I357-1</f>
        <v>0.15053818053219947</v>
      </c>
      <c r="L609" s="8">
        <f t="shared" si="400"/>
        <v>0.18375527837699202</v>
      </c>
      <c r="M609" s="8">
        <f t="shared" si="362"/>
        <v>3.3217097844792542E-2</v>
      </c>
    </row>
    <row r="610" spans="1:13" x14ac:dyDescent="0.3">
      <c r="A610" s="1">
        <v>45093</v>
      </c>
      <c r="B610" s="5">
        <v>18684615.712593321</v>
      </c>
      <c r="C610" s="5">
        <v>19051650.918967478</v>
      </c>
      <c r="D610" s="5">
        <v>0</v>
      </c>
      <c r="E610" s="5">
        <f t="shared" si="366"/>
        <v>0</v>
      </c>
      <c r="F610" s="5">
        <f t="shared" si="366"/>
        <v>0</v>
      </c>
      <c r="G610" s="9">
        <f t="shared" si="368"/>
        <v>1.0206447330343371E-2</v>
      </c>
      <c r="H610" s="9">
        <f t="shared" si="368"/>
        <v>-7.1693332689714007E-3</v>
      </c>
      <c r="I610" s="5">
        <f t="shared" si="369"/>
        <v>13657833.338675238</v>
      </c>
      <c r="J610" s="5">
        <f t="shared" si="370"/>
        <v>13878256.431130279</v>
      </c>
      <c r="K610" s="8">
        <f t="shared" ref="K610:L610" si="401">I610/I358-1</f>
        <v>0.17295427765544957</v>
      </c>
      <c r="L610" s="8">
        <f t="shared" si="401"/>
        <v>0.20674835537918668</v>
      </c>
      <c r="M610" s="8">
        <f t="shared" si="362"/>
        <v>3.3794077723737104E-2</v>
      </c>
    </row>
    <row r="611" spans="1:13" x14ac:dyDescent="0.3">
      <c r="A611" s="1">
        <v>45096</v>
      </c>
      <c r="B611" s="5">
        <v>18653906.897977341</v>
      </c>
      <c r="C611" s="5">
        <v>19012472.227061406</v>
      </c>
      <c r="D611" s="5">
        <v>0</v>
      </c>
      <c r="E611" s="5">
        <f t="shared" si="366"/>
        <v>0</v>
      </c>
      <c r="F611" s="5">
        <f t="shared" si="366"/>
        <v>0</v>
      </c>
      <c r="G611" s="9">
        <f t="shared" si="368"/>
        <v>-1.6435347179917237E-3</v>
      </c>
      <c r="H611" s="9">
        <f t="shared" si="368"/>
        <v>-2.056446030462733E-3</v>
      </c>
      <c r="I611" s="5">
        <f t="shared" si="369"/>
        <v>13635386.215410581</v>
      </c>
      <c r="J611" s="5">
        <f t="shared" si="370"/>
        <v>13849716.545782737</v>
      </c>
      <c r="K611" s="8">
        <f t="shared" ref="K611:L611" si="402">I611/I359-1</f>
        <v>0.19693573170606338</v>
      </c>
      <c r="L611" s="8">
        <f t="shared" si="402"/>
        <v>0.25283061244251948</v>
      </c>
      <c r="M611" s="8">
        <f t="shared" si="362"/>
        <v>5.5894880736456098E-2</v>
      </c>
    </row>
    <row r="612" spans="1:13" x14ac:dyDescent="0.3">
      <c r="A612" s="1">
        <v>45097</v>
      </c>
      <c r="B612" s="5">
        <v>18722787.78220411</v>
      </c>
      <c r="C612" s="5">
        <v>19012472.227061406</v>
      </c>
      <c r="D612" s="5">
        <v>0</v>
      </c>
      <c r="E612" s="5">
        <f t="shared" si="366"/>
        <v>0</v>
      </c>
      <c r="F612" s="5">
        <f t="shared" si="366"/>
        <v>0</v>
      </c>
      <c r="G612" s="9">
        <f t="shared" si="368"/>
        <v>3.6925714598821102E-3</v>
      </c>
      <c r="H612" s="9">
        <f t="shared" si="368"/>
        <v>0</v>
      </c>
      <c r="I612" s="5">
        <f t="shared" si="369"/>
        <v>13685735.853394076</v>
      </c>
      <c r="J612" s="5">
        <f t="shared" si="370"/>
        <v>13849716.545782737</v>
      </c>
      <c r="K612" s="8">
        <f t="shared" ref="K612:L612" si="403">I612/I360-1</f>
        <v>0.19753656411795895</v>
      </c>
      <c r="L612" s="8">
        <f t="shared" si="403"/>
        <v>0.25826384251763757</v>
      </c>
      <c r="M612" s="8">
        <f t="shared" si="362"/>
        <v>6.0727278399678619E-2</v>
      </c>
    </row>
    <row r="613" spans="1:13" x14ac:dyDescent="0.3">
      <c r="A613" s="1">
        <v>45098</v>
      </c>
      <c r="B613" s="5">
        <v>18713978.843063161</v>
      </c>
      <c r="C613" s="5">
        <v>18897876.205573153</v>
      </c>
      <c r="D613" s="5">
        <v>0</v>
      </c>
      <c r="E613" s="5">
        <f t="shared" si="366"/>
        <v>0</v>
      </c>
      <c r="F613" s="5">
        <f t="shared" si="366"/>
        <v>0</v>
      </c>
      <c r="G613" s="9">
        <f t="shared" si="368"/>
        <v>-4.7049292249745633E-4</v>
      </c>
      <c r="H613" s="9">
        <f t="shared" si="368"/>
        <v>-6.0274129592228221E-3</v>
      </c>
      <c r="I613" s="5">
        <f t="shared" si="369"/>
        <v>13679296.811535886</v>
      </c>
      <c r="J613" s="5">
        <f t="shared" si="370"/>
        <v>13766238.584793124</v>
      </c>
      <c r="K613" s="8">
        <f t="shared" ref="K613:L613" si="404">I613/I361-1</f>
        <v>0.19436705725138403</v>
      </c>
      <c r="L613" s="8">
        <f t="shared" si="404"/>
        <v>0.23091867534304278</v>
      </c>
      <c r="M613" s="8">
        <f t="shared" si="362"/>
        <v>3.6551618091658744E-2</v>
      </c>
    </row>
    <row r="614" spans="1:13" x14ac:dyDescent="0.3">
      <c r="A614" s="1">
        <v>45099</v>
      </c>
      <c r="B614" s="5">
        <v>18492987.266172826</v>
      </c>
      <c r="C614" s="5">
        <v>18944241.642107893</v>
      </c>
      <c r="D614" s="5">
        <v>0</v>
      </c>
      <c r="E614" s="5">
        <f t="shared" si="366"/>
        <v>0</v>
      </c>
      <c r="F614" s="5">
        <f t="shared" si="366"/>
        <v>0</v>
      </c>
      <c r="G614" s="9">
        <f t="shared" si="368"/>
        <v>-1.180890385436395E-2</v>
      </c>
      <c r="H614" s="9">
        <f t="shared" si="368"/>
        <v>2.4534733972416678E-3</v>
      </c>
      <c r="I614" s="5">
        <f t="shared" si="369"/>
        <v>13517759.31069315</v>
      </c>
      <c r="J614" s="5">
        <f t="shared" si="370"/>
        <v>13800013.684940996</v>
      </c>
      <c r="K614" s="8">
        <f t="shared" ref="K614:L614" si="405">I614/I362-1</f>
        <v>0.20521039690791998</v>
      </c>
      <c r="L614" s="8">
        <f t="shared" si="405"/>
        <v>0.2772312838144888</v>
      </c>
      <c r="M614" s="8">
        <f t="shared" si="362"/>
        <v>7.2020886906568826E-2</v>
      </c>
    </row>
    <row r="615" spans="1:13" x14ac:dyDescent="0.3">
      <c r="A615" s="1">
        <v>45100</v>
      </c>
      <c r="B615" s="5">
        <v>18257970.334069401</v>
      </c>
      <c r="C615" s="5">
        <v>18817660.341885068</v>
      </c>
      <c r="D615" s="5">
        <v>0</v>
      </c>
      <c r="E615" s="5">
        <f t="shared" si="366"/>
        <v>0</v>
      </c>
      <c r="F615" s="5">
        <f t="shared" si="366"/>
        <v>0</v>
      </c>
      <c r="G615" s="9">
        <f t="shared" si="368"/>
        <v>-1.270843529608201E-2</v>
      </c>
      <c r="H615" s="9">
        <f t="shared" si="368"/>
        <v>-6.6817823914085972E-3</v>
      </c>
      <c r="I615" s="5">
        <f t="shared" si="369"/>
        <v>13345969.741145195</v>
      </c>
      <c r="J615" s="5">
        <f t="shared" si="370"/>
        <v>13707804.99649976</v>
      </c>
      <c r="K615" s="8">
        <f t="shared" ref="K615:L615" si="406">I615/I363-1</f>
        <v>0.20928310708608944</v>
      </c>
      <c r="L615" s="8">
        <f t="shared" si="406"/>
        <v>0.26588217346087939</v>
      </c>
      <c r="M615" s="8">
        <f t="shared" si="362"/>
        <v>5.6599066374789953E-2</v>
      </c>
    </row>
    <row r="616" spans="1:13" x14ac:dyDescent="0.3">
      <c r="A616" s="1">
        <v>45103</v>
      </c>
      <c r="B616" s="5">
        <v>18331916.43390245</v>
      </c>
      <c r="C616" s="5">
        <v>18731330.70839886</v>
      </c>
      <c r="D616" s="5">
        <v>0</v>
      </c>
      <c r="E616" s="5">
        <f t="shared" si="366"/>
        <v>0</v>
      </c>
      <c r="F616" s="5">
        <f t="shared" si="366"/>
        <v>0</v>
      </c>
      <c r="G616" s="9">
        <f t="shared" si="368"/>
        <v>4.0500722961009927E-3</v>
      </c>
      <c r="H616" s="9">
        <f t="shared" si="368"/>
        <v>-4.5876921954027816E-3</v>
      </c>
      <c r="I616" s="5">
        <f t="shared" si="369"/>
        <v>13400021.883458409</v>
      </c>
      <c r="J616" s="5">
        <f t="shared" si="370"/>
        <v>13644917.806501215</v>
      </c>
      <c r="K616" s="8">
        <f t="shared" ref="K616:L616" si="407">I616/I364-1</f>
        <v>0.22319285598840843</v>
      </c>
      <c r="L616" s="8">
        <f t="shared" si="407"/>
        <v>0.22864179149626951</v>
      </c>
      <c r="M616" s="8">
        <f t="shared" si="362"/>
        <v>5.4489355078610746E-3</v>
      </c>
    </row>
    <row r="617" spans="1:13" x14ac:dyDescent="0.3">
      <c r="A617" s="1">
        <v>45104</v>
      </c>
      <c r="B617" s="5">
        <v>18411196.886171006</v>
      </c>
      <c r="C617" s="5">
        <v>18941280.211919542</v>
      </c>
      <c r="D617" s="5">
        <v>0</v>
      </c>
      <c r="E617" s="5">
        <f t="shared" si="366"/>
        <v>0</v>
      </c>
      <c r="F617" s="5">
        <f t="shared" si="366"/>
        <v>0</v>
      </c>
      <c r="G617" s="9">
        <f t="shared" si="368"/>
        <v>4.3247225435709691E-3</v>
      </c>
      <c r="H617" s="9">
        <f t="shared" si="368"/>
        <v>1.1208467075248585E-2</v>
      </c>
      <c r="I617" s="5">
        <f t="shared" si="369"/>
        <v>13457973.260182146</v>
      </c>
      <c r="J617" s="5">
        <f t="shared" si="370"/>
        <v>13797856.418479858</v>
      </c>
      <c r="K617" s="8">
        <f t="shared" ref="K617:L617" si="408">I617/I365-1</f>
        <v>0.1955369375345235</v>
      </c>
      <c r="L617" s="8">
        <f t="shared" si="408"/>
        <v>0.24241298256352994</v>
      </c>
      <c r="M617" s="8">
        <f t="shared" si="362"/>
        <v>4.6876045029006441E-2</v>
      </c>
    </row>
    <row r="618" spans="1:13" x14ac:dyDescent="0.3">
      <c r="A618" s="1">
        <v>45105</v>
      </c>
      <c r="B618" s="5">
        <v>18527506.332528453</v>
      </c>
      <c r="C618" s="5">
        <v>18939212.149371184</v>
      </c>
      <c r="D618" s="5">
        <v>0</v>
      </c>
      <c r="E618" s="5">
        <f t="shared" si="366"/>
        <v>0</v>
      </c>
      <c r="F618" s="5">
        <f t="shared" si="366"/>
        <v>0</v>
      </c>
      <c r="G618" s="9">
        <f t="shared" si="368"/>
        <v>6.3173213059717348E-3</v>
      </c>
      <c r="H618" s="9">
        <f t="shared" si="368"/>
        <v>-1.0918282846883454E-4</v>
      </c>
      <c r="I618" s="5">
        <f t="shared" si="369"/>
        <v>13542991.601393893</v>
      </c>
      <c r="J618" s="5">
        <f t="shared" si="370"/>
        <v>13796349.929489281</v>
      </c>
      <c r="K618" s="8">
        <f t="shared" ref="K618:L618" si="409">I618/I366-1</f>
        <v>0.22525012748852613</v>
      </c>
      <c r="L618" s="8">
        <f t="shared" si="409"/>
        <v>0.24180944227071977</v>
      </c>
      <c r="M618" s="8">
        <f t="shared" si="362"/>
        <v>1.6559314782193635E-2</v>
      </c>
    </row>
    <row r="619" spans="1:13" x14ac:dyDescent="0.3">
      <c r="A619" s="1">
        <v>45107</v>
      </c>
      <c r="B619" s="5">
        <v>18649289.235750005</v>
      </c>
      <c r="C619" s="5">
        <v>19274395.039233223</v>
      </c>
      <c r="D619" s="5">
        <v>0</v>
      </c>
      <c r="E619" s="5">
        <f t="shared" si="366"/>
        <v>0</v>
      </c>
      <c r="F619" s="5">
        <f t="shared" si="366"/>
        <v>0</v>
      </c>
      <c r="G619" s="9">
        <f t="shared" si="368"/>
        <v>6.5730865792628101E-3</v>
      </c>
      <c r="H619" s="9">
        <f t="shared" si="368"/>
        <v>1.7697826457536481E-2</v>
      </c>
      <c r="I619" s="5">
        <f t="shared" si="369"/>
        <v>13632010.857732084</v>
      </c>
      <c r="J619" s="5">
        <f t="shared" si="370"/>
        <v>14040515.336288828</v>
      </c>
      <c r="K619" s="8">
        <f t="shared" ref="K619:L619" si="410">I619/I367-1</f>
        <v>0.21880498464901232</v>
      </c>
      <c r="L619" s="8">
        <f t="shared" si="410"/>
        <v>0.25291960295463234</v>
      </c>
      <c r="M619" s="8">
        <f t="shared" si="362"/>
        <v>3.4114618305620015E-2</v>
      </c>
    </row>
    <row r="620" spans="1:13" x14ac:dyDescent="0.3">
      <c r="A620" s="1">
        <v>45110</v>
      </c>
      <c r="B620" s="5">
        <v>19223701.033017896</v>
      </c>
      <c r="C620" s="5">
        <v>19774427.717422474</v>
      </c>
      <c r="D620" s="5">
        <v>500000</v>
      </c>
      <c r="E620" s="5">
        <f t="shared" si="366"/>
        <v>-500000</v>
      </c>
      <c r="F620" s="5">
        <f t="shared" si="366"/>
        <v>-500000</v>
      </c>
      <c r="G620" s="9">
        <f t="shared" si="368"/>
        <v>3.9900607646348174E-3</v>
      </c>
      <c r="H620" s="9">
        <f t="shared" si="368"/>
        <v>1.6954197101792801E-6</v>
      </c>
      <c r="I620" s="5">
        <f t="shared" si="369"/>
        <v>13686403.409398597</v>
      </c>
      <c r="J620" s="5">
        <f t="shared" si="370"/>
        <v>14040539.140855271</v>
      </c>
      <c r="K620" s="8">
        <f t="shared" ref="K620:L620" si="411">I620/I368-1</f>
        <v>0.20778762753671387</v>
      </c>
      <c r="L620" s="8">
        <f t="shared" si="411"/>
        <v>0.21403344298565363</v>
      </c>
      <c r="M620" s="8">
        <f t="shared" si="362"/>
        <v>6.2458154489397621E-3</v>
      </c>
    </row>
    <row r="621" spans="1:13" x14ac:dyDescent="0.3">
      <c r="A621" s="1">
        <v>45111</v>
      </c>
      <c r="B621" s="5">
        <v>19150757.735055726</v>
      </c>
      <c r="C621" s="5">
        <v>19829455.058847085</v>
      </c>
      <c r="D621" s="5">
        <v>0</v>
      </c>
      <c r="E621" s="5">
        <f t="shared" si="366"/>
        <v>0</v>
      </c>
      <c r="F621" s="5">
        <f t="shared" si="366"/>
        <v>0</v>
      </c>
      <c r="G621" s="9">
        <f t="shared" si="368"/>
        <v>-3.7944461286036901E-3</v>
      </c>
      <c r="H621" s="9">
        <f t="shared" si="368"/>
        <v>2.7827526647523637E-3</v>
      </c>
      <c r="I621" s="5">
        <f t="shared" si="369"/>
        <v>13634471.088967295</v>
      </c>
      <c r="J621" s="5">
        <f t="shared" si="370"/>
        <v>14079610.488564046</v>
      </c>
      <c r="K621" s="8">
        <f t="shared" ref="K621:L621" si="412">I621/I369-1</f>
        <v>0.19452275247035833</v>
      </c>
      <c r="L621" s="8">
        <f t="shared" si="412"/>
        <v>0.21789202488636872</v>
      </c>
      <c r="M621" s="8">
        <f t="shared" si="362"/>
        <v>2.3369272416010389E-2</v>
      </c>
    </row>
    <row r="622" spans="1:13" x14ac:dyDescent="0.3">
      <c r="A622" s="1">
        <v>45112</v>
      </c>
      <c r="B622" s="5">
        <v>19303853.590274706</v>
      </c>
      <c r="C622" s="5">
        <v>19829455.058847085</v>
      </c>
      <c r="D622" s="5">
        <v>0</v>
      </c>
      <c r="E622" s="5">
        <f t="shared" si="366"/>
        <v>0</v>
      </c>
      <c r="F622" s="5">
        <f t="shared" si="366"/>
        <v>0</v>
      </c>
      <c r="G622" s="9">
        <f t="shared" si="368"/>
        <v>7.9942453106560674E-3</v>
      </c>
      <c r="H622" s="9">
        <f t="shared" si="368"/>
        <v>0</v>
      </c>
      <c r="I622" s="5">
        <f t="shared" si="369"/>
        <v>13743468.395533549</v>
      </c>
      <c r="J622" s="5">
        <f t="shared" si="370"/>
        <v>14079610.488564046</v>
      </c>
      <c r="K622" s="8">
        <f t="shared" ref="K622:L622" si="413">I622/I370-1</f>
        <v>0.20228553284817763</v>
      </c>
      <c r="L622" s="8">
        <f t="shared" si="413"/>
        <v>0.23474610647284488</v>
      </c>
      <c r="M622" s="8">
        <f t="shared" si="362"/>
        <v>3.2460573624667255E-2</v>
      </c>
    </row>
    <row r="623" spans="1:13" x14ac:dyDescent="0.3">
      <c r="A623" s="1">
        <v>45113</v>
      </c>
      <c r="B623" s="5">
        <v>19419422.177149907</v>
      </c>
      <c r="C623" s="5">
        <v>19709709.879124846</v>
      </c>
      <c r="D623" s="5">
        <v>0</v>
      </c>
      <c r="E623" s="5">
        <f t="shared" si="366"/>
        <v>0</v>
      </c>
      <c r="F623" s="5">
        <f t="shared" si="366"/>
        <v>0</v>
      </c>
      <c r="G623" s="9">
        <f t="shared" si="368"/>
        <v>5.9868143080727965E-3</v>
      </c>
      <c r="H623" s="9">
        <f t="shared" si="368"/>
        <v>-6.0387529242167393E-3</v>
      </c>
      <c r="I623" s="5">
        <f t="shared" si="369"/>
        <v>13825747.988766475</v>
      </c>
      <c r="J623" s="5">
        <f t="shared" si="370"/>
        <v>13994587.199554397</v>
      </c>
      <c r="K623" s="8">
        <f t="shared" ref="K623:L623" si="414">I623/I371-1</f>
        <v>0.21799172118015919</v>
      </c>
      <c r="L623" s="8">
        <f t="shared" si="414"/>
        <v>0.2289602408087994</v>
      </c>
      <c r="M623" s="8">
        <f t="shared" si="362"/>
        <v>1.0968519628640205E-2</v>
      </c>
    </row>
    <row r="624" spans="1:13" x14ac:dyDescent="0.3">
      <c r="A624" s="1">
        <v>45114</v>
      </c>
      <c r="B624" s="5">
        <v>19261743.691991698</v>
      </c>
      <c r="C624" s="5">
        <v>19715987.79251929</v>
      </c>
      <c r="D624" s="5">
        <v>0</v>
      </c>
      <c r="E624" s="5">
        <f t="shared" si="366"/>
        <v>0</v>
      </c>
      <c r="F624" s="5">
        <f t="shared" si="366"/>
        <v>0</v>
      </c>
      <c r="G624" s="9">
        <f t="shared" si="368"/>
        <v>-8.1196280568915924E-3</v>
      </c>
      <c r="H624" s="9">
        <f t="shared" si="368"/>
        <v>3.1851881295796858E-4</v>
      </c>
      <c r="I624" s="5">
        <f t="shared" si="369"/>
        <v>13713488.057489375</v>
      </c>
      <c r="J624" s="5">
        <f t="shared" si="370"/>
        <v>13999044.738857036</v>
      </c>
      <c r="K624" s="8">
        <f t="shared" ref="K624:L624" si="415">I624/I372-1</f>
        <v>0.21357647373647026</v>
      </c>
      <c r="L624" s="8">
        <f t="shared" si="415"/>
        <v>0.23828201165713025</v>
      </c>
      <c r="M624" s="8">
        <f t="shared" si="362"/>
        <v>2.4705537920659992E-2</v>
      </c>
    </row>
    <row r="625" spans="1:13" x14ac:dyDescent="0.3">
      <c r="A625" s="1">
        <v>45117</v>
      </c>
      <c r="B625" s="5">
        <v>19161258.042951703</v>
      </c>
      <c r="C625" s="5">
        <v>19722934.207271777</v>
      </c>
      <c r="D625" s="5">
        <v>0</v>
      </c>
      <c r="E625" s="5">
        <f t="shared" si="366"/>
        <v>0</v>
      </c>
      <c r="F625" s="5">
        <f t="shared" si="366"/>
        <v>0</v>
      </c>
      <c r="G625" s="9">
        <f t="shared" si="368"/>
        <v>-5.2168511141477136E-3</v>
      </c>
      <c r="H625" s="9">
        <f t="shared" si="368"/>
        <v>3.5232395280360151E-4</v>
      </c>
      <c r="I625" s="5">
        <f t="shared" si="369"/>
        <v>13641946.83203781</v>
      </c>
      <c r="J625" s="5">
        <f t="shared" si="370"/>
        <v>14003976.937634906</v>
      </c>
      <c r="K625" s="8">
        <f t="shared" ref="K625:L625" si="416">I625/I373-1</f>
        <v>0.19429627582662246</v>
      </c>
      <c r="L625" s="8">
        <f t="shared" si="416"/>
        <v>0.22778652401198229</v>
      </c>
      <c r="M625" s="8">
        <f t="shared" si="362"/>
        <v>3.3490248185359839E-2</v>
      </c>
    </row>
    <row r="626" spans="1:13" x14ac:dyDescent="0.3">
      <c r="A626" s="1">
        <v>45118</v>
      </c>
      <c r="B626" s="5">
        <v>19306132.486192994</v>
      </c>
      <c r="C626" s="5">
        <v>19812960.56926807</v>
      </c>
      <c r="D626" s="5">
        <v>0</v>
      </c>
      <c r="E626" s="5">
        <f t="shared" si="366"/>
        <v>0</v>
      </c>
      <c r="F626" s="5">
        <f t="shared" si="366"/>
        <v>0</v>
      </c>
      <c r="G626" s="9">
        <f t="shared" si="368"/>
        <v>7.5608001790143931E-3</v>
      </c>
      <c r="H626" s="9">
        <f t="shared" si="368"/>
        <v>4.5645521629891217E-3</v>
      </c>
      <c r="I626" s="5">
        <f t="shared" si="369"/>
        <v>13745090.866087586</v>
      </c>
      <c r="J626" s="5">
        <f t="shared" si="370"/>
        <v>14067898.820856037</v>
      </c>
      <c r="K626" s="8">
        <f t="shared" ref="K626:L626" si="417">I626/I374-1</f>
        <v>0.191293382743287</v>
      </c>
      <c r="L626" s="8">
        <f t="shared" si="417"/>
        <v>0.2253151938688811</v>
      </c>
      <c r="M626" s="8">
        <f t="shared" si="362"/>
        <v>3.4021811125594104E-2</v>
      </c>
    </row>
    <row r="627" spans="1:13" x14ac:dyDescent="0.3">
      <c r="A627" s="1">
        <v>45119</v>
      </c>
      <c r="B627" s="5">
        <v>19355200.157981288</v>
      </c>
      <c r="C627" s="5">
        <v>19873055.362729155</v>
      </c>
      <c r="D627" s="5">
        <v>0</v>
      </c>
      <c r="E627" s="5">
        <f t="shared" si="366"/>
        <v>0</v>
      </c>
      <c r="F627" s="5">
        <f t="shared" si="366"/>
        <v>0</v>
      </c>
      <c r="G627" s="9">
        <f t="shared" si="368"/>
        <v>2.541558845272851E-3</v>
      </c>
      <c r="H627" s="9">
        <f t="shared" si="368"/>
        <v>3.033105186425189E-3</v>
      </c>
      <c r="I627" s="5">
        <f t="shared" si="369"/>
        <v>13780024.82335737</v>
      </c>
      <c r="J627" s="5">
        <f t="shared" si="370"/>
        <v>14110568.23773168</v>
      </c>
      <c r="K627" s="8">
        <f t="shared" ref="K627:L627" si="418">I627/I375-1</f>
        <v>0.19309528211358451</v>
      </c>
      <c r="L627" s="8">
        <f t="shared" si="418"/>
        <v>0.22903170373841064</v>
      </c>
      <c r="M627" s="8">
        <f t="shared" si="362"/>
        <v>3.5936421624826131E-2</v>
      </c>
    </row>
    <row r="628" spans="1:13" x14ac:dyDescent="0.3">
      <c r="A628" s="1">
        <v>45120</v>
      </c>
      <c r="B628" s="5">
        <v>19230438.368362155</v>
      </c>
      <c r="C628" s="5">
        <v>20045923.965792555</v>
      </c>
      <c r="D628" s="5">
        <v>0</v>
      </c>
      <c r="E628" s="5">
        <f t="shared" si="366"/>
        <v>0</v>
      </c>
      <c r="F628" s="5">
        <f t="shared" si="366"/>
        <v>0</v>
      </c>
      <c r="G628" s="9">
        <f t="shared" si="368"/>
        <v>-6.4459054208068078E-3</v>
      </c>
      <c r="H628" s="9">
        <f t="shared" si="368"/>
        <v>8.6986424537218721E-3</v>
      </c>
      <c r="I628" s="5">
        <f t="shared" si="369"/>
        <v>13691200.086649638</v>
      </c>
      <c r="J628" s="5">
        <f t="shared" si="370"/>
        <v>14233311.025650553</v>
      </c>
      <c r="K628" s="8">
        <f t="shared" ref="K628:L628" si="419">I628/I376-1</f>
        <v>0.1656674632440811</v>
      </c>
      <c r="L628" s="8">
        <f t="shared" si="419"/>
        <v>0.23919468320101456</v>
      </c>
      <c r="M628" s="8">
        <f t="shared" si="362"/>
        <v>7.3527219956933454E-2</v>
      </c>
    </row>
    <row r="629" spans="1:13" x14ac:dyDescent="0.3">
      <c r="A629" s="1">
        <v>45121</v>
      </c>
      <c r="B629" s="5">
        <v>19376952.126378454</v>
      </c>
      <c r="C629" s="5">
        <v>20055342.474367939</v>
      </c>
      <c r="D629" s="5">
        <v>0</v>
      </c>
      <c r="E629" s="5">
        <f t="shared" si="366"/>
        <v>0</v>
      </c>
      <c r="F629" s="5">
        <f t="shared" si="366"/>
        <v>0</v>
      </c>
      <c r="G629" s="9">
        <f t="shared" si="368"/>
        <v>7.6188464979218828E-3</v>
      </c>
      <c r="H629" s="9">
        <f t="shared" si="368"/>
        <v>4.69846567883625E-4</v>
      </c>
      <c r="I629" s="5">
        <f t="shared" si="369"/>
        <v>13795511.238482157</v>
      </c>
      <c r="J629" s="5">
        <f t="shared" si="370"/>
        <v>14239998.497985575</v>
      </c>
      <c r="K629" s="8">
        <f t="shared" ref="K629:L629" si="420">I629/I377-1</f>
        <v>0.16451910304442974</v>
      </c>
      <c r="L629" s="8">
        <f t="shared" si="420"/>
        <v>0.21981334346251669</v>
      </c>
      <c r="M629" s="8">
        <f t="shared" si="362"/>
        <v>5.5294240418086948E-2</v>
      </c>
    </row>
    <row r="630" spans="1:13" x14ac:dyDescent="0.3">
      <c r="A630" s="1">
        <v>45124</v>
      </c>
      <c r="B630" s="5">
        <v>19432617.419183586</v>
      </c>
      <c r="C630" s="5">
        <v>20100819.724370673</v>
      </c>
      <c r="D630" s="5">
        <v>0</v>
      </c>
      <c r="E630" s="5">
        <f t="shared" si="366"/>
        <v>0</v>
      </c>
      <c r="F630" s="5">
        <f t="shared" si="366"/>
        <v>0</v>
      </c>
      <c r="G630" s="9">
        <f t="shared" si="368"/>
        <v>2.8727579261216274E-3</v>
      </c>
      <c r="H630" s="9">
        <f t="shared" si="368"/>
        <v>2.2675878041402697E-3</v>
      </c>
      <c r="I630" s="5">
        <f t="shared" si="369"/>
        <v>13835142.402737407</v>
      </c>
      <c r="J630" s="5">
        <f t="shared" si="370"/>
        <v>14272288.944910584</v>
      </c>
      <c r="K630" s="8">
        <f t="shared" ref="K630:L630" si="421">I630/I378-1</f>
        <v>0.16446018481498692</v>
      </c>
      <c r="L630" s="8">
        <f t="shared" si="421"/>
        <v>0.22149105970528971</v>
      </c>
      <c r="M630" s="8">
        <f t="shared" si="362"/>
        <v>5.7030874890302785E-2</v>
      </c>
    </row>
    <row r="631" spans="1:13" x14ac:dyDescent="0.3">
      <c r="A631" s="1">
        <v>45125</v>
      </c>
      <c r="B631" s="5">
        <v>19349608.48012184</v>
      </c>
      <c r="C631" s="5">
        <v>20243847.253615126</v>
      </c>
      <c r="D631" s="5">
        <v>0</v>
      </c>
      <c r="E631" s="5">
        <f t="shared" si="366"/>
        <v>0</v>
      </c>
      <c r="F631" s="5">
        <f t="shared" si="366"/>
        <v>0</v>
      </c>
      <c r="G631" s="9">
        <f t="shared" si="368"/>
        <v>-4.2716293575461028E-3</v>
      </c>
      <c r="H631" s="9">
        <f t="shared" si="368"/>
        <v>7.1155072880457748E-3</v>
      </c>
      <c r="I631" s="5">
        <f t="shared" si="369"/>
        <v>13776043.802284043</v>
      </c>
      <c r="J631" s="5">
        <f t="shared" si="370"/>
        <v>14373843.52091519</v>
      </c>
      <c r="K631" s="8">
        <f t="shared" ref="K631:L631" si="422">I631/I379-1</f>
        <v>0.14149040960603587</v>
      </c>
      <c r="L631" s="8">
        <f t="shared" si="422"/>
        <v>0.24121881739338136</v>
      </c>
      <c r="M631" s="8">
        <f t="shared" si="362"/>
        <v>9.9728407787345486E-2</v>
      </c>
    </row>
    <row r="632" spans="1:13" x14ac:dyDescent="0.3">
      <c r="A632" s="1">
        <v>45126</v>
      </c>
      <c r="B632" s="5">
        <v>19452009.767828844</v>
      </c>
      <c r="C632" s="5">
        <v>20306785.698592082</v>
      </c>
      <c r="D632" s="5">
        <v>0</v>
      </c>
      <c r="E632" s="5">
        <f t="shared" si="366"/>
        <v>0</v>
      </c>
      <c r="F632" s="5">
        <f t="shared" si="366"/>
        <v>0</v>
      </c>
      <c r="G632" s="9">
        <f t="shared" si="368"/>
        <v>5.2921632916864692E-3</v>
      </c>
      <c r="H632" s="9">
        <f t="shared" si="368"/>
        <v>3.1090159982172239E-3</v>
      </c>
      <c r="I632" s="5">
        <f t="shared" si="369"/>
        <v>13848948.875599155</v>
      </c>
      <c r="J632" s="5">
        <f t="shared" si="370"/>
        <v>14418532.030377585</v>
      </c>
      <c r="K632" s="8">
        <f t="shared" ref="K632:L632" si="423">I632/I380-1</f>
        <v>0.15138129750777285</v>
      </c>
      <c r="L632" s="8">
        <f t="shared" si="423"/>
        <v>0.25682933072877034</v>
      </c>
      <c r="M632" s="8">
        <f t="shared" si="362"/>
        <v>0.10544803322099749</v>
      </c>
    </row>
    <row r="633" spans="1:13" x14ac:dyDescent="0.3">
      <c r="A633" s="1">
        <v>45127</v>
      </c>
      <c r="B633" s="5">
        <v>19424150.730942208</v>
      </c>
      <c r="C633" s="5">
        <v>20146965.223657027</v>
      </c>
      <c r="D633" s="5">
        <v>0</v>
      </c>
      <c r="E633" s="5">
        <f t="shared" si="366"/>
        <v>0</v>
      </c>
      <c r="F633" s="5">
        <f t="shared" si="366"/>
        <v>0</v>
      </c>
      <c r="G633" s="9">
        <f t="shared" si="368"/>
        <v>-1.4321932396266224E-3</v>
      </c>
      <c r="H633" s="9">
        <f t="shared" si="368"/>
        <v>-7.8702989880932162E-3</v>
      </c>
      <c r="I633" s="5">
        <f t="shared" si="369"/>
        <v>13829114.504643587</v>
      </c>
      <c r="J633" s="5">
        <f t="shared" si="370"/>
        <v>14305053.872329116</v>
      </c>
      <c r="K633" s="8">
        <f t="shared" ref="K633:L633" si="424">I633/I381-1</f>
        <v>0.1501330433110486</v>
      </c>
      <c r="L633" s="8">
        <f t="shared" si="424"/>
        <v>0.24888029238341192</v>
      </c>
      <c r="M633" s="8">
        <f t="shared" si="362"/>
        <v>9.8747249072363319E-2</v>
      </c>
    </row>
    <row r="634" spans="1:13" x14ac:dyDescent="0.3">
      <c r="A634" s="1">
        <v>45128</v>
      </c>
      <c r="B634" s="5">
        <v>19354312.195811488</v>
      </c>
      <c r="C634" s="5">
        <v>20153496.219767712</v>
      </c>
      <c r="D634" s="5">
        <v>0</v>
      </c>
      <c r="E634" s="5">
        <f t="shared" si="366"/>
        <v>0</v>
      </c>
      <c r="F634" s="5">
        <f t="shared" si="366"/>
        <v>0</v>
      </c>
      <c r="G634" s="9">
        <f t="shared" si="368"/>
        <v>-3.5954485783241674E-3</v>
      </c>
      <c r="H634" s="9">
        <f t="shared" si="368"/>
        <v>3.2416773634058593E-4</v>
      </c>
      <c r="I634" s="5">
        <f t="shared" si="369"/>
        <v>13779392.634558385</v>
      </c>
      <c r="J634" s="5">
        <f t="shared" si="370"/>
        <v>14309691.109261138</v>
      </c>
      <c r="K634" s="8">
        <f t="shared" ref="K634:L634" si="425">I634/I382-1</f>
        <v>0.14652157208157224</v>
      </c>
      <c r="L634" s="8">
        <f t="shared" si="425"/>
        <v>0.24880580981164568</v>
      </c>
      <c r="M634" s="8">
        <f t="shared" si="362"/>
        <v>0.10228423773007345</v>
      </c>
    </row>
    <row r="635" spans="1:13" x14ac:dyDescent="0.3">
      <c r="A635" s="1">
        <v>45131</v>
      </c>
      <c r="B635" s="5">
        <v>19350825.547151767</v>
      </c>
      <c r="C635" s="5">
        <v>20190709.209957685</v>
      </c>
      <c r="D635" s="5">
        <v>0</v>
      </c>
      <c r="E635" s="5">
        <f t="shared" si="366"/>
        <v>0</v>
      </c>
      <c r="F635" s="5">
        <f t="shared" si="366"/>
        <v>0</v>
      </c>
      <c r="G635" s="9">
        <f t="shared" si="368"/>
        <v>-1.8014841470193055E-4</v>
      </c>
      <c r="H635" s="9">
        <f t="shared" si="368"/>
        <v>1.8464781387892426E-3</v>
      </c>
      <c r="I635" s="5">
        <f t="shared" si="369"/>
        <v>13776910.298819713</v>
      </c>
      <c r="J635" s="5">
        <f t="shared" si="370"/>
        <v>14336113.641067216</v>
      </c>
      <c r="K635" s="8">
        <f t="shared" ref="K635:L635" si="426">I635/I383-1</f>
        <v>0.14181128553901656</v>
      </c>
      <c r="L635" s="8">
        <f t="shared" si="426"/>
        <v>0.23061831503688568</v>
      </c>
      <c r="M635" s="8">
        <f t="shared" si="362"/>
        <v>8.8807029497869117E-2</v>
      </c>
    </row>
    <row r="636" spans="1:13" x14ac:dyDescent="0.3">
      <c r="A636" s="1">
        <v>45132</v>
      </c>
      <c r="B636" s="5">
        <v>19452332.663163308</v>
      </c>
      <c r="C636" s="5">
        <v>20262744.51655193</v>
      </c>
      <c r="D636" s="5">
        <v>0</v>
      </c>
      <c r="E636" s="5">
        <f t="shared" si="366"/>
        <v>0</v>
      </c>
      <c r="F636" s="5">
        <f t="shared" si="366"/>
        <v>0</v>
      </c>
      <c r="G636" s="9">
        <f t="shared" si="368"/>
        <v>5.2456219898320278E-3</v>
      </c>
      <c r="H636" s="9">
        <f t="shared" si="368"/>
        <v>3.567745235948383E-3</v>
      </c>
      <c r="I636" s="5">
        <f t="shared" si="369"/>
        <v>13849178.762435146</v>
      </c>
      <c r="J636" s="5">
        <f t="shared" si="370"/>
        <v>14387261.242212148</v>
      </c>
      <c r="K636" s="8">
        <f t="shared" ref="K636:L636" si="427">I636/I384-1</f>
        <v>0.13260817572987116</v>
      </c>
      <c r="L636" s="8">
        <f t="shared" si="427"/>
        <v>0.24153296496112553</v>
      </c>
      <c r="M636" s="8">
        <f t="shared" si="362"/>
        <v>0.10892478923125437</v>
      </c>
    </row>
    <row r="637" spans="1:13" x14ac:dyDescent="0.3">
      <c r="A637" s="1">
        <v>45133</v>
      </c>
      <c r="B637" s="5">
        <v>19522736.26512935</v>
      </c>
      <c r="C637" s="5">
        <v>20289592.206650376</v>
      </c>
      <c r="D637" s="5">
        <v>0</v>
      </c>
      <c r="E637" s="5">
        <f t="shared" si="366"/>
        <v>0</v>
      </c>
      <c r="F637" s="5">
        <f t="shared" si="366"/>
        <v>0</v>
      </c>
      <c r="G637" s="9">
        <f t="shared" si="368"/>
        <v>3.6192884002732573E-3</v>
      </c>
      <c r="H637" s="9">
        <f t="shared" si="368"/>
        <v>1.3249779701123288E-3</v>
      </c>
      <c r="I637" s="5">
        <f t="shared" si="369"/>
        <v>13899302.934483338</v>
      </c>
      <c r="J637" s="5">
        <f t="shared" si="370"/>
        <v>14406324.046408331</v>
      </c>
      <c r="K637" s="8">
        <f t="shared" ref="K637:L637" si="428">I637/I385-1</f>
        <v>0.13123483860103868</v>
      </c>
      <c r="L637" s="8">
        <f t="shared" si="428"/>
        <v>0.21137087377495112</v>
      </c>
      <c r="M637" s="8">
        <f t="shared" si="362"/>
        <v>8.0136035173912434E-2</v>
      </c>
    </row>
    <row r="638" spans="1:13" x14ac:dyDescent="0.3">
      <c r="A638" s="1">
        <v>45134</v>
      </c>
      <c r="B638" s="5">
        <v>19581531.158868589</v>
      </c>
      <c r="C638" s="5">
        <v>20199989.833826113</v>
      </c>
      <c r="D638" s="5">
        <v>0</v>
      </c>
      <c r="E638" s="5">
        <f t="shared" si="366"/>
        <v>0</v>
      </c>
      <c r="F638" s="5">
        <f t="shared" si="366"/>
        <v>0</v>
      </c>
      <c r="G638" s="9">
        <f t="shared" si="368"/>
        <v>3.0116113305416192E-3</v>
      </c>
      <c r="H638" s="9">
        <f t="shared" si="368"/>
        <v>-4.4161741602126714E-3</v>
      </c>
      <c r="I638" s="5">
        <f t="shared" si="369"/>
        <v>13941162.232687458</v>
      </c>
      <c r="J638" s="5">
        <f t="shared" si="370"/>
        <v>14342703.210410932</v>
      </c>
      <c r="K638" s="8">
        <f t="shared" ref="K638:L638" si="429">I638/I386-1</f>
        <v>0.13256096176942123</v>
      </c>
      <c r="L638" s="8">
        <f t="shared" si="429"/>
        <v>0.1977346523023038</v>
      </c>
      <c r="M638" s="8">
        <f t="shared" si="362"/>
        <v>6.5173690532882578E-2</v>
      </c>
    </row>
    <row r="639" spans="1:13" x14ac:dyDescent="0.3">
      <c r="A639" s="1">
        <v>45135</v>
      </c>
      <c r="B639" s="5">
        <v>19792453.221823394</v>
      </c>
      <c r="C639" s="5">
        <v>20418841.096101474</v>
      </c>
      <c r="D639" s="5">
        <v>0</v>
      </c>
      <c r="E639" s="5">
        <f t="shared" si="366"/>
        <v>0</v>
      </c>
      <c r="F639" s="5">
        <f t="shared" si="366"/>
        <v>0</v>
      </c>
      <c r="G639" s="9">
        <f t="shared" si="368"/>
        <v>1.0771479576523246E-2</v>
      </c>
      <c r="H639" s="9">
        <f t="shared" si="368"/>
        <v>1.0834226357326227E-2</v>
      </c>
      <c r="I639" s="5">
        <f t="shared" si="369"/>
        <v>14091329.176949849</v>
      </c>
      <c r="J639" s="5">
        <f t="shared" si="370"/>
        <v>14498095.303568473</v>
      </c>
      <c r="K639" s="8">
        <f t="shared" ref="K639:L639" si="430">I639/I387-1</f>
        <v>0.12799535415540864</v>
      </c>
      <c r="L639" s="8">
        <f t="shared" si="430"/>
        <v>0.20043264240565284</v>
      </c>
      <c r="M639" s="8">
        <f t="shared" ref="M639:M702" si="431">L639-K639</f>
        <v>7.2437288250244203E-2</v>
      </c>
    </row>
    <row r="640" spans="1:13" x14ac:dyDescent="0.3">
      <c r="A640" s="1">
        <v>45138</v>
      </c>
      <c r="B640" s="5">
        <v>19845302.4947404</v>
      </c>
      <c r="C640" s="5">
        <v>20454406.275817268</v>
      </c>
      <c r="D640" s="5">
        <v>0</v>
      </c>
      <c r="E640" s="5">
        <f t="shared" si="366"/>
        <v>0</v>
      </c>
      <c r="F640" s="5">
        <f t="shared" si="366"/>
        <v>0</v>
      </c>
      <c r="G640" s="9">
        <f t="shared" si="368"/>
        <v>2.6701729353455494E-3</v>
      </c>
      <c r="H640" s="9">
        <f t="shared" si="368"/>
        <v>1.7417824816015059E-3</v>
      </c>
      <c r="I640" s="5">
        <f t="shared" si="369"/>
        <v>14128955.462741187</v>
      </c>
      <c r="J640" s="5">
        <f t="shared" si="370"/>
        <v>14523347.831984818</v>
      </c>
      <c r="K640" s="8">
        <f t="shared" ref="K640:L640" si="432">I640/I388-1</f>
        <v>0.13521491220670057</v>
      </c>
      <c r="L640" s="8">
        <f t="shared" si="432"/>
        <v>0.21414204838061179</v>
      </c>
      <c r="M640" s="8">
        <f t="shared" si="431"/>
        <v>7.8927136173911228E-2</v>
      </c>
    </row>
    <row r="641" spans="1:13" x14ac:dyDescent="0.3">
      <c r="A641" s="1">
        <v>45139</v>
      </c>
      <c r="B641" s="5">
        <v>19835708.777591206</v>
      </c>
      <c r="C641" s="5">
        <v>20402863.10700611</v>
      </c>
      <c r="D641" s="5">
        <v>0</v>
      </c>
      <c r="E641" s="5">
        <f t="shared" si="366"/>
        <v>0</v>
      </c>
      <c r="F641" s="5">
        <f t="shared" si="366"/>
        <v>0</v>
      </c>
      <c r="G641" s="9">
        <f t="shared" si="368"/>
        <v>-4.8342509023169278E-4</v>
      </c>
      <c r="H641" s="9">
        <f t="shared" si="368"/>
        <v>-2.5199053991655784E-3</v>
      </c>
      <c r="I641" s="5">
        <f t="shared" si="369"/>
        <v>14122125.171171732</v>
      </c>
      <c r="J641" s="5">
        <f t="shared" si="370"/>
        <v>14486750.369369039</v>
      </c>
      <c r="K641" s="8">
        <f t="shared" ref="K641:L641" si="433">I641/I389-1</f>
        <v>0.13586743946236135</v>
      </c>
      <c r="L641" s="8">
        <f t="shared" si="433"/>
        <v>0.21009822536516687</v>
      </c>
      <c r="M641" s="8">
        <f t="shared" si="431"/>
        <v>7.4230785902805518E-2</v>
      </c>
    </row>
    <row r="642" spans="1:13" x14ac:dyDescent="0.3">
      <c r="A642" s="1">
        <v>45140</v>
      </c>
      <c r="B642" s="5">
        <v>19565141.115881346</v>
      </c>
      <c r="C642" s="5">
        <v>20201454.386197995</v>
      </c>
      <c r="D642" s="5">
        <v>0</v>
      </c>
      <c r="E642" s="5">
        <f t="shared" si="366"/>
        <v>0</v>
      </c>
      <c r="F642" s="5">
        <f t="shared" si="366"/>
        <v>0</v>
      </c>
      <c r="G642" s="9">
        <f t="shared" si="368"/>
        <v>-1.3640433258201745E-2</v>
      </c>
      <c r="H642" s="9">
        <f t="shared" si="368"/>
        <v>-9.8715910483638813E-3</v>
      </c>
      <c r="I642" s="5">
        <f t="shared" si="369"/>
        <v>13929493.265310394</v>
      </c>
      <c r="J642" s="5">
        <f t="shared" si="370"/>
        <v>14343743.094102893</v>
      </c>
      <c r="K642" s="8">
        <f t="shared" ref="K642:L642" si="434">I642/I390-1</f>
        <v>0.13462542251453047</v>
      </c>
      <c r="L642" s="8">
        <f t="shared" si="434"/>
        <v>0.21167807515558179</v>
      </c>
      <c r="M642" s="8">
        <f t="shared" si="431"/>
        <v>7.7052652641051322E-2</v>
      </c>
    </row>
    <row r="643" spans="1:13" x14ac:dyDescent="0.3">
      <c r="A643" s="1">
        <v>45141</v>
      </c>
      <c r="B643" s="5">
        <v>19463786.133248542</v>
      </c>
      <c r="C643" s="5">
        <v>20189975.92547407</v>
      </c>
      <c r="D643" s="5">
        <v>0</v>
      </c>
      <c r="E643" s="5">
        <f t="shared" ref="E643:F706" si="435">$D643*-1</f>
        <v>0</v>
      </c>
      <c r="F643" s="5">
        <f t="shared" si="435"/>
        <v>0</v>
      </c>
      <c r="G643" s="9">
        <f t="shared" si="368"/>
        <v>-5.1803859748567049E-3</v>
      </c>
      <c r="H643" s="9">
        <f t="shared" si="368"/>
        <v>-5.6819971990573759E-4</v>
      </c>
      <c r="I643" s="5">
        <f t="shared" si="369"/>
        <v>13857333.113761919</v>
      </c>
      <c r="J643" s="5">
        <f t="shared" si="370"/>
        <v>14335592.983294424</v>
      </c>
      <c r="K643" s="8">
        <f t="shared" ref="K643:L643" si="436">I643/I391-1</f>
        <v>0.11954126197424353</v>
      </c>
      <c r="L643" s="8">
        <f t="shared" si="436"/>
        <v>0.17863233130264944</v>
      </c>
      <c r="M643" s="8">
        <f t="shared" si="431"/>
        <v>5.909106932840591E-2</v>
      </c>
    </row>
    <row r="644" spans="1:13" x14ac:dyDescent="0.3">
      <c r="A644" s="1">
        <v>45142</v>
      </c>
      <c r="B644" s="5">
        <v>19618555.455633674</v>
      </c>
      <c r="C644" s="5">
        <v>20106308.896909412</v>
      </c>
      <c r="D644" s="5">
        <v>0</v>
      </c>
      <c r="E644" s="5">
        <f t="shared" si="435"/>
        <v>0</v>
      </c>
      <c r="F644" s="5">
        <f t="shared" si="435"/>
        <v>0</v>
      </c>
      <c r="G644" s="9">
        <f t="shared" ref="G644:H707" si="437">((B644-$D644)/B643-1)</f>
        <v>7.9516555168448466E-3</v>
      </c>
      <c r="H644" s="9">
        <f t="shared" si="437"/>
        <v>-4.1439885254689335E-3</v>
      </c>
      <c r="I644" s="5">
        <f t="shared" ref="I644:I707" si="438">I643*(1+G644)</f>
        <v>13967521.85306472</v>
      </c>
      <c r="J644" s="5">
        <f t="shared" ref="J644:J707" si="439">J643*(1+H644)</f>
        <v>14276186.450465858</v>
      </c>
      <c r="K644" s="8">
        <f t="shared" ref="K644:L644" si="440">I644/I392-1</f>
        <v>0.11506497397917381</v>
      </c>
      <c r="L644" s="8">
        <f t="shared" si="440"/>
        <v>0.163612597695872</v>
      </c>
      <c r="M644" s="8">
        <f t="shared" si="431"/>
        <v>4.8547623716698185E-2</v>
      </c>
    </row>
    <row r="645" spans="1:13" x14ac:dyDescent="0.3">
      <c r="A645" s="1">
        <v>45145</v>
      </c>
      <c r="B645" s="5">
        <v>19650736.322381694</v>
      </c>
      <c r="C645" s="5">
        <v>20268656.165816195</v>
      </c>
      <c r="D645" s="5">
        <v>0</v>
      </c>
      <c r="E645" s="5">
        <f t="shared" si="435"/>
        <v>0</v>
      </c>
      <c r="F645" s="5">
        <f t="shared" si="435"/>
        <v>0</v>
      </c>
      <c r="G645" s="9">
        <f t="shared" si="437"/>
        <v>1.6403280466186221E-3</v>
      </c>
      <c r="H645" s="9">
        <f t="shared" si="437"/>
        <v>8.0744441826285929E-3</v>
      </c>
      <c r="I645" s="5">
        <f t="shared" si="438"/>
        <v>13990433.17090206</v>
      </c>
      <c r="J645" s="5">
        <f t="shared" si="439"/>
        <v>14391458.721100943</v>
      </c>
      <c r="K645" s="8">
        <f t="shared" ref="K645:L645" si="441">I645/I393-1</f>
        <v>0.10300912734470513</v>
      </c>
      <c r="L645" s="8">
        <f t="shared" si="441"/>
        <v>0.16097161399372162</v>
      </c>
      <c r="M645" s="8">
        <f t="shared" si="431"/>
        <v>5.7962486649016487E-2</v>
      </c>
    </row>
    <row r="646" spans="1:13" x14ac:dyDescent="0.3">
      <c r="A646" s="1">
        <v>45146</v>
      </c>
      <c r="B646" s="5">
        <v>19650897.770048928</v>
      </c>
      <c r="C646" s="5">
        <v>20207712.133638952</v>
      </c>
      <c r="D646" s="5">
        <v>0</v>
      </c>
      <c r="E646" s="5">
        <f t="shared" si="435"/>
        <v>0</v>
      </c>
      <c r="F646" s="5">
        <f t="shared" si="435"/>
        <v>0</v>
      </c>
      <c r="G646" s="9">
        <f t="shared" si="437"/>
        <v>8.2158584078229069E-6</v>
      </c>
      <c r="H646" s="9">
        <f t="shared" si="437"/>
        <v>-3.0068116839451209E-3</v>
      </c>
      <c r="I646" s="5">
        <f t="shared" si="438"/>
        <v>13990548.114320057</v>
      </c>
      <c r="J646" s="5">
        <f t="shared" si="439"/>
        <v>14348186.314869324</v>
      </c>
      <c r="K646" s="8">
        <f t="shared" ref="K646:L646" si="442">I646/I394-1</f>
        <v>8.7070214574111793E-2</v>
      </c>
      <c r="L646" s="8">
        <f t="shared" si="442"/>
        <v>0.1666325549696015</v>
      </c>
      <c r="M646" s="8">
        <f t="shared" si="431"/>
        <v>7.9562340395489706E-2</v>
      </c>
    </row>
    <row r="647" spans="1:13" x14ac:dyDescent="0.3">
      <c r="A647" s="1">
        <v>45147</v>
      </c>
      <c r="B647" s="5">
        <v>19698813.574826751</v>
      </c>
      <c r="C647" s="5">
        <v>20064800.810701456</v>
      </c>
      <c r="D647" s="5">
        <v>0</v>
      </c>
      <c r="E647" s="5">
        <f t="shared" si="435"/>
        <v>0</v>
      </c>
      <c r="F647" s="5">
        <f t="shared" si="435"/>
        <v>0</v>
      </c>
      <c r="G647" s="9">
        <f t="shared" si="437"/>
        <v>2.4383519439430401E-3</v>
      </c>
      <c r="H647" s="9">
        <f t="shared" si="437"/>
        <v>-7.0721179118341526E-3</v>
      </c>
      <c r="I647" s="5">
        <f t="shared" si="438"/>
        <v>14024661.994511437</v>
      </c>
      <c r="J647" s="5">
        <f t="shared" si="439"/>
        <v>14246714.249429602</v>
      </c>
      <c r="K647" s="8">
        <f t="shared" ref="K647:L647" si="443">I647/I395-1</f>
        <v>8.4989450578465631E-2</v>
      </c>
      <c r="L647" s="8">
        <f t="shared" si="443"/>
        <v>0.17268288202829418</v>
      </c>
      <c r="M647" s="8">
        <f t="shared" si="431"/>
        <v>8.7693431449828552E-2</v>
      </c>
    </row>
    <row r="648" spans="1:13" x14ac:dyDescent="0.3">
      <c r="A648" s="1">
        <v>45148</v>
      </c>
      <c r="B648" s="5">
        <v>19579612.415438753</v>
      </c>
      <c r="C648" s="5">
        <v>20036035.590500962</v>
      </c>
      <c r="D648" s="5">
        <v>0</v>
      </c>
      <c r="E648" s="5">
        <f t="shared" si="435"/>
        <v>0</v>
      </c>
      <c r="F648" s="5">
        <f t="shared" si="435"/>
        <v>0</v>
      </c>
      <c r="G648" s="9">
        <f t="shared" si="437"/>
        <v>-6.0511847038506872E-3</v>
      </c>
      <c r="H648" s="9">
        <f t="shared" si="437"/>
        <v>-1.4336160359564865E-3</v>
      </c>
      <c r="I648" s="5">
        <f t="shared" si="438"/>
        <v>13939796.174373573</v>
      </c>
      <c r="J648" s="5">
        <f t="shared" si="439"/>
        <v>14226289.93142193</v>
      </c>
      <c r="K648" s="8">
        <f t="shared" ref="K648:L648" si="444">I648/I396-1</f>
        <v>8.2578819079833554E-2</v>
      </c>
      <c r="L648" s="8">
        <f t="shared" si="444"/>
        <v>0.14362890787680449</v>
      </c>
      <c r="M648" s="8">
        <f t="shared" si="431"/>
        <v>6.1050088796970936E-2</v>
      </c>
    </row>
    <row r="649" spans="1:13" x14ac:dyDescent="0.3">
      <c r="A649" s="1">
        <v>45149</v>
      </c>
      <c r="B649" s="5">
        <v>19534776.535389729</v>
      </c>
      <c r="C649" s="5">
        <v>20061037.591706652</v>
      </c>
      <c r="D649" s="5">
        <v>0</v>
      </c>
      <c r="E649" s="5">
        <f t="shared" si="435"/>
        <v>0</v>
      </c>
      <c r="F649" s="5">
        <f t="shared" si="435"/>
        <v>0</v>
      </c>
      <c r="G649" s="9">
        <f t="shared" si="437"/>
        <v>-2.2899268431723074E-3</v>
      </c>
      <c r="H649" s="9">
        <f t="shared" si="437"/>
        <v>1.2478517066292216E-3</v>
      </c>
      <c r="I649" s="5">
        <f t="shared" si="438"/>
        <v>13907875.060925525</v>
      </c>
      <c r="J649" s="5">
        <f t="shared" si="439"/>
        <v>14244042.231591856</v>
      </c>
      <c r="K649" s="8">
        <f t="shared" ref="K649:L649" si="445">I649/I397-1</f>
        <v>7.4642890143575169E-2</v>
      </c>
      <c r="L649" s="8">
        <f t="shared" si="445"/>
        <v>0.14439903958461331</v>
      </c>
      <c r="M649" s="8">
        <f t="shared" si="431"/>
        <v>6.975614944103814E-2</v>
      </c>
    </row>
    <row r="650" spans="1:13" x14ac:dyDescent="0.3">
      <c r="A650" s="1">
        <v>45152</v>
      </c>
      <c r="B650" s="5">
        <v>19290617.986324213</v>
      </c>
      <c r="C650" s="5">
        <v>20250666.874935076</v>
      </c>
      <c r="D650" s="5">
        <v>0</v>
      </c>
      <c r="E650" s="5">
        <f t="shared" si="435"/>
        <v>0</v>
      </c>
      <c r="F650" s="5">
        <f t="shared" si="435"/>
        <v>0</v>
      </c>
      <c r="G650" s="9">
        <f t="shared" si="437"/>
        <v>-1.2498660971278164E-2</v>
      </c>
      <c r="H650" s="9">
        <f t="shared" si="437"/>
        <v>9.4526159158794254E-3</v>
      </c>
      <c r="I650" s="5">
        <f t="shared" si="438"/>
        <v>13734045.245708121</v>
      </c>
      <c r="J650" s="5">
        <f t="shared" si="439"/>
        <v>14378685.69189666</v>
      </c>
      <c r="K650" s="8">
        <f t="shared" ref="K650:L650" si="446">I650/I398-1</f>
        <v>6.2246170253543287E-2</v>
      </c>
      <c r="L650" s="8">
        <f t="shared" si="446"/>
        <v>0.15505472839435264</v>
      </c>
      <c r="M650" s="8">
        <f t="shared" si="431"/>
        <v>9.280855814080935E-2</v>
      </c>
    </row>
    <row r="651" spans="1:13" x14ac:dyDescent="0.3">
      <c r="A651" s="1">
        <v>45154</v>
      </c>
      <c r="B651" s="5">
        <v>19291055.757883448</v>
      </c>
      <c r="C651" s="5">
        <v>19876565.499007721</v>
      </c>
      <c r="D651" s="5">
        <v>0</v>
      </c>
      <c r="E651" s="5">
        <f t="shared" si="435"/>
        <v>0</v>
      </c>
      <c r="F651" s="5">
        <f t="shared" si="435"/>
        <v>0</v>
      </c>
      <c r="G651" s="9">
        <f t="shared" si="437"/>
        <v>2.2693495850933942E-5</v>
      </c>
      <c r="H651" s="9">
        <f t="shared" si="437"/>
        <v>-1.8473533648928564E-2</v>
      </c>
      <c r="I651" s="5">
        <f t="shared" si="438"/>
        <v>13734356.919206921</v>
      </c>
      <c r="J651" s="5">
        <f t="shared" si="439"/>
        <v>14113060.55794004</v>
      </c>
      <c r="K651" s="8">
        <f t="shared" ref="K651:L651" si="447">I651/I399-1</f>
        <v>5.6947903081022488E-2</v>
      </c>
      <c r="L651" s="8">
        <f t="shared" si="447"/>
        <v>0.13196332019599533</v>
      </c>
      <c r="M651" s="8">
        <f t="shared" si="431"/>
        <v>7.5015417114972838E-2</v>
      </c>
    </row>
    <row r="652" spans="1:13" x14ac:dyDescent="0.3">
      <c r="A652" s="1">
        <v>45155</v>
      </c>
      <c r="B652" s="5">
        <v>19243229.991227735</v>
      </c>
      <c r="C652" s="5">
        <v>19703398.43983274</v>
      </c>
      <c r="D652" s="5">
        <v>0</v>
      </c>
      <c r="E652" s="5">
        <f t="shared" si="435"/>
        <v>0</v>
      </c>
      <c r="F652" s="5">
        <f t="shared" si="435"/>
        <v>0</v>
      </c>
      <c r="G652" s="9">
        <f t="shared" si="437"/>
        <v>-2.4791679240349085E-3</v>
      </c>
      <c r="H652" s="9">
        <f t="shared" si="437"/>
        <v>-8.7121217789676297E-3</v>
      </c>
      <c r="I652" s="5">
        <f t="shared" si="438"/>
        <v>13700307.142075576</v>
      </c>
      <c r="J652" s="5">
        <f t="shared" si="439"/>
        <v>13990105.855685322</v>
      </c>
      <c r="K652" s="8">
        <f t="shared" ref="K652:L652" si="448">I652/I400-1</f>
        <v>5.7997408764793645E-2</v>
      </c>
      <c r="L652" s="8">
        <f t="shared" si="448"/>
        <v>0.11039606083529363</v>
      </c>
      <c r="M652" s="8">
        <f t="shared" si="431"/>
        <v>5.2398652070499985E-2</v>
      </c>
    </row>
    <row r="653" spans="1:13" x14ac:dyDescent="0.3">
      <c r="A653" s="1">
        <v>45156</v>
      </c>
      <c r="B653" s="5">
        <v>19153182.554827083</v>
      </c>
      <c r="C653" s="5">
        <v>19713641.48383126</v>
      </c>
      <c r="D653" s="5">
        <v>0</v>
      </c>
      <c r="E653" s="5">
        <f t="shared" si="435"/>
        <v>0</v>
      </c>
      <c r="F653" s="5">
        <f t="shared" si="435"/>
        <v>0</v>
      </c>
      <c r="G653" s="9">
        <f t="shared" si="437"/>
        <v>-4.6794346085194949E-3</v>
      </c>
      <c r="H653" s="9">
        <f t="shared" si="437"/>
        <v>5.1986179083773898E-4</v>
      </c>
      <c r="I653" s="5">
        <f t="shared" si="438"/>
        <v>13636197.4506876</v>
      </c>
      <c r="J653" s="5">
        <f t="shared" si="439"/>
        <v>13997378.777169468</v>
      </c>
      <c r="K653" s="8">
        <f t="shared" ref="K653:L653" si="449">I653/I401-1</f>
        <v>4.3555339930315684E-2</v>
      </c>
      <c r="L653" s="8">
        <f t="shared" si="449"/>
        <v>0.10489013825713611</v>
      </c>
      <c r="M653" s="8">
        <f t="shared" si="431"/>
        <v>6.1334798326820428E-2</v>
      </c>
    </row>
    <row r="654" spans="1:13" x14ac:dyDescent="0.3">
      <c r="A654" s="1">
        <v>45159</v>
      </c>
      <c r="B654" s="5">
        <v>19307917.724821068</v>
      </c>
      <c r="C654" s="5">
        <v>19840063.610752534</v>
      </c>
      <c r="D654" s="5">
        <v>0</v>
      </c>
      <c r="E654" s="5">
        <f t="shared" si="435"/>
        <v>0</v>
      </c>
      <c r="F654" s="5">
        <f t="shared" si="435"/>
        <v>0</v>
      </c>
      <c r="G654" s="9">
        <f t="shared" si="437"/>
        <v>8.0788229084669538E-3</v>
      </c>
      <c r="H654" s="9">
        <f t="shared" si="437"/>
        <v>6.412926146849296E-3</v>
      </c>
      <c r="I654" s="5">
        <f t="shared" si="438"/>
        <v>13746361.875036594</v>
      </c>
      <c r="J654" s="5">
        <f t="shared" si="439"/>
        <v>14087142.933516931</v>
      </c>
      <c r="K654" s="8">
        <f t="shared" ref="K654:L654" si="450">I654/I402-1</f>
        <v>4.9091560259867162E-2</v>
      </c>
      <c r="L654" s="8">
        <f t="shared" si="450"/>
        <v>9.1393344562890499E-2</v>
      </c>
      <c r="M654" s="8">
        <f t="shared" si="431"/>
        <v>4.2301784303023338E-2</v>
      </c>
    </row>
    <row r="655" spans="1:13" x14ac:dyDescent="0.3">
      <c r="A655" s="1">
        <v>45160</v>
      </c>
      <c r="B655" s="5">
        <v>19435346.50571242</v>
      </c>
      <c r="C655" s="5">
        <v>19747170.910542697</v>
      </c>
      <c r="D655" s="5">
        <v>0</v>
      </c>
      <c r="E655" s="5">
        <f t="shared" si="435"/>
        <v>0</v>
      </c>
      <c r="F655" s="5">
        <f t="shared" si="435"/>
        <v>0</v>
      </c>
      <c r="G655" s="9">
        <f t="shared" si="437"/>
        <v>6.5998199654402345E-3</v>
      </c>
      <c r="H655" s="9">
        <f t="shared" si="437"/>
        <v>-4.6820767328332735E-3</v>
      </c>
      <c r="I655" s="5">
        <f t="shared" si="438"/>
        <v>13837085.388591627</v>
      </c>
      <c r="J655" s="5">
        <f t="shared" si="439"/>
        <v>14021185.849355815</v>
      </c>
      <c r="K655" s="8">
        <f t="shared" ref="K655:L655" si="451">I655/I403-1</f>
        <v>3.9610445580145814E-2</v>
      </c>
      <c r="L655" s="8">
        <f t="shared" si="451"/>
        <v>8.4504448198912119E-2</v>
      </c>
      <c r="M655" s="8">
        <f t="shared" si="431"/>
        <v>4.4894002618766304E-2</v>
      </c>
    </row>
    <row r="656" spans="1:13" x14ac:dyDescent="0.3">
      <c r="A656" s="1">
        <v>45161</v>
      </c>
      <c r="B656" s="5">
        <v>19444781.879957207</v>
      </c>
      <c r="C656" s="5">
        <v>19905489.274017502</v>
      </c>
      <c r="D656" s="5">
        <v>0</v>
      </c>
      <c r="E656" s="5">
        <f t="shared" si="435"/>
        <v>0</v>
      </c>
      <c r="F656" s="5">
        <f t="shared" si="435"/>
        <v>0</v>
      </c>
      <c r="G656" s="9">
        <f t="shared" si="437"/>
        <v>4.8547496912454413E-4</v>
      </c>
      <c r="H656" s="9">
        <f t="shared" si="437"/>
        <v>8.0172681034669235E-3</v>
      </c>
      <c r="I656" s="5">
        <f t="shared" si="438"/>
        <v>13843802.947193427</v>
      </c>
      <c r="J656" s="5">
        <f t="shared" si="439"/>
        <v>14133597.455438636</v>
      </c>
      <c r="K656" s="8">
        <f t="shared" ref="K656:L656" si="452">I656/I404-1</f>
        <v>2.9656207377751098E-2</v>
      </c>
      <c r="L656" s="8">
        <f t="shared" si="452"/>
        <v>9.9583015549866039E-2</v>
      </c>
      <c r="M656" s="8">
        <f t="shared" si="431"/>
        <v>6.992680817211494E-2</v>
      </c>
    </row>
    <row r="657" spans="1:13" x14ac:dyDescent="0.3">
      <c r="A657" s="1">
        <v>45162</v>
      </c>
      <c r="B657" s="5">
        <v>19516545.368043426</v>
      </c>
      <c r="C657" s="5">
        <v>19609644.905483495</v>
      </c>
      <c r="D657" s="5">
        <v>0</v>
      </c>
      <c r="E657" s="5">
        <f t="shared" si="435"/>
        <v>0</v>
      </c>
      <c r="F657" s="5">
        <f t="shared" si="435"/>
        <v>0</v>
      </c>
      <c r="G657" s="9">
        <f t="shared" si="437"/>
        <v>3.6906296264598293E-3</v>
      </c>
      <c r="H657" s="9">
        <f t="shared" si="437"/>
        <v>-1.4862451480666228E-2</v>
      </c>
      <c r="I657" s="5">
        <f t="shared" si="438"/>
        <v>13894895.296493212</v>
      </c>
      <c r="J657" s="5">
        <f t="shared" si="439"/>
        <v>13923537.549009912</v>
      </c>
      <c r="K657" s="8">
        <f t="shared" ref="K657:L657" si="453">I657/I405-1</f>
        <v>2.7101014029091042E-2</v>
      </c>
      <c r="L657" s="8">
        <f t="shared" si="453"/>
        <v>7.7232312926775126E-2</v>
      </c>
      <c r="M657" s="8">
        <f t="shared" si="431"/>
        <v>5.0131298897684085E-2</v>
      </c>
    </row>
    <row r="658" spans="1:13" x14ac:dyDescent="0.3">
      <c r="A658" s="1">
        <v>45163</v>
      </c>
      <c r="B658" s="5">
        <v>19334118.818355706</v>
      </c>
      <c r="C658" s="5">
        <v>19760465.315377988</v>
      </c>
      <c r="D658" s="5">
        <v>0</v>
      </c>
      <c r="E658" s="5">
        <f t="shared" si="435"/>
        <v>0</v>
      </c>
      <c r="F658" s="5">
        <f t="shared" si="435"/>
        <v>0</v>
      </c>
      <c r="G658" s="9">
        <f t="shared" si="437"/>
        <v>-9.347276695107487E-3</v>
      </c>
      <c r="H658" s="9">
        <f t="shared" si="437"/>
        <v>7.6911341649188447E-3</v>
      </c>
      <c r="I658" s="5">
        <f t="shared" si="438"/>
        <v>13765015.865507342</v>
      </c>
      <c r="J658" s="5">
        <f t="shared" si="439"/>
        <v>14030625.344349632</v>
      </c>
      <c r="K658" s="8">
        <f t="shared" ref="K658:L658" si="454">I658/I406-1</f>
        <v>2.7953558202052031E-2</v>
      </c>
      <c r="L658" s="8">
        <f t="shared" si="454"/>
        <v>9.6503946315875E-2</v>
      </c>
      <c r="M658" s="8">
        <f t="shared" si="431"/>
        <v>6.8550388113822969E-2</v>
      </c>
    </row>
    <row r="659" spans="1:13" x14ac:dyDescent="0.3">
      <c r="A659" s="1">
        <v>45166</v>
      </c>
      <c r="B659" s="5">
        <v>19438876.621051785</v>
      </c>
      <c r="C659" s="5">
        <v>19874891.724868435</v>
      </c>
      <c r="D659" s="5">
        <v>0</v>
      </c>
      <c r="E659" s="5">
        <f t="shared" si="435"/>
        <v>0</v>
      </c>
      <c r="F659" s="5">
        <f t="shared" si="435"/>
        <v>0</v>
      </c>
      <c r="G659" s="9">
        <f t="shared" si="437"/>
        <v>5.4182868989416377E-3</v>
      </c>
      <c r="H659" s="9">
        <f t="shared" si="437"/>
        <v>5.7906738360760102E-3</v>
      </c>
      <c r="I659" s="5">
        <f t="shared" si="438"/>
        <v>13839598.670635143</v>
      </c>
      <c r="J659" s="5">
        <f t="shared" si="439"/>
        <v>14111872.119434942</v>
      </c>
      <c r="K659" s="8">
        <f t="shared" ref="K659:L659" si="455">I659/I407-1</f>
        <v>5.2961863388446107E-2</v>
      </c>
      <c r="L659" s="8">
        <f t="shared" si="455"/>
        <v>0.1272749264565054</v>
      </c>
      <c r="M659" s="8">
        <f t="shared" si="431"/>
        <v>7.4313063068059293E-2</v>
      </c>
    </row>
    <row r="660" spans="1:13" x14ac:dyDescent="0.3">
      <c r="A660" s="1">
        <v>45167</v>
      </c>
      <c r="B660" s="5">
        <v>19554206.141188961</v>
      </c>
      <c r="C660" s="5">
        <v>20188261.819427818</v>
      </c>
      <c r="D660" s="5">
        <v>0</v>
      </c>
      <c r="E660" s="5">
        <f t="shared" si="435"/>
        <v>0</v>
      </c>
      <c r="F660" s="5">
        <f t="shared" si="435"/>
        <v>0</v>
      </c>
      <c r="G660" s="9">
        <f t="shared" si="437"/>
        <v>5.9329313306242248E-3</v>
      </c>
      <c r="H660" s="9">
        <f t="shared" si="437"/>
        <v>1.5767134679142814E-2</v>
      </c>
      <c r="I660" s="5">
        <f t="shared" si="438"/>
        <v>13921708.059191421</v>
      </c>
      <c r="J660" s="5">
        <f t="shared" si="439"/>
        <v>14334375.907716913</v>
      </c>
      <c r="K660" s="8">
        <f t="shared" ref="K660:L660" si="456">I660/I408-1</f>
        <v>5.4078728892716699E-2</v>
      </c>
      <c r="L660" s="8">
        <f t="shared" si="456"/>
        <v>0.14832026373463414</v>
      </c>
      <c r="M660" s="8">
        <f t="shared" si="431"/>
        <v>9.424153484191744E-2</v>
      </c>
    </row>
    <row r="661" spans="1:13" x14ac:dyDescent="0.3">
      <c r="A661" s="1">
        <v>45168</v>
      </c>
      <c r="B661" s="5">
        <v>19621672.63751645</v>
      </c>
      <c r="C661" s="5">
        <v>20276374.180363923</v>
      </c>
      <c r="D661" s="5">
        <v>0</v>
      </c>
      <c r="E661" s="5">
        <f t="shared" si="435"/>
        <v>0</v>
      </c>
      <c r="F661" s="5">
        <f t="shared" si="435"/>
        <v>0</v>
      </c>
      <c r="G661" s="9">
        <f t="shared" si="437"/>
        <v>3.4502293695972686E-3</v>
      </c>
      <c r="H661" s="9">
        <f t="shared" si="437"/>
        <v>4.3645342884999216E-3</v>
      </c>
      <c r="I661" s="5">
        <f t="shared" si="438"/>
        <v>13969741.145212201</v>
      </c>
      <c r="J661" s="5">
        <f t="shared" si="439"/>
        <v>14396938.782870391</v>
      </c>
      <c r="K661" s="8">
        <f t="shared" ref="K661:L661" si="457">I661/I409-1</f>
        <v>5.1445244710091709E-2</v>
      </c>
      <c r="L661" s="8">
        <f t="shared" si="457"/>
        <v>0.1498114286367731</v>
      </c>
      <c r="M661" s="8">
        <f t="shared" si="431"/>
        <v>9.8366183926681394E-2</v>
      </c>
    </row>
    <row r="662" spans="1:13" x14ac:dyDescent="0.3">
      <c r="A662" s="1">
        <v>45169</v>
      </c>
      <c r="B662" s="5">
        <v>19477934.537471469</v>
      </c>
      <c r="C662" s="5">
        <v>20260917.733240575</v>
      </c>
      <c r="D662" s="5">
        <v>0</v>
      </c>
      <c r="E662" s="5">
        <f t="shared" si="435"/>
        <v>0</v>
      </c>
      <c r="F662" s="5">
        <f t="shared" si="435"/>
        <v>0</v>
      </c>
      <c r="G662" s="9">
        <f t="shared" si="437"/>
        <v>-7.3254764107191228E-3</v>
      </c>
      <c r="H662" s="9">
        <f t="shared" si="437"/>
        <v>-7.6228851301807232E-4</v>
      </c>
      <c r="I662" s="5">
        <f t="shared" si="438"/>
        <v>13867406.135989098</v>
      </c>
      <c r="J662" s="5">
        <f t="shared" si="439"/>
        <v>14385964.161813585</v>
      </c>
      <c r="K662" s="8">
        <f t="shared" ref="K662:L662" si="458">I662/I410-1</f>
        <v>4.3434597622021842E-2</v>
      </c>
      <c r="L662" s="8">
        <f t="shared" si="458"/>
        <v>0.13180904362906953</v>
      </c>
      <c r="M662" s="8">
        <f t="shared" si="431"/>
        <v>8.8374446007047691E-2</v>
      </c>
    </row>
    <row r="663" spans="1:13" x14ac:dyDescent="0.3">
      <c r="A663" s="1">
        <v>45170</v>
      </c>
      <c r="B663" s="5">
        <v>19646439.330622952</v>
      </c>
      <c r="C663" s="5">
        <v>20276325.530001137</v>
      </c>
      <c r="D663" s="5">
        <v>0</v>
      </c>
      <c r="E663" s="5">
        <f t="shared" si="435"/>
        <v>0</v>
      </c>
      <c r="F663" s="5">
        <f t="shared" si="435"/>
        <v>0</v>
      </c>
      <c r="G663" s="9">
        <f t="shared" si="437"/>
        <v>8.6510606567300474E-3</v>
      </c>
      <c r="H663" s="9">
        <f t="shared" si="437"/>
        <v>7.6046884763192324E-4</v>
      </c>
      <c r="I663" s="5">
        <f t="shared" si="438"/>
        <v>13987373.907623051</v>
      </c>
      <c r="J663" s="5">
        <f t="shared" si="439"/>
        <v>14396904.239401793</v>
      </c>
      <c r="K663" s="8">
        <f t="shared" ref="K663:L663" si="459">I663/I411-1</f>
        <v>4.7029326171170283E-2</v>
      </c>
      <c r="L663" s="8">
        <f t="shared" si="459"/>
        <v>0.17256444116047565</v>
      </c>
      <c r="M663" s="8">
        <f t="shared" si="431"/>
        <v>0.12553511498930536</v>
      </c>
    </row>
    <row r="664" spans="1:13" x14ac:dyDescent="0.3">
      <c r="A664" s="1">
        <v>45173</v>
      </c>
      <c r="B664" s="5">
        <v>19822414.183146916</v>
      </c>
      <c r="C664" s="5">
        <v>20275182.372512929</v>
      </c>
      <c r="D664" s="5">
        <v>0</v>
      </c>
      <c r="E664" s="5">
        <f t="shared" si="435"/>
        <v>0</v>
      </c>
      <c r="F664" s="5">
        <f t="shared" si="435"/>
        <v>0</v>
      </c>
      <c r="G664" s="9">
        <f t="shared" si="437"/>
        <v>8.9570862975496546E-3</v>
      </c>
      <c r="H664" s="9">
        <f t="shared" si="437"/>
        <v>-5.6378927558498049E-5</v>
      </c>
      <c r="I664" s="5">
        <f t="shared" si="438"/>
        <v>14112660.022789724</v>
      </c>
      <c r="J664" s="5">
        <f t="shared" si="439"/>
        <v>14396092.557380613</v>
      </c>
      <c r="K664" s="8">
        <f t="shared" ref="K664:L664" si="460">I664/I412-1</f>
        <v>6.2755055500476331E-2</v>
      </c>
      <c r="L664" s="8">
        <f t="shared" si="460"/>
        <v>0.17898225973910709</v>
      </c>
      <c r="M664" s="8">
        <f t="shared" si="431"/>
        <v>0.11622720423863075</v>
      </c>
    </row>
    <row r="665" spans="1:13" x14ac:dyDescent="0.3">
      <c r="A665" s="1">
        <v>45174</v>
      </c>
      <c r="B665" s="5">
        <v>19863238.7096177</v>
      </c>
      <c r="C665" s="5">
        <v>20275182.372512929</v>
      </c>
      <c r="D665" s="5">
        <v>0</v>
      </c>
      <c r="E665" s="5">
        <f t="shared" si="435"/>
        <v>0</v>
      </c>
      <c r="F665" s="5">
        <f t="shared" si="435"/>
        <v>0</v>
      </c>
      <c r="G665" s="9">
        <f t="shared" si="437"/>
        <v>2.0595133414926803E-3</v>
      </c>
      <c r="H665" s="9">
        <f t="shared" si="437"/>
        <v>0</v>
      </c>
      <c r="I665" s="5">
        <f t="shared" si="438"/>
        <v>14141725.234390611</v>
      </c>
      <c r="J665" s="5">
        <f t="shared" si="439"/>
        <v>14396092.557380613</v>
      </c>
      <c r="K665" s="8">
        <f t="shared" ref="K665:L665" si="461">I665/I413-1</f>
        <v>4.2149467780544292E-2</v>
      </c>
      <c r="L665" s="8">
        <f t="shared" si="461"/>
        <v>0.19742383028445132</v>
      </c>
      <c r="M665" s="8">
        <f t="shared" si="431"/>
        <v>0.15527436250390703</v>
      </c>
    </row>
    <row r="666" spans="1:13" x14ac:dyDescent="0.3">
      <c r="A666" s="1">
        <v>45175</v>
      </c>
      <c r="B666" s="5">
        <v>19957105.004301041</v>
      </c>
      <c r="C666" s="5">
        <v>20161041.563338719</v>
      </c>
      <c r="D666" s="5">
        <v>0</v>
      </c>
      <c r="E666" s="5">
        <f t="shared" si="435"/>
        <v>0</v>
      </c>
      <c r="F666" s="5">
        <f t="shared" si="435"/>
        <v>0</v>
      </c>
      <c r="G666" s="9">
        <f t="shared" si="437"/>
        <v>4.7256288894061971E-3</v>
      </c>
      <c r="H666" s="9">
        <f t="shared" si="437"/>
        <v>-5.6295823671086431E-3</v>
      </c>
      <c r="I666" s="5">
        <f t="shared" si="438"/>
        <v>14208553.779704291</v>
      </c>
      <c r="J666" s="5">
        <f t="shared" si="439"/>
        <v>14315048.56856432</v>
      </c>
      <c r="K666" s="8">
        <f t="shared" ref="K666:L666" si="462">I666/I414-1</f>
        <v>4.6962401770416884E-2</v>
      </c>
      <c r="L666" s="8">
        <f t="shared" si="462"/>
        <v>0.19527956973081273</v>
      </c>
      <c r="M666" s="8">
        <f t="shared" si="431"/>
        <v>0.14831716796039585</v>
      </c>
    </row>
    <row r="667" spans="1:13" x14ac:dyDescent="0.3">
      <c r="A667" s="1">
        <v>45176</v>
      </c>
      <c r="B667" s="5">
        <v>20058494.139324989</v>
      </c>
      <c r="C667" s="5">
        <v>20115971.665596392</v>
      </c>
      <c r="D667" s="5">
        <v>0</v>
      </c>
      <c r="E667" s="5">
        <f t="shared" si="435"/>
        <v>0</v>
      </c>
      <c r="F667" s="5">
        <f t="shared" si="435"/>
        <v>0</v>
      </c>
      <c r="G667" s="9">
        <f t="shared" si="437"/>
        <v>5.0803528368517092E-3</v>
      </c>
      <c r="H667" s="9">
        <f t="shared" si="437"/>
        <v>-2.2354945105754753E-3</v>
      </c>
      <c r="I667" s="5">
        <f t="shared" si="438"/>
        <v>14280738.246206572</v>
      </c>
      <c r="J667" s="5">
        <f t="shared" si="439"/>
        <v>14283047.356070673</v>
      </c>
      <c r="K667" s="8">
        <f t="shared" ref="K667:L667" si="463">I667/I415-1</f>
        <v>5.4217010987389846E-2</v>
      </c>
      <c r="L667" s="8">
        <f t="shared" si="463"/>
        <v>0.20469939796669978</v>
      </c>
      <c r="M667" s="8">
        <f t="shared" si="431"/>
        <v>0.15048238697930993</v>
      </c>
    </row>
    <row r="668" spans="1:13" x14ac:dyDescent="0.3">
      <c r="A668" s="1">
        <v>45177</v>
      </c>
      <c r="B668" s="5">
        <v>20221385.521277208</v>
      </c>
      <c r="C668" s="5">
        <v>20078321.830439039</v>
      </c>
      <c r="D668" s="5">
        <v>0</v>
      </c>
      <c r="E668" s="5">
        <f t="shared" si="435"/>
        <v>0</v>
      </c>
      <c r="F668" s="5">
        <f t="shared" si="435"/>
        <v>0</v>
      </c>
      <c r="G668" s="9">
        <f t="shared" si="437"/>
        <v>8.1208180843879152E-3</v>
      </c>
      <c r="H668" s="9">
        <f t="shared" si="437"/>
        <v>-1.8716389038141434E-3</v>
      </c>
      <c r="I668" s="5">
        <f t="shared" si="438"/>
        <v>14396709.523614777</v>
      </c>
      <c r="J668" s="5">
        <f t="shared" si="439"/>
        <v>14256314.648974031</v>
      </c>
      <c r="K668" s="8">
        <f t="shared" ref="K668:L668" si="464">I668/I416-1</f>
        <v>6.4017093486498311E-2</v>
      </c>
      <c r="L668" s="8">
        <f t="shared" si="464"/>
        <v>0.20490796447210369</v>
      </c>
      <c r="M668" s="8">
        <f t="shared" si="431"/>
        <v>0.14089087098560538</v>
      </c>
    </row>
    <row r="669" spans="1:13" x14ac:dyDescent="0.3">
      <c r="A669" s="1">
        <v>45180</v>
      </c>
      <c r="B669" s="5">
        <v>20429656.116773956</v>
      </c>
      <c r="C669" s="5">
        <v>20237718.064127643</v>
      </c>
      <c r="D669" s="5">
        <v>0</v>
      </c>
      <c r="E669" s="5">
        <f t="shared" si="435"/>
        <v>0</v>
      </c>
      <c r="F669" s="5">
        <f t="shared" si="435"/>
        <v>0</v>
      </c>
      <c r="G669" s="9">
        <f t="shared" si="437"/>
        <v>1.0299521527721289E-2</v>
      </c>
      <c r="H669" s="9">
        <f t="shared" si="437"/>
        <v>7.9387229189122888E-3</v>
      </c>
      <c r="I669" s="5">
        <f t="shared" si="438"/>
        <v>14544988.743281597</v>
      </c>
      <c r="J669" s="5">
        <f t="shared" si="439"/>
        <v>14369491.580817066</v>
      </c>
      <c r="K669" s="8">
        <f t="shared" ref="K669:L669" si="465">I669/I417-1</f>
        <v>6.8042678193990902E-2</v>
      </c>
      <c r="L669" s="8">
        <f t="shared" si="465"/>
        <v>0.2144733949448383</v>
      </c>
      <c r="M669" s="8">
        <f t="shared" si="431"/>
        <v>0.1464307167508474</v>
      </c>
    </row>
    <row r="670" spans="1:13" x14ac:dyDescent="0.3">
      <c r="A670" s="1">
        <v>45181</v>
      </c>
      <c r="B670" s="5">
        <v>19960268.757626295</v>
      </c>
      <c r="C670" s="5">
        <v>20082031.105508272</v>
      </c>
      <c r="D670" s="5">
        <v>0</v>
      </c>
      <c r="E670" s="5">
        <f t="shared" si="435"/>
        <v>0</v>
      </c>
      <c r="F670" s="5">
        <f t="shared" si="435"/>
        <v>0</v>
      </c>
      <c r="G670" s="9">
        <f t="shared" si="437"/>
        <v>-2.2975783658064852E-2</v>
      </c>
      <c r="H670" s="9">
        <f t="shared" si="437"/>
        <v>-7.6929107385547146E-3</v>
      </c>
      <c r="I670" s="5">
        <f t="shared" si="438"/>
        <v>14210806.228606971</v>
      </c>
      <c r="J670" s="5">
        <f t="shared" si="439"/>
        <v>14258948.364727426</v>
      </c>
      <c r="K670" s="8">
        <f t="shared" ref="K670:L670" si="466">I670/I418-1</f>
        <v>3.9857669204637514E-2</v>
      </c>
      <c r="L670" s="8">
        <f t="shared" si="466"/>
        <v>0.18398517031955786</v>
      </c>
      <c r="M670" s="8">
        <f t="shared" si="431"/>
        <v>0.14412750111492034</v>
      </c>
    </row>
    <row r="671" spans="1:13" x14ac:dyDescent="0.3">
      <c r="A671" s="1">
        <v>45182</v>
      </c>
      <c r="B671" s="5">
        <v>20021696.490246609</v>
      </c>
      <c r="C671" s="5">
        <v>20124102.578041729</v>
      </c>
      <c r="D671" s="5">
        <v>0</v>
      </c>
      <c r="E671" s="5">
        <f t="shared" si="435"/>
        <v>0</v>
      </c>
      <c r="F671" s="5">
        <f t="shared" si="435"/>
        <v>0</v>
      </c>
      <c r="G671" s="9">
        <f t="shared" si="437"/>
        <v>3.0775002764851234E-3</v>
      </c>
      <c r="H671" s="9">
        <f t="shared" si="437"/>
        <v>2.094980946519831E-3</v>
      </c>
      <c r="I671" s="5">
        <f t="shared" si="438"/>
        <v>14254539.988704585</v>
      </c>
      <c r="J671" s="5">
        <f t="shared" si="439"/>
        <v>14288820.58986894</v>
      </c>
      <c r="K671" s="8">
        <f t="shared" ref="K671:L671" si="467">I671/I419-1</f>
        <v>4.0269924446707517E-2</v>
      </c>
      <c r="L671" s="8">
        <f t="shared" si="467"/>
        <v>0.18015668058126599</v>
      </c>
      <c r="M671" s="8">
        <f t="shared" si="431"/>
        <v>0.13988675613455848</v>
      </c>
    </row>
    <row r="672" spans="1:13" x14ac:dyDescent="0.3">
      <c r="A672" s="1">
        <v>45183</v>
      </c>
      <c r="B672" s="5">
        <v>20160178.226817936</v>
      </c>
      <c r="C672" s="5">
        <v>20321458.950496942</v>
      </c>
      <c r="D672" s="5">
        <v>0</v>
      </c>
      <c r="E672" s="5">
        <f t="shared" si="435"/>
        <v>0</v>
      </c>
      <c r="F672" s="5">
        <f t="shared" si="435"/>
        <v>0</v>
      </c>
      <c r="G672" s="9">
        <f t="shared" si="437"/>
        <v>6.9165835491906691E-3</v>
      </c>
      <c r="H672" s="9">
        <f t="shared" si="437"/>
        <v>9.8069651399290692E-3</v>
      </c>
      <c r="I672" s="5">
        <f t="shared" si="438"/>
        <v>14353132.705491738</v>
      </c>
      <c r="J672" s="5">
        <f t="shared" si="439"/>
        <v>14428950.555284485</v>
      </c>
      <c r="K672" s="8">
        <f t="shared" ref="K672:L672" si="468">I672/I420-1</f>
        <v>4.8117674176557212E-2</v>
      </c>
      <c r="L672" s="8">
        <f t="shared" si="468"/>
        <v>0.17517731617148824</v>
      </c>
      <c r="M672" s="8">
        <f t="shared" si="431"/>
        <v>0.12705964199493103</v>
      </c>
    </row>
    <row r="673" spans="1:13" x14ac:dyDescent="0.3">
      <c r="A673" s="1">
        <v>45184</v>
      </c>
      <c r="B673" s="5">
        <v>20195547.684993856</v>
      </c>
      <c r="C673" s="5">
        <v>20106622.981634956</v>
      </c>
      <c r="D673" s="5">
        <v>0</v>
      </c>
      <c r="E673" s="5">
        <f t="shared" si="435"/>
        <v>0</v>
      </c>
      <c r="F673" s="5">
        <f t="shared" si="435"/>
        <v>0</v>
      </c>
      <c r="G673" s="9">
        <f t="shared" si="437"/>
        <v>1.7544218993494898E-3</v>
      </c>
      <c r="H673" s="9">
        <f t="shared" si="437"/>
        <v>-1.0571877215377445E-2</v>
      </c>
      <c r="I673" s="5">
        <f t="shared" si="438"/>
        <v>14378314.155834522</v>
      </c>
      <c r="J673" s="5">
        <f t="shared" si="439"/>
        <v>14276409.461667266</v>
      </c>
      <c r="K673" s="8">
        <f t="shared" ref="K673:L673" si="469">I673/I421-1</f>
        <v>3.7590923012135846E-2</v>
      </c>
      <c r="L673" s="8">
        <f t="shared" si="469"/>
        <v>0.15434740328665009</v>
      </c>
      <c r="M673" s="8">
        <f t="shared" si="431"/>
        <v>0.11675648027451424</v>
      </c>
    </row>
    <row r="674" spans="1:13" x14ac:dyDescent="0.3">
      <c r="A674" s="1">
        <v>45187</v>
      </c>
      <c r="B674" s="5">
        <v>20184218.405421883</v>
      </c>
      <c r="C674" s="5">
        <v>20150480.401423972</v>
      </c>
      <c r="D674" s="5">
        <v>0</v>
      </c>
      <c r="E674" s="5">
        <f t="shared" si="435"/>
        <v>0</v>
      </c>
      <c r="F674" s="5">
        <f t="shared" si="435"/>
        <v>0</v>
      </c>
      <c r="G674" s="9">
        <f t="shared" si="437"/>
        <v>-5.609790706686546E-4</v>
      </c>
      <c r="H674" s="9">
        <f t="shared" si="437"/>
        <v>2.1812424607092762E-3</v>
      </c>
      <c r="I674" s="5">
        <f t="shared" si="438"/>
        <v>14370248.222521599</v>
      </c>
      <c r="J674" s="5">
        <f t="shared" si="439"/>
        <v>14307549.772171525</v>
      </c>
      <c r="K674" s="8">
        <f t="shared" ref="K674:L674" si="470">I674/I422-1</f>
        <v>3.0245826078536764E-2</v>
      </c>
      <c r="L674" s="8">
        <f t="shared" si="470"/>
        <v>0.2069800316239061</v>
      </c>
      <c r="M674" s="8">
        <f t="shared" si="431"/>
        <v>0.17673420554536934</v>
      </c>
    </row>
    <row r="675" spans="1:13" x14ac:dyDescent="0.3">
      <c r="A675" s="1">
        <v>45189</v>
      </c>
      <c r="B675" s="5">
        <v>20006439.685692847</v>
      </c>
      <c r="C675" s="5">
        <v>19871723.401501451</v>
      </c>
      <c r="D675" s="5">
        <v>0</v>
      </c>
      <c r="E675" s="5">
        <f t="shared" si="435"/>
        <v>0</v>
      </c>
      <c r="F675" s="5">
        <f t="shared" si="435"/>
        <v>0</v>
      </c>
      <c r="G675" s="9">
        <f t="shared" si="437"/>
        <v>-8.8078079694817735E-3</v>
      </c>
      <c r="H675" s="9">
        <f t="shared" si="437"/>
        <v>-1.3833764474559307E-2</v>
      </c>
      <c r="I675" s="5">
        <f t="shared" si="438"/>
        <v>14243677.835703842</v>
      </c>
      <c r="J675" s="5">
        <f t="shared" si="439"/>
        <v>14109622.498415269</v>
      </c>
      <c r="K675" s="8">
        <f t="shared" ref="K675:L675" si="471">I675/I423-1</f>
        <v>1.6541261814285724E-2</v>
      </c>
      <c r="L675" s="8">
        <f t="shared" si="471"/>
        <v>0.18713641928181524</v>
      </c>
      <c r="M675" s="8">
        <f t="shared" si="431"/>
        <v>0.17059515746752951</v>
      </c>
    </row>
    <row r="676" spans="1:13" x14ac:dyDescent="0.3">
      <c r="A676" s="1">
        <v>45190</v>
      </c>
      <c r="B676" s="5">
        <v>19835655.996623076</v>
      </c>
      <c r="C676" s="5">
        <v>19555856.257751729</v>
      </c>
      <c r="D676" s="5">
        <v>0</v>
      </c>
      <c r="E676" s="5">
        <f t="shared" si="435"/>
        <v>0</v>
      </c>
      <c r="F676" s="5">
        <f t="shared" si="435"/>
        <v>0</v>
      </c>
      <c r="G676" s="9">
        <f t="shared" si="437"/>
        <v>-8.5364358552962871E-3</v>
      </c>
      <c r="H676" s="9">
        <f t="shared" si="437"/>
        <v>-1.589530698308006E-2</v>
      </c>
      <c r="I676" s="5">
        <f t="shared" si="438"/>
        <v>14122087.593515851</v>
      </c>
      <c r="J676" s="5">
        <f t="shared" si="439"/>
        <v>13885345.717387585</v>
      </c>
      <c r="K676" s="8">
        <f t="shared" ref="K676:L676" si="472">I676/I424-1</f>
        <v>1.6469962582381648E-3</v>
      </c>
      <c r="L676" s="8">
        <f t="shared" si="472"/>
        <v>0.17545053243588682</v>
      </c>
      <c r="M676" s="8">
        <f t="shared" si="431"/>
        <v>0.17380353617764865</v>
      </c>
    </row>
    <row r="677" spans="1:13" x14ac:dyDescent="0.3">
      <c r="A677" s="1">
        <v>45191</v>
      </c>
      <c r="B677" s="5">
        <v>19811441.951300569</v>
      </c>
      <c r="C677" s="5">
        <v>19473712.766972899</v>
      </c>
      <c r="D677" s="5">
        <v>0</v>
      </c>
      <c r="E677" s="5">
        <f t="shared" si="435"/>
        <v>0</v>
      </c>
      <c r="F677" s="5">
        <f t="shared" si="435"/>
        <v>0</v>
      </c>
      <c r="G677" s="9">
        <f t="shared" si="437"/>
        <v>-1.2207332758054079E-3</v>
      </c>
      <c r="H677" s="9">
        <f t="shared" si="437"/>
        <v>-4.2004548252020379E-3</v>
      </c>
      <c r="I677" s="5">
        <f t="shared" si="438"/>
        <v>14104848.291266607</v>
      </c>
      <c r="J677" s="5">
        <f t="shared" si="439"/>
        <v>13827020.949969387</v>
      </c>
      <c r="K677" s="8">
        <f t="shared" ref="K677:L677" si="473">I677/I425-1</f>
        <v>3.0374236219659068E-2</v>
      </c>
      <c r="L677" s="8">
        <f t="shared" si="473"/>
        <v>0.18132912812194402</v>
      </c>
      <c r="M677" s="8">
        <f t="shared" si="431"/>
        <v>0.15095489190228495</v>
      </c>
    </row>
    <row r="678" spans="1:13" x14ac:dyDescent="0.3">
      <c r="A678" s="1">
        <v>45194</v>
      </c>
      <c r="B678" s="5">
        <v>19765382.794695955</v>
      </c>
      <c r="C678" s="5">
        <v>19590046.623588655</v>
      </c>
      <c r="D678" s="5">
        <v>0</v>
      </c>
      <c r="E678" s="5">
        <f t="shared" si="435"/>
        <v>0</v>
      </c>
      <c r="F678" s="5">
        <f t="shared" si="435"/>
        <v>0</v>
      </c>
      <c r="G678" s="9">
        <f t="shared" si="437"/>
        <v>-2.3248765394177084E-3</v>
      </c>
      <c r="H678" s="9">
        <f t="shared" si="437"/>
        <v>5.9738919849456895E-3</v>
      </c>
      <c r="I678" s="5">
        <f t="shared" si="438"/>
        <v>14072056.260382196</v>
      </c>
      <c r="J678" s="5">
        <f t="shared" si="439"/>
        <v>13909622.079598084</v>
      </c>
      <c r="K678" s="8">
        <f t="shared" ref="K678:L678" si="474">I678/I426-1</f>
        <v>2.4610022369968121E-2</v>
      </c>
      <c r="L678" s="8">
        <f t="shared" si="474"/>
        <v>0.17953999243603991</v>
      </c>
      <c r="M678" s="8">
        <f t="shared" si="431"/>
        <v>0.15492997006607179</v>
      </c>
    </row>
    <row r="679" spans="1:13" x14ac:dyDescent="0.3">
      <c r="A679" s="1">
        <v>45195</v>
      </c>
      <c r="B679" s="5">
        <v>19803940.844299778</v>
      </c>
      <c r="C679" s="5">
        <v>19332848.792463019</v>
      </c>
      <c r="D679" s="5">
        <v>0</v>
      </c>
      <c r="E679" s="5">
        <f t="shared" si="435"/>
        <v>0</v>
      </c>
      <c r="F679" s="5">
        <f t="shared" si="435"/>
        <v>0</v>
      </c>
      <c r="G679" s="9">
        <f t="shared" si="437"/>
        <v>1.9507868885884072E-3</v>
      </c>
      <c r="H679" s="9">
        <f t="shared" si="437"/>
        <v>-1.312900556428187E-2</v>
      </c>
      <c r="I679" s="5">
        <f t="shared" si="438"/>
        <v>14099507.843230428</v>
      </c>
      <c r="J679" s="5">
        <f t="shared" si="439"/>
        <v>13727002.573917983</v>
      </c>
      <c r="K679" s="8">
        <f t="shared" ref="K679:L679" si="475">I679/I427-1</f>
        <v>1.5195703007373496E-2</v>
      </c>
      <c r="L679" s="8">
        <f t="shared" si="475"/>
        <v>0.17716521873077329</v>
      </c>
      <c r="M679" s="8">
        <f t="shared" si="431"/>
        <v>0.16196951572339979</v>
      </c>
    </row>
    <row r="680" spans="1:13" x14ac:dyDescent="0.3">
      <c r="A680" s="1">
        <v>45196</v>
      </c>
      <c r="B680" s="5">
        <v>19831883.709782861</v>
      </c>
      <c r="C680" s="5">
        <v>19323736.050157357</v>
      </c>
      <c r="D680" s="5">
        <v>0</v>
      </c>
      <c r="E680" s="5">
        <f t="shared" si="435"/>
        <v>0</v>
      </c>
      <c r="F680" s="5">
        <f t="shared" si="435"/>
        <v>0</v>
      </c>
      <c r="G680" s="9">
        <f t="shared" si="437"/>
        <v>1.4109750025397272E-3</v>
      </c>
      <c r="H680" s="9">
        <f t="shared" si="437"/>
        <v>-4.7136055340246674E-4</v>
      </c>
      <c r="I680" s="5">
        <f t="shared" si="438"/>
        <v>14119401.89634534</v>
      </c>
      <c r="J680" s="5">
        <f t="shared" si="439"/>
        <v>13720532.206388185</v>
      </c>
      <c r="K680" s="8">
        <f t="shared" ref="K680:L680" si="476">I680/I428-1</f>
        <v>3.3130003652106721E-2</v>
      </c>
      <c r="L680" s="8">
        <f t="shared" si="476"/>
        <v>0.19342763690618359</v>
      </c>
      <c r="M680" s="8">
        <f t="shared" si="431"/>
        <v>0.16029763325407687</v>
      </c>
    </row>
    <row r="681" spans="1:13" x14ac:dyDescent="0.3">
      <c r="A681" s="1">
        <v>45197</v>
      </c>
      <c r="B681" s="5">
        <v>19539663.432086442</v>
      </c>
      <c r="C681" s="5">
        <v>19428483.306123618</v>
      </c>
      <c r="D681" s="5">
        <v>0</v>
      </c>
      <c r="E681" s="5">
        <f t="shared" si="435"/>
        <v>0</v>
      </c>
      <c r="F681" s="5">
        <f t="shared" si="435"/>
        <v>0</v>
      </c>
      <c r="G681" s="9">
        <f t="shared" si="437"/>
        <v>-1.4734872489811424E-2</v>
      </c>
      <c r="H681" s="9">
        <f t="shared" si="437"/>
        <v>5.4206523880462321E-3</v>
      </c>
      <c r="I681" s="5">
        <f t="shared" si="438"/>
        <v>13911354.30977029</v>
      </c>
      <c r="J681" s="5">
        <f t="shared" si="439"/>
        <v>13794906.442058008</v>
      </c>
      <c r="K681" s="8">
        <f t="shared" ref="K681:L681" si="477">I681/I429-1</f>
        <v>1.338741975438329E-2</v>
      </c>
      <c r="L681" s="8">
        <f t="shared" si="477"/>
        <v>0.19450228314068774</v>
      </c>
      <c r="M681" s="8">
        <f t="shared" si="431"/>
        <v>0.18111486338630445</v>
      </c>
    </row>
    <row r="682" spans="1:13" x14ac:dyDescent="0.3">
      <c r="A682" s="1">
        <v>45198</v>
      </c>
      <c r="B682" s="5">
        <v>19753643.686430231</v>
      </c>
      <c r="C682" s="5">
        <v>19364839.808997929</v>
      </c>
      <c r="D682" s="5">
        <v>0</v>
      </c>
      <c r="E682" s="5">
        <f t="shared" si="435"/>
        <v>0</v>
      </c>
      <c r="F682" s="5">
        <f t="shared" si="435"/>
        <v>0</v>
      </c>
      <c r="G682" s="9">
        <f t="shared" si="437"/>
        <v>1.0951071654202948E-2</v>
      </c>
      <c r="H682" s="9">
        <f t="shared" si="437"/>
        <v>-3.2757830924264875E-3</v>
      </c>
      <c r="I682" s="5">
        <f t="shared" si="438"/>
        <v>14063698.54762359</v>
      </c>
      <c r="J682" s="5">
        <f t="shared" si="439"/>
        <v>13749717.320773508</v>
      </c>
      <c r="K682" s="8">
        <f t="shared" ref="K682:L682" si="478">I682/I430-1</f>
        <v>4.3177713949736241E-2</v>
      </c>
      <c r="L682" s="8">
        <f t="shared" si="478"/>
        <v>0.20979461957183565</v>
      </c>
      <c r="M682" s="8">
        <f t="shared" si="431"/>
        <v>0.16661690562209941</v>
      </c>
    </row>
    <row r="683" spans="1:13" x14ac:dyDescent="0.3">
      <c r="A683" s="1">
        <v>45202</v>
      </c>
      <c r="B683" s="5">
        <v>20319470.867982712</v>
      </c>
      <c r="C683" s="5">
        <v>19633992.829291742</v>
      </c>
      <c r="D683" s="5">
        <v>500000</v>
      </c>
      <c r="E683" s="5">
        <f t="shared" si="435"/>
        <v>-500000</v>
      </c>
      <c r="F683" s="5">
        <f t="shared" si="435"/>
        <v>-500000</v>
      </c>
      <c r="G683" s="9">
        <f t="shared" si="437"/>
        <v>3.3324070534743733E-3</v>
      </c>
      <c r="H683" s="9">
        <f t="shared" si="437"/>
        <v>-1.1920934125100424E-2</v>
      </c>
      <c r="I683" s="5">
        <f t="shared" si="438"/>
        <v>14110564.515861629</v>
      </c>
      <c r="J683" s="5">
        <f t="shared" si="439"/>
        <v>13585807.846353816</v>
      </c>
      <c r="K683" s="8">
        <f t="shared" ref="K683:L683" si="479">I683/I431-1</f>
        <v>7.5871765109778444E-2</v>
      </c>
      <c r="L683" s="8">
        <f t="shared" si="479"/>
        <v>0.20060731274698762</v>
      </c>
      <c r="M683" s="8">
        <f t="shared" si="431"/>
        <v>0.12473554763720918</v>
      </c>
    </row>
    <row r="684" spans="1:13" x14ac:dyDescent="0.3">
      <c r="A684" s="1">
        <v>45203</v>
      </c>
      <c r="B684" s="5">
        <v>20038022.146632899</v>
      </c>
      <c r="C684" s="5">
        <v>19800419.261011355</v>
      </c>
      <c r="D684" s="5">
        <v>0</v>
      </c>
      <c r="E684" s="5">
        <f t="shared" si="435"/>
        <v>0</v>
      </c>
      <c r="F684" s="5">
        <f t="shared" si="435"/>
        <v>0</v>
      </c>
      <c r="G684" s="9">
        <f t="shared" si="437"/>
        <v>-1.3851183585360527E-2</v>
      </c>
      <c r="H684" s="9">
        <f t="shared" si="437"/>
        <v>8.4764435419026896E-3</v>
      </c>
      <c r="I684" s="5">
        <f t="shared" si="438"/>
        <v>13915116.496259356</v>
      </c>
      <c r="J684" s="5">
        <f t="shared" si="439"/>
        <v>13700967.179534573</v>
      </c>
      <c r="K684" s="8">
        <f t="shared" ref="K684:L684" si="480">I684/I432-1</f>
        <v>5.8169885421170964E-2</v>
      </c>
      <c r="L684" s="8">
        <f t="shared" si="480"/>
        <v>0.21283441911315371</v>
      </c>
      <c r="M684" s="8">
        <f t="shared" si="431"/>
        <v>0.15466453369198274</v>
      </c>
    </row>
    <row r="685" spans="1:13" x14ac:dyDescent="0.3">
      <c r="A685" s="1">
        <v>45204</v>
      </c>
      <c r="B685" s="5">
        <v>20086962.138611559</v>
      </c>
      <c r="C685" s="5">
        <v>19775799.083255868</v>
      </c>
      <c r="D685" s="5">
        <v>0</v>
      </c>
      <c r="E685" s="5">
        <f t="shared" si="435"/>
        <v>0</v>
      </c>
      <c r="F685" s="5">
        <f t="shared" si="435"/>
        <v>0</v>
      </c>
      <c r="G685" s="9">
        <f t="shared" si="437"/>
        <v>2.4423564172417755E-3</v>
      </c>
      <c r="H685" s="9">
        <f t="shared" si="437"/>
        <v>-1.2434169918797977E-3</v>
      </c>
      <c r="I685" s="5">
        <f t="shared" si="438"/>
        <v>13949102.170330662</v>
      </c>
      <c r="J685" s="5">
        <f t="shared" si="439"/>
        <v>13683931.164138352</v>
      </c>
      <c r="K685" s="8">
        <f t="shared" ref="K685:L685" si="481">I685/I433-1</f>
        <v>6.7407881144972093E-2</v>
      </c>
      <c r="L685" s="8">
        <f t="shared" si="481"/>
        <v>0.18817922154468536</v>
      </c>
      <c r="M685" s="8">
        <f t="shared" si="431"/>
        <v>0.12077134039971327</v>
      </c>
    </row>
    <row r="686" spans="1:13" x14ac:dyDescent="0.3">
      <c r="A686" s="1">
        <v>45205</v>
      </c>
      <c r="B686" s="5">
        <v>20213209.81092751</v>
      </c>
      <c r="C686" s="5">
        <v>20015065.887277614</v>
      </c>
      <c r="D686" s="5">
        <v>0</v>
      </c>
      <c r="E686" s="5">
        <f t="shared" si="435"/>
        <v>0</v>
      </c>
      <c r="F686" s="5">
        <f t="shared" si="435"/>
        <v>0</v>
      </c>
      <c r="G686" s="9">
        <f t="shared" si="437"/>
        <v>6.2850555223219473E-3</v>
      </c>
      <c r="H686" s="9">
        <f t="shared" si="437"/>
        <v>1.2098970211743998E-2</v>
      </c>
      <c r="I686" s="5">
        <f t="shared" si="438"/>
        <v>14036773.051957732</v>
      </c>
      <c r="J686" s="5">
        <f t="shared" si="439"/>
        <v>13849492.639672818</v>
      </c>
      <c r="K686" s="8">
        <f t="shared" ref="K686:L686" si="482">I686/I434-1</f>
        <v>7.7561802288674819E-2</v>
      </c>
      <c r="L686" s="8">
        <f t="shared" si="482"/>
        <v>0.22938643304429074</v>
      </c>
      <c r="M686" s="8">
        <f t="shared" si="431"/>
        <v>0.15182463075561592</v>
      </c>
    </row>
    <row r="687" spans="1:13" x14ac:dyDescent="0.3">
      <c r="A687" s="1">
        <v>45208</v>
      </c>
      <c r="B687" s="5">
        <v>19968885.45552548</v>
      </c>
      <c r="C687" s="5">
        <v>20130798.027182888</v>
      </c>
      <c r="D687" s="5">
        <v>0</v>
      </c>
      <c r="E687" s="5">
        <f t="shared" si="435"/>
        <v>0</v>
      </c>
      <c r="F687" s="5">
        <f t="shared" si="435"/>
        <v>0</v>
      </c>
      <c r="G687" s="9">
        <f t="shared" si="437"/>
        <v>-1.2087360576940376E-2</v>
      </c>
      <c r="H687" s="9">
        <f t="shared" si="437"/>
        <v>5.7822512579805974E-3</v>
      </c>
      <c r="I687" s="5">
        <f t="shared" si="438"/>
        <v>13867105.514742039</v>
      </c>
      <c r="J687" s="5">
        <f t="shared" si="439"/>
        <v>13929573.885910958</v>
      </c>
      <c r="K687" s="8">
        <f t="shared" ref="K687:L687" si="483">I687/I435-1</f>
        <v>5.3582051000423903E-2</v>
      </c>
      <c r="L687" s="8">
        <f t="shared" si="483"/>
        <v>0.25797466328843699</v>
      </c>
      <c r="M687" s="8">
        <f t="shared" si="431"/>
        <v>0.20439261228801309</v>
      </c>
    </row>
    <row r="688" spans="1:13" x14ac:dyDescent="0.3">
      <c r="A688" s="1">
        <v>45209</v>
      </c>
      <c r="B688" s="5">
        <v>20238292.551531862</v>
      </c>
      <c r="C688" s="5">
        <v>20246530.167088166</v>
      </c>
      <c r="D688" s="5">
        <v>0</v>
      </c>
      <c r="E688" s="5">
        <f t="shared" si="435"/>
        <v>0</v>
      </c>
      <c r="F688" s="5">
        <f t="shared" si="435"/>
        <v>0</v>
      </c>
      <c r="G688" s="9">
        <f t="shared" si="437"/>
        <v>1.3491343650921417E-2</v>
      </c>
      <c r="H688" s="9">
        <f t="shared" si="437"/>
        <v>5.7490090432084084E-3</v>
      </c>
      <c r="I688" s="5">
        <f t="shared" si="438"/>
        <v>14054191.400685012</v>
      </c>
      <c r="J688" s="5">
        <f t="shared" si="439"/>
        <v>14009655.1321491</v>
      </c>
      <c r="K688" s="8">
        <f t="shared" ref="K688:L688" si="484">I688/I436-1</f>
        <v>9.2889469266633329E-2</v>
      </c>
      <c r="L688" s="8">
        <f t="shared" si="484"/>
        <v>0.23040189069553807</v>
      </c>
      <c r="M688" s="8">
        <f t="shared" si="431"/>
        <v>0.13751242142890474</v>
      </c>
    </row>
    <row r="689" spans="1:13" x14ac:dyDescent="0.3">
      <c r="A689" s="1">
        <v>45210</v>
      </c>
      <c r="B689" s="5">
        <v>20342105.813215904</v>
      </c>
      <c r="C689" s="5">
        <v>20317332.028092153</v>
      </c>
      <c r="D689" s="5">
        <v>0</v>
      </c>
      <c r="E689" s="5">
        <f t="shared" si="435"/>
        <v>0</v>
      </c>
      <c r="F689" s="5">
        <f t="shared" si="435"/>
        <v>0</v>
      </c>
      <c r="G689" s="9">
        <f t="shared" si="437"/>
        <v>5.1295464486298403E-3</v>
      </c>
      <c r="H689" s="9">
        <f t="shared" si="437"/>
        <v>3.4969874057273476E-3</v>
      </c>
      <c r="I689" s="5">
        <f t="shared" si="438"/>
        <v>14126283.028272761</v>
      </c>
      <c r="J689" s="5">
        <f t="shared" si="439"/>
        <v>14058646.719704809</v>
      </c>
      <c r="K689" s="8">
        <f t="shared" ref="K689:L689" si="485">I689/I437-1</f>
        <v>7.3376351151162922E-2</v>
      </c>
      <c r="L689" s="8">
        <f t="shared" si="485"/>
        <v>0.19957736208620624</v>
      </c>
      <c r="M689" s="8">
        <f t="shared" si="431"/>
        <v>0.12620101093504332</v>
      </c>
    </row>
    <row r="690" spans="1:13" x14ac:dyDescent="0.3">
      <c r="A690" s="1">
        <v>45211</v>
      </c>
      <c r="B690" s="5">
        <v>20389301.472472336</v>
      </c>
      <c r="C690" s="5">
        <v>20216882.644377638</v>
      </c>
      <c r="D690" s="5">
        <v>0</v>
      </c>
      <c r="E690" s="5">
        <f t="shared" si="435"/>
        <v>0</v>
      </c>
      <c r="F690" s="5">
        <f t="shared" si="435"/>
        <v>0</v>
      </c>
      <c r="G690" s="9">
        <f t="shared" si="437"/>
        <v>2.320097028783108E-3</v>
      </c>
      <c r="H690" s="9">
        <f t="shared" si="437"/>
        <v>-4.9440243224665448E-3</v>
      </c>
      <c r="I690" s="5">
        <f t="shared" si="438"/>
        <v>14159057.375554405</v>
      </c>
      <c r="J690" s="5">
        <f t="shared" si="439"/>
        <v>13989140.428381624</v>
      </c>
      <c r="K690" s="8">
        <f t="shared" ref="K690:L690" si="486">I690/I438-1</f>
        <v>6.7394670415333868E-2</v>
      </c>
      <c r="L690" s="8">
        <f t="shared" si="486"/>
        <v>0.19903503586721705</v>
      </c>
      <c r="M690" s="8">
        <f t="shared" si="431"/>
        <v>0.13164036545188318</v>
      </c>
    </row>
    <row r="691" spans="1:13" x14ac:dyDescent="0.3">
      <c r="A691" s="1">
        <v>45212</v>
      </c>
      <c r="B691" s="5">
        <v>20366039.458724041</v>
      </c>
      <c r="C691" s="5">
        <v>20110656.831997968</v>
      </c>
      <c r="D691" s="5">
        <v>0</v>
      </c>
      <c r="E691" s="5">
        <f t="shared" si="435"/>
        <v>0</v>
      </c>
      <c r="F691" s="5">
        <f t="shared" si="435"/>
        <v>0</v>
      </c>
      <c r="G691" s="9">
        <f t="shared" si="437"/>
        <v>-1.140893118859454E-3</v>
      </c>
      <c r="H691" s="9">
        <f t="shared" si="437"/>
        <v>-5.2543121631668521E-3</v>
      </c>
      <c r="I691" s="5">
        <f t="shared" si="438"/>
        <v>14142903.404425099</v>
      </c>
      <c r="J691" s="5">
        <f t="shared" si="439"/>
        <v>13915637.117676528</v>
      </c>
      <c r="K691" s="8">
        <f t="shared" ref="K691:L691" si="487">I691/I439-1</f>
        <v>6.7953824041497857E-2</v>
      </c>
      <c r="L691" s="8">
        <f t="shared" si="487"/>
        <v>0.22318120065458147</v>
      </c>
      <c r="M691" s="8">
        <f t="shared" si="431"/>
        <v>0.15522737661308361</v>
      </c>
    </row>
    <row r="692" spans="1:13" x14ac:dyDescent="0.3">
      <c r="A692" s="1">
        <v>45215</v>
      </c>
      <c r="B692" s="5">
        <v>20425018.913122259</v>
      </c>
      <c r="C692" s="5">
        <v>20329220.886713706</v>
      </c>
      <c r="D692" s="5">
        <v>0</v>
      </c>
      <c r="E692" s="5">
        <f t="shared" si="435"/>
        <v>0</v>
      </c>
      <c r="F692" s="5">
        <f t="shared" si="435"/>
        <v>0</v>
      </c>
      <c r="G692" s="9">
        <f t="shared" si="437"/>
        <v>2.895970741771059E-3</v>
      </c>
      <c r="H692" s="9">
        <f t="shared" si="437"/>
        <v>1.0868071418133951E-2</v>
      </c>
      <c r="I692" s="5">
        <f t="shared" si="438"/>
        <v>14183860.838888008</v>
      </c>
      <c r="J692" s="5">
        <f t="shared" si="439"/>
        <v>14066873.255700272</v>
      </c>
      <c r="K692" s="8">
        <f t="shared" ref="K692:L692" si="488">I692/I440-1</f>
        <v>8.0017585320701912E-2</v>
      </c>
      <c r="L692" s="8">
        <f t="shared" si="488"/>
        <v>0.24590927296772724</v>
      </c>
      <c r="M692" s="8">
        <f t="shared" si="431"/>
        <v>0.16589168764702533</v>
      </c>
    </row>
    <row r="693" spans="1:13" x14ac:dyDescent="0.3">
      <c r="A693" s="1">
        <v>45216</v>
      </c>
      <c r="B693" s="5">
        <v>20499356.771507282</v>
      </c>
      <c r="C693" s="5">
        <v>20312529.459982447</v>
      </c>
      <c r="D693" s="5">
        <v>0</v>
      </c>
      <c r="E693" s="5">
        <f t="shared" si="435"/>
        <v>0</v>
      </c>
      <c r="F693" s="5">
        <f t="shared" si="435"/>
        <v>0</v>
      </c>
      <c r="G693" s="9">
        <f t="shared" si="437"/>
        <v>3.6395490599649971E-3</v>
      </c>
      <c r="H693" s="9">
        <f t="shared" si="437"/>
        <v>-8.2105589900727249E-4</v>
      </c>
      <c r="I693" s="5">
        <f t="shared" si="438"/>
        <v>14235483.696270857</v>
      </c>
      <c r="J693" s="5">
        <f t="shared" si="439"/>
        <v>14055323.566433091</v>
      </c>
      <c r="K693" s="8">
        <f t="shared" ref="K693:L693" si="489">I693/I441-1</f>
        <v>0.10425602909162879</v>
      </c>
      <c r="L693" s="8">
        <f t="shared" si="489"/>
        <v>0.25445799715857209</v>
      </c>
      <c r="M693" s="8">
        <f t="shared" si="431"/>
        <v>0.1502019680669433</v>
      </c>
    </row>
    <row r="694" spans="1:13" x14ac:dyDescent="0.3">
      <c r="A694" s="1">
        <v>45217</v>
      </c>
      <c r="B694" s="5">
        <v>20289581.663125504</v>
      </c>
      <c r="C694" s="5">
        <v>20047581.448723555</v>
      </c>
      <c r="D694" s="5">
        <v>0</v>
      </c>
      <c r="E694" s="5">
        <f t="shared" si="435"/>
        <v>0</v>
      </c>
      <c r="F694" s="5">
        <f t="shared" si="435"/>
        <v>0</v>
      </c>
      <c r="G694" s="9">
        <f t="shared" si="437"/>
        <v>-1.0233253204966486E-2</v>
      </c>
      <c r="H694" s="9">
        <f t="shared" si="437"/>
        <v>-1.3043575482849845E-2</v>
      </c>
      <c r="I694" s="5">
        <f t="shared" si="438"/>
        <v>14089808.387111746</v>
      </c>
      <c r="J694" s="5">
        <f t="shared" si="439"/>
        <v>13871991.892558442</v>
      </c>
      <c r="K694" s="8">
        <f t="shared" ref="K694:L694" si="490">I694/I442-1</f>
        <v>8.4259778857396661E-2</v>
      </c>
      <c r="L694" s="8">
        <f t="shared" si="490"/>
        <v>0.24169648318389281</v>
      </c>
      <c r="M694" s="8">
        <f t="shared" si="431"/>
        <v>0.15743670432649615</v>
      </c>
    </row>
    <row r="695" spans="1:13" x14ac:dyDescent="0.3">
      <c r="A695" s="1">
        <v>45218</v>
      </c>
      <c r="B695" s="5">
        <v>20224035.496307641</v>
      </c>
      <c r="C695" s="5">
        <v>19843391.989664663</v>
      </c>
      <c r="D695" s="5">
        <v>0</v>
      </c>
      <c r="E695" s="5">
        <f t="shared" si="435"/>
        <v>0</v>
      </c>
      <c r="F695" s="5">
        <f t="shared" si="435"/>
        <v>0</v>
      </c>
      <c r="G695" s="9">
        <f t="shared" si="437"/>
        <v>-3.2305331823073713E-3</v>
      </c>
      <c r="H695" s="9">
        <f t="shared" si="437"/>
        <v>-1.0185241525575317E-2</v>
      </c>
      <c r="I695" s="5">
        <f t="shared" si="438"/>
        <v>14044290.793584829</v>
      </c>
      <c r="J695" s="5">
        <f t="shared" si="439"/>
        <v>13730702.304691913</v>
      </c>
      <c r="K695" s="8">
        <f t="shared" ref="K695:L695" si="491">I695/I443-1</f>
        <v>9.1441557279232644E-2</v>
      </c>
      <c r="L695" s="8">
        <f t="shared" si="491"/>
        <v>0.19735212316528106</v>
      </c>
      <c r="M695" s="8">
        <f t="shared" si="431"/>
        <v>0.10591056588604841</v>
      </c>
    </row>
    <row r="696" spans="1:13" x14ac:dyDescent="0.3">
      <c r="A696" s="1">
        <v>45219</v>
      </c>
      <c r="B696" s="5">
        <v>20032092.051995099</v>
      </c>
      <c r="C696" s="5">
        <v>19603720.897715114</v>
      </c>
      <c r="D696" s="5">
        <v>0</v>
      </c>
      <c r="E696" s="5">
        <f t="shared" si="435"/>
        <v>0</v>
      </c>
      <c r="F696" s="5">
        <f t="shared" si="435"/>
        <v>0</v>
      </c>
      <c r="G696" s="9">
        <f t="shared" si="437"/>
        <v>-9.4908577641483749E-3</v>
      </c>
      <c r="H696" s="9">
        <f t="shared" si="437"/>
        <v>-1.2078131202285403E-2</v>
      </c>
      <c r="I696" s="5">
        <f t="shared" si="438"/>
        <v>13910998.427264577</v>
      </c>
      <c r="J696" s="5">
        <f t="shared" si="439"/>
        <v>13564861.080756322</v>
      </c>
      <c r="K696" s="8">
        <f t="shared" ref="K696:L696" si="492">I696/I444-1</f>
        <v>8.5014874525555229E-2</v>
      </c>
      <c r="L696" s="8">
        <f t="shared" si="492"/>
        <v>0.21151281186517101</v>
      </c>
      <c r="M696" s="8">
        <f t="shared" si="431"/>
        <v>0.12649793733961578</v>
      </c>
    </row>
    <row r="697" spans="1:13" x14ac:dyDescent="0.3">
      <c r="A697" s="1">
        <v>45222</v>
      </c>
      <c r="B697" s="5">
        <v>19644060.781610258</v>
      </c>
      <c r="C697" s="5">
        <v>19582480.132484715</v>
      </c>
      <c r="D697" s="5">
        <v>0</v>
      </c>
      <c r="E697" s="5">
        <f t="shared" si="435"/>
        <v>0</v>
      </c>
      <c r="F697" s="5">
        <f t="shared" si="435"/>
        <v>0</v>
      </c>
      <c r="G697" s="9">
        <f t="shared" si="437"/>
        <v>-1.9370481594117583E-2</v>
      </c>
      <c r="H697" s="9">
        <f t="shared" si="437"/>
        <v>-1.0835068169571249E-3</v>
      </c>
      <c r="I697" s="5">
        <f t="shared" si="438"/>
        <v>13641535.68827345</v>
      </c>
      <c r="J697" s="5">
        <f t="shared" si="439"/>
        <v>13550163.461304246</v>
      </c>
      <c r="K697" s="8">
        <f t="shared" ref="K697:L697" si="493">I697/I445-1</f>
        <v>5.7135745894797418E-2</v>
      </c>
      <c r="L697" s="8">
        <f t="shared" si="493"/>
        <v>0.18070076789163925</v>
      </c>
      <c r="M697" s="8">
        <f t="shared" si="431"/>
        <v>0.12356502199684183</v>
      </c>
    </row>
    <row r="698" spans="1:13" x14ac:dyDescent="0.3">
      <c r="A698" s="1">
        <v>45224</v>
      </c>
      <c r="B698" s="5">
        <v>19524414.835691947</v>
      </c>
      <c r="C698" s="5">
        <v>19440082.061003756</v>
      </c>
      <c r="D698" s="5">
        <v>0</v>
      </c>
      <c r="E698" s="5">
        <f t="shared" si="435"/>
        <v>0</v>
      </c>
      <c r="F698" s="5">
        <f t="shared" si="435"/>
        <v>0</v>
      </c>
      <c r="G698" s="9">
        <f t="shared" si="437"/>
        <v>-6.0906931234053774E-3</v>
      </c>
      <c r="H698" s="9">
        <f t="shared" si="437"/>
        <v>-7.2717076957345972E-3</v>
      </c>
      <c r="I698" s="5">
        <f t="shared" si="438"/>
        <v>13558449.280664194</v>
      </c>
      <c r="J698" s="5">
        <f t="shared" si="439"/>
        <v>13451630.633384218</v>
      </c>
      <c r="K698" s="8">
        <f t="shared" ref="K698:L698" si="494">I698/I446-1</f>
        <v>3.9965934636619016E-2</v>
      </c>
      <c r="L698" s="8">
        <f t="shared" si="494"/>
        <v>0.1570169403978694</v>
      </c>
      <c r="M698" s="8">
        <f t="shared" si="431"/>
        <v>0.11705100576125038</v>
      </c>
    </row>
    <row r="699" spans="1:13" x14ac:dyDescent="0.3">
      <c r="A699" s="1">
        <v>45225</v>
      </c>
      <c r="B699" s="5">
        <v>19333677.782075986</v>
      </c>
      <c r="C699" s="5">
        <v>19224218.432370063</v>
      </c>
      <c r="D699" s="5">
        <v>0</v>
      </c>
      <c r="E699" s="5">
        <f t="shared" si="435"/>
        <v>0</v>
      </c>
      <c r="F699" s="5">
        <f t="shared" si="435"/>
        <v>0</v>
      </c>
      <c r="G699" s="9">
        <f t="shared" si="437"/>
        <v>-9.7691559629885516E-3</v>
      </c>
      <c r="H699" s="9">
        <f t="shared" si="437"/>
        <v>-1.1104049250219461E-2</v>
      </c>
      <c r="I699" s="5">
        <f t="shared" si="438"/>
        <v>13425994.675025117</v>
      </c>
      <c r="J699" s="5">
        <f t="shared" si="439"/>
        <v>13302263.064335359</v>
      </c>
      <c r="K699" s="8">
        <f t="shared" ref="K699:L699" si="495">I699/I447-1</f>
        <v>3.1060979518227505E-2</v>
      </c>
      <c r="L699" s="8">
        <f t="shared" si="495"/>
        <v>0.14269310569767701</v>
      </c>
      <c r="M699" s="8">
        <f t="shared" si="431"/>
        <v>0.11163212617944951</v>
      </c>
    </row>
    <row r="700" spans="1:13" x14ac:dyDescent="0.3">
      <c r="A700" s="1">
        <v>45226</v>
      </c>
      <c r="B700" s="5">
        <v>19714661.693615898</v>
      </c>
      <c r="C700" s="5">
        <v>19139197.948595002</v>
      </c>
      <c r="D700" s="5">
        <v>0</v>
      </c>
      <c r="E700" s="5">
        <f t="shared" si="435"/>
        <v>0</v>
      </c>
      <c r="F700" s="5">
        <f t="shared" si="435"/>
        <v>0</v>
      </c>
      <c r="G700" s="9">
        <f t="shared" si="437"/>
        <v>1.9705713306814143E-2</v>
      </c>
      <c r="H700" s="9">
        <f t="shared" si="437"/>
        <v>-4.4225716678240046E-3</v>
      </c>
      <c r="I700" s="5">
        <f t="shared" si="438"/>
        <v>13690563.476949975</v>
      </c>
      <c r="J700" s="5">
        <f t="shared" si="439"/>
        <v>13243432.852589088</v>
      </c>
      <c r="K700" s="8">
        <f t="shared" ref="K700:L700" si="496">I700/I448-1</f>
        <v>4.1289696506693563E-2</v>
      </c>
      <c r="L700" s="8">
        <f t="shared" si="496"/>
        <v>0.15064983070291005</v>
      </c>
      <c r="M700" s="8">
        <f t="shared" si="431"/>
        <v>0.10936013419621649</v>
      </c>
    </row>
    <row r="701" spans="1:13" x14ac:dyDescent="0.3">
      <c r="A701" s="1">
        <v>45229</v>
      </c>
      <c r="B701" s="5">
        <v>19745750.922991872</v>
      </c>
      <c r="C701" s="5">
        <v>19366130.220227055</v>
      </c>
      <c r="D701" s="5">
        <v>0</v>
      </c>
      <c r="E701" s="5">
        <f t="shared" si="435"/>
        <v>0</v>
      </c>
      <c r="F701" s="5">
        <f t="shared" si="435"/>
        <v>0</v>
      </c>
      <c r="G701" s="9">
        <f t="shared" si="437"/>
        <v>1.5769598210271241E-3</v>
      </c>
      <c r="H701" s="9">
        <f t="shared" si="437"/>
        <v>1.1856937382724198E-2</v>
      </c>
      <c r="I701" s="5">
        <f t="shared" si="438"/>
        <v>13712152.945480347</v>
      </c>
      <c r="J701" s="5">
        <f t="shared" si="439"/>
        <v>13400459.40665455</v>
      </c>
      <c r="K701" s="8">
        <f t="shared" ref="K701:L701" si="497">I701/I449-1</f>
        <v>5.6967752697357987E-2</v>
      </c>
      <c r="L701" s="8">
        <f t="shared" si="497"/>
        <v>0.1383905618314889</v>
      </c>
      <c r="M701" s="8">
        <f t="shared" si="431"/>
        <v>8.1422809134130913E-2</v>
      </c>
    </row>
    <row r="702" spans="1:13" x14ac:dyDescent="0.3">
      <c r="A702" s="1">
        <v>45230</v>
      </c>
      <c r="B702" s="5">
        <v>19796333.388847671</v>
      </c>
      <c r="C702" s="5">
        <v>19495196.619227681</v>
      </c>
      <c r="D702" s="5">
        <v>0</v>
      </c>
      <c r="E702" s="5">
        <f t="shared" si="435"/>
        <v>0</v>
      </c>
      <c r="F702" s="5">
        <f t="shared" si="435"/>
        <v>0</v>
      </c>
      <c r="G702" s="9">
        <f t="shared" si="437"/>
        <v>2.5616886414232543E-3</v>
      </c>
      <c r="H702" s="9">
        <f t="shared" si="437"/>
        <v>6.6645425561489002E-3</v>
      </c>
      <c r="I702" s="5">
        <f t="shared" si="438"/>
        <v>13747279.211930241</v>
      </c>
      <c r="J702" s="5">
        <f t="shared" si="439"/>
        <v>13489767.338642145</v>
      </c>
      <c r="K702" s="8">
        <f t="shared" ref="K702:L702" si="498">I702/I450-1</f>
        <v>5.6275990913531526E-2</v>
      </c>
      <c r="L702" s="8">
        <f t="shared" si="498"/>
        <v>0.13115121500830851</v>
      </c>
      <c r="M702" s="8">
        <f t="shared" si="431"/>
        <v>7.4875224094776982E-2</v>
      </c>
    </row>
    <row r="703" spans="1:13" x14ac:dyDescent="0.3">
      <c r="A703" s="1">
        <v>45231</v>
      </c>
      <c r="B703" s="5">
        <v>19690218.753882293</v>
      </c>
      <c r="C703" s="5">
        <v>19695359.494683202</v>
      </c>
      <c r="D703" s="5">
        <v>0</v>
      </c>
      <c r="E703" s="5">
        <f t="shared" si="435"/>
        <v>0</v>
      </c>
      <c r="F703" s="5">
        <f t="shared" si="435"/>
        <v>0</v>
      </c>
      <c r="G703" s="9">
        <f t="shared" si="437"/>
        <v>-5.3603176346362913E-3</v>
      </c>
      <c r="H703" s="9">
        <f t="shared" si="437"/>
        <v>1.0267291957348323E-2</v>
      </c>
      <c r="I703" s="5">
        <f t="shared" si="438"/>
        <v>13673589.428742263</v>
      </c>
      <c r="J703" s="5">
        <f t="shared" si="439"/>
        <v>13628270.718344685</v>
      </c>
      <c r="K703" s="8">
        <f t="shared" ref="K703:L703" si="499">I703/I451-1</f>
        <v>5.0544073493951513E-2</v>
      </c>
      <c r="L703" s="8">
        <f t="shared" si="499"/>
        <v>0.12774048307482877</v>
      </c>
      <c r="M703" s="8">
        <f t="shared" ref="M703:M766" si="500">L703-K703</f>
        <v>7.7196409580877257E-2</v>
      </c>
    </row>
    <row r="704" spans="1:13" x14ac:dyDescent="0.3">
      <c r="A704" s="1">
        <v>45232</v>
      </c>
      <c r="B704" s="5">
        <v>19990625.952775188</v>
      </c>
      <c r="C704" s="5">
        <v>20063260.474335548</v>
      </c>
      <c r="D704" s="5">
        <v>0</v>
      </c>
      <c r="E704" s="5">
        <f t="shared" si="435"/>
        <v>0</v>
      </c>
      <c r="F704" s="5">
        <f t="shared" si="435"/>
        <v>0</v>
      </c>
      <c r="G704" s="9">
        <f t="shared" si="437"/>
        <v>1.5256671479775497E-2</v>
      </c>
      <c r="H704" s="9">
        <f t="shared" si="437"/>
        <v>1.8679576767901107E-2</v>
      </c>
      <c r="I704" s="5">
        <f t="shared" si="438"/>
        <v>13882202.890605915</v>
      </c>
      <c r="J704" s="5">
        <f t="shared" si="439"/>
        <v>13882841.047441743</v>
      </c>
      <c r="K704" s="8">
        <f t="shared" ref="K704:L704" si="501">I704/I452-1</f>
        <v>5.4374246397061787E-2</v>
      </c>
      <c r="L704" s="8">
        <f t="shared" si="501"/>
        <v>0.16553364565416073</v>
      </c>
      <c r="M704" s="8">
        <f t="shared" si="500"/>
        <v>0.11115939925709895</v>
      </c>
    </row>
    <row r="705" spans="1:13" x14ac:dyDescent="0.3">
      <c r="A705" s="1">
        <v>45233</v>
      </c>
      <c r="B705" s="5">
        <v>20185742.936730184</v>
      </c>
      <c r="C705" s="5">
        <v>20233218.670204997</v>
      </c>
      <c r="D705" s="5">
        <v>0</v>
      </c>
      <c r="E705" s="5">
        <f t="shared" si="435"/>
        <v>0</v>
      </c>
      <c r="F705" s="5">
        <f t="shared" si="435"/>
        <v>0</v>
      </c>
      <c r="G705" s="9">
        <f t="shared" si="437"/>
        <v>9.760423931493234E-3</v>
      </c>
      <c r="H705" s="9">
        <f t="shared" si="437"/>
        <v>8.4711154543826162E-3</v>
      </c>
      <c r="I705" s="5">
        <f t="shared" si="438"/>
        <v>14017699.07592123</v>
      </c>
      <c r="J705" s="5">
        <f t="shared" si="439"/>
        <v>14000444.196789464</v>
      </c>
      <c r="K705" s="8">
        <f t="shared" ref="K705:L705" si="502">I705/I453-1</f>
        <v>6.9858244868179042E-2</v>
      </c>
      <c r="L705" s="8">
        <f t="shared" si="502"/>
        <v>0.14746370060583303</v>
      </c>
      <c r="M705" s="8">
        <f t="shared" si="500"/>
        <v>7.7605455737653983E-2</v>
      </c>
    </row>
    <row r="706" spans="1:13" x14ac:dyDescent="0.3">
      <c r="A706" s="1">
        <v>45236</v>
      </c>
      <c r="B706" s="5">
        <v>20352495.415415466</v>
      </c>
      <c r="C706" s="5">
        <v>20281493.959651589</v>
      </c>
      <c r="D706" s="5">
        <v>0</v>
      </c>
      <c r="E706" s="5">
        <f t="shared" si="435"/>
        <v>0</v>
      </c>
      <c r="F706" s="5">
        <f t="shared" si="435"/>
        <v>0</v>
      </c>
      <c r="G706" s="9">
        <f t="shared" si="437"/>
        <v>8.2609037085208392E-3</v>
      </c>
      <c r="H706" s="9">
        <f t="shared" si="437"/>
        <v>2.3859421594489838E-3</v>
      </c>
      <c r="I706" s="5">
        <f t="shared" si="438"/>
        <v>14133497.938202437</v>
      </c>
      <c r="J706" s="5">
        <f t="shared" si="439"/>
        <v>14033848.446849598</v>
      </c>
      <c r="K706" s="8">
        <f t="shared" ref="K706:L706" si="503">I706/I454-1</f>
        <v>6.7475588840395062E-2</v>
      </c>
      <c r="L706" s="8">
        <f t="shared" si="503"/>
        <v>0.15319158680546874</v>
      </c>
      <c r="M706" s="8">
        <f t="shared" si="500"/>
        <v>8.5715997965073676E-2</v>
      </c>
    </row>
    <row r="707" spans="1:13" x14ac:dyDescent="0.3">
      <c r="A707" s="1">
        <v>45237</v>
      </c>
      <c r="B707" s="5">
        <v>20519464.344146572</v>
      </c>
      <c r="C707" s="5">
        <v>20346798.487751201</v>
      </c>
      <c r="D707" s="5">
        <v>0</v>
      </c>
      <c r="E707" s="5">
        <f t="shared" ref="E707:F770" si="504">$D707*-1</f>
        <v>0</v>
      </c>
      <c r="F707" s="5">
        <f t="shared" si="504"/>
        <v>0</v>
      </c>
      <c r="G707" s="9">
        <f t="shared" si="437"/>
        <v>8.2038553662879821E-3</v>
      </c>
      <c r="H707" s="9">
        <f t="shared" si="437"/>
        <v>3.2199071838361348E-3</v>
      </c>
      <c r="I707" s="5">
        <f t="shared" si="438"/>
        <v>14249447.11110718</v>
      </c>
      <c r="J707" s="5">
        <f t="shared" si="439"/>
        <v>14079036.136280477</v>
      </c>
      <c r="K707" s="8">
        <f t="shared" ref="K707:L707" si="505">I707/I455-1</f>
        <v>6.5355663098130012E-2</v>
      </c>
      <c r="L707" s="8">
        <f t="shared" si="505"/>
        <v>0.16320618360226402</v>
      </c>
      <c r="M707" s="8">
        <f t="shared" si="500"/>
        <v>9.7850520504134009E-2</v>
      </c>
    </row>
    <row r="708" spans="1:13" x14ac:dyDescent="0.3">
      <c r="A708" s="1">
        <v>45238</v>
      </c>
      <c r="B708" s="5">
        <v>20655184.889056243</v>
      </c>
      <c r="C708" s="5">
        <v>20382944.88070228</v>
      </c>
      <c r="D708" s="5">
        <v>0</v>
      </c>
      <c r="E708" s="5">
        <f t="shared" si="504"/>
        <v>0</v>
      </c>
      <c r="F708" s="5">
        <f t="shared" si="504"/>
        <v>0</v>
      </c>
      <c r="G708" s="9">
        <f t="shared" ref="G708:H771" si="506">((B708-$D708)/B707-1)</f>
        <v>6.6142343013153582E-3</v>
      </c>
      <c r="H708" s="9">
        <f t="shared" si="506"/>
        <v>1.7765150115798267E-3</v>
      </c>
      <c r="I708" s="5">
        <f t="shared" ref="I708:I771" si="507">I707*(1+G708)</f>
        <v>14343696.292964244</v>
      </c>
      <c r="J708" s="5">
        <f t="shared" ref="J708:J771" si="508">J707*(1+H708)</f>
        <v>14104047.755325153</v>
      </c>
      <c r="K708" s="8">
        <f t="shared" ref="K708:L708" si="509">I708/I456-1</f>
        <v>7.4663947976568057E-2</v>
      </c>
      <c r="L708" s="8">
        <f t="shared" si="509"/>
        <v>0.19370259674063961</v>
      </c>
      <c r="M708" s="8">
        <f t="shared" si="500"/>
        <v>0.11903864876407155</v>
      </c>
    </row>
    <row r="709" spans="1:13" x14ac:dyDescent="0.3">
      <c r="A709" s="1">
        <v>45239</v>
      </c>
      <c r="B709" s="5">
        <v>20552492.074668236</v>
      </c>
      <c r="C709" s="5">
        <v>20214832.751973402</v>
      </c>
      <c r="D709" s="5">
        <v>0</v>
      </c>
      <c r="E709" s="5">
        <f t="shared" si="504"/>
        <v>0</v>
      </c>
      <c r="F709" s="5">
        <f t="shared" si="504"/>
        <v>0</v>
      </c>
      <c r="G709" s="9">
        <f t="shared" si="506"/>
        <v>-4.9717693131091645E-3</v>
      </c>
      <c r="H709" s="9">
        <f t="shared" si="506"/>
        <v>-8.2476859802549374E-3</v>
      </c>
      <c r="I709" s="5">
        <f t="shared" si="507"/>
        <v>14272382.743898327</v>
      </c>
      <c r="J709" s="5">
        <f t="shared" si="508"/>
        <v>13987721.998388711</v>
      </c>
      <c r="K709" s="8">
        <f t="shared" ref="K709:L709" si="510">I709/I457-1</f>
        <v>6.7936833901531823E-2</v>
      </c>
      <c r="L709" s="8">
        <f t="shared" si="510"/>
        <v>0.19579073914873768</v>
      </c>
      <c r="M709" s="8">
        <f t="shared" si="500"/>
        <v>0.12785390524720586</v>
      </c>
    </row>
    <row r="710" spans="1:13" x14ac:dyDescent="0.3">
      <c r="A710" s="1">
        <v>45240</v>
      </c>
      <c r="B710" s="5">
        <v>20583622.68420003</v>
      </c>
      <c r="C710" s="5">
        <v>20374904.387909137</v>
      </c>
      <c r="D710" s="5">
        <v>0</v>
      </c>
      <c r="E710" s="5">
        <f t="shared" si="504"/>
        <v>0</v>
      </c>
      <c r="F710" s="5">
        <f t="shared" si="504"/>
        <v>0</v>
      </c>
      <c r="G710" s="9">
        <f t="shared" si="506"/>
        <v>1.5146878256269147E-3</v>
      </c>
      <c r="H710" s="9">
        <f t="shared" si="506"/>
        <v>7.9185238829200255E-3</v>
      </c>
      <c r="I710" s="5">
        <f t="shared" si="507"/>
        <v>14294000.948283197</v>
      </c>
      <c r="J710" s="5">
        <f t="shared" si="508"/>
        <v>14098484.109100599</v>
      </c>
      <c r="K710" s="8">
        <f t="shared" ref="K710:L710" si="511">I710/I458-1</f>
        <v>6.7578372186974045E-2</v>
      </c>
      <c r="L710" s="8">
        <f t="shared" si="511"/>
        <v>0.19939564085291295</v>
      </c>
      <c r="M710" s="8">
        <f t="shared" si="500"/>
        <v>0.1318172686659389</v>
      </c>
    </row>
    <row r="711" spans="1:13" x14ac:dyDescent="0.3">
      <c r="A711" s="1">
        <v>45242</v>
      </c>
      <c r="B711" s="5">
        <v>20682104.271961194</v>
      </c>
      <c r="C711" s="5">
        <v>20534976.023844875</v>
      </c>
      <c r="D711" s="5">
        <v>0</v>
      </c>
      <c r="E711" s="5">
        <f t="shared" si="504"/>
        <v>0</v>
      </c>
      <c r="F711" s="5">
        <f t="shared" si="504"/>
        <v>0</v>
      </c>
      <c r="G711" s="9">
        <f t="shared" si="506"/>
        <v>4.7844633217435373E-3</v>
      </c>
      <c r="H711" s="9">
        <f t="shared" si="506"/>
        <v>7.8563134770206489E-3</v>
      </c>
      <c r="I711" s="5">
        <f t="shared" si="507"/>
        <v>14362390.071541226</v>
      </c>
      <c r="J711" s="5">
        <f t="shared" si="508"/>
        <v>14209246.219812488</v>
      </c>
      <c r="K711" s="8">
        <f t="shared" ref="K711:L711" si="512">I711/I459-1</f>
        <v>6.8046665661769756E-2</v>
      </c>
      <c r="L711" s="8">
        <f t="shared" si="512"/>
        <v>0.1984514690308512</v>
      </c>
      <c r="M711" s="8">
        <f t="shared" si="500"/>
        <v>0.13040480336908145</v>
      </c>
    </row>
    <row r="712" spans="1:13" x14ac:dyDescent="0.3">
      <c r="A712" s="1">
        <v>45243</v>
      </c>
      <c r="B712" s="5">
        <v>20701788.493775573</v>
      </c>
      <c r="C712" s="5">
        <v>20534976.023844875</v>
      </c>
      <c r="D712" s="5">
        <v>0</v>
      </c>
      <c r="E712" s="5">
        <f t="shared" si="504"/>
        <v>0</v>
      </c>
      <c r="F712" s="5">
        <f t="shared" si="504"/>
        <v>0</v>
      </c>
      <c r="G712" s="9">
        <f t="shared" si="506"/>
        <v>9.5175140573422468E-4</v>
      </c>
      <c r="H712" s="9">
        <f t="shared" si="506"/>
        <v>0</v>
      </c>
      <c r="I712" s="5">
        <f t="shared" si="507"/>
        <v>14376059.496481517</v>
      </c>
      <c r="J712" s="5">
        <f t="shared" si="508"/>
        <v>14209246.219812488</v>
      </c>
      <c r="K712" s="8">
        <f t="shared" ref="K712:L712" si="513">I712/I460-1</f>
        <v>7.1162355810463485E-2</v>
      </c>
      <c r="L712" s="8">
        <f t="shared" si="513"/>
        <v>0.22727827001724332</v>
      </c>
      <c r="M712" s="8">
        <f t="shared" si="500"/>
        <v>0.15611591420677984</v>
      </c>
    </row>
    <row r="713" spans="1:13" x14ac:dyDescent="0.3">
      <c r="A713" s="1">
        <v>45245</v>
      </c>
      <c r="B713" s="5">
        <v>20899350.090012819</v>
      </c>
      <c r="C713" s="5">
        <v>20915445.365884818</v>
      </c>
      <c r="D713" s="5">
        <v>0</v>
      </c>
      <c r="E713" s="5">
        <f t="shared" si="504"/>
        <v>0</v>
      </c>
      <c r="F713" s="5">
        <f t="shared" si="504"/>
        <v>0</v>
      </c>
      <c r="G713" s="9">
        <f t="shared" si="506"/>
        <v>9.543213925533367E-3</v>
      </c>
      <c r="H713" s="9">
        <f t="shared" si="506"/>
        <v>1.8527868822352023E-2</v>
      </c>
      <c r="I713" s="5">
        <f t="shared" si="507"/>
        <v>14513253.307662636</v>
      </c>
      <c r="J713" s="5">
        <f t="shared" si="508"/>
        <v>14472513.269837676</v>
      </c>
      <c r="K713" s="8">
        <f t="shared" ref="K713:L713" si="514">I713/I461-1</f>
        <v>9.2041773301221319E-2</v>
      </c>
      <c r="L713" s="8">
        <f t="shared" si="514"/>
        <v>0.19205143416340453</v>
      </c>
      <c r="M713" s="8">
        <f t="shared" si="500"/>
        <v>0.10000966086218321</v>
      </c>
    </row>
    <row r="714" spans="1:13" x14ac:dyDescent="0.3">
      <c r="A714" s="1">
        <v>45246</v>
      </c>
      <c r="B714" s="5">
        <v>20974085.834511489</v>
      </c>
      <c r="C714" s="5">
        <v>20973070.49264824</v>
      </c>
      <c r="D714" s="5">
        <v>0</v>
      </c>
      <c r="E714" s="5">
        <f t="shared" si="504"/>
        <v>0</v>
      </c>
      <c r="F714" s="5">
        <f t="shared" si="504"/>
        <v>0</v>
      </c>
      <c r="G714" s="9">
        <f t="shared" si="506"/>
        <v>3.5759841419367167E-3</v>
      </c>
      <c r="H714" s="9">
        <f t="shared" si="506"/>
        <v>2.7551470100375397E-3</v>
      </c>
      <c r="I714" s="5">
        <f t="shared" si="507"/>
        <v>14565152.471338749</v>
      </c>
      <c r="J714" s="5">
        <f t="shared" si="508"/>
        <v>14512387.171500798</v>
      </c>
      <c r="K714" s="8">
        <f t="shared" ref="K714:L714" si="515">I714/I462-1</f>
        <v>8.5519523448584822E-2</v>
      </c>
      <c r="L714" s="8">
        <f t="shared" si="515"/>
        <v>0.19314564428383485</v>
      </c>
      <c r="M714" s="8">
        <f t="shared" si="500"/>
        <v>0.10762612083525003</v>
      </c>
    </row>
    <row r="715" spans="1:13" x14ac:dyDescent="0.3">
      <c r="A715" s="1">
        <v>45247</v>
      </c>
      <c r="B715" s="5">
        <v>21089877.059760775</v>
      </c>
      <c r="C715" s="5">
        <v>21007978.672988713</v>
      </c>
      <c r="D715" s="5">
        <v>0</v>
      </c>
      <c r="E715" s="5">
        <f t="shared" si="504"/>
        <v>0</v>
      </c>
      <c r="F715" s="5">
        <f t="shared" si="504"/>
        <v>0</v>
      </c>
      <c r="G715" s="9">
        <f t="shared" si="506"/>
        <v>5.5206804321721314E-3</v>
      </c>
      <c r="H715" s="9">
        <f t="shared" si="506"/>
        <v>1.6644286945350917E-3</v>
      </c>
      <c r="I715" s="5">
        <f t="shared" si="507"/>
        <v>14645562.023578873</v>
      </c>
      <c r="J715" s="5">
        <f t="shared" si="508"/>
        <v>14536542.005135247</v>
      </c>
      <c r="K715" s="8">
        <f t="shared" ref="K715:L715" si="516">I715/I463-1</f>
        <v>8.5708812599570638E-2</v>
      </c>
      <c r="L715" s="8">
        <f t="shared" si="516"/>
        <v>0.19294586193386865</v>
      </c>
      <c r="M715" s="8">
        <f t="shared" si="500"/>
        <v>0.10723704933429801</v>
      </c>
    </row>
    <row r="716" spans="1:13" x14ac:dyDescent="0.3">
      <c r="A716" s="1">
        <v>45250</v>
      </c>
      <c r="B716" s="5">
        <v>21035226.606279045</v>
      </c>
      <c r="C716" s="5">
        <v>21185728.270624764</v>
      </c>
      <c r="D716" s="5">
        <v>0</v>
      </c>
      <c r="E716" s="5">
        <f t="shared" si="504"/>
        <v>0</v>
      </c>
      <c r="F716" s="5">
        <f t="shared" si="504"/>
        <v>0</v>
      </c>
      <c r="G716" s="9">
        <f t="shared" si="506"/>
        <v>-2.5913120938008127E-3</v>
      </c>
      <c r="H716" s="9">
        <f t="shared" si="506"/>
        <v>8.4610518890422259E-3</v>
      </c>
      <c r="I716" s="5">
        <f t="shared" si="507"/>
        <v>14607610.801586663</v>
      </c>
      <c r="J716" s="5">
        <f t="shared" si="508"/>
        <v>14659536.441327939</v>
      </c>
      <c r="K716" s="8">
        <f t="shared" ref="K716:L716" si="517">I716/I464-1</f>
        <v>8.1085254882562907E-2</v>
      </c>
      <c r="L716" s="8">
        <f t="shared" si="517"/>
        <v>0.193147597497066</v>
      </c>
      <c r="M716" s="8">
        <f t="shared" si="500"/>
        <v>0.1120623426145031</v>
      </c>
    </row>
    <row r="717" spans="1:13" x14ac:dyDescent="0.3">
      <c r="A717" s="1">
        <v>45251</v>
      </c>
      <c r="B717" s="5">
        <v>21035844.125527423</v>
      </c>
      <c r="C717" s="5">
        <v>21125655.947389867</v>
      </c>
      <c r="D717" s="5">
        <v>0</v>
      </c>
      <c r="E717" s="5">
        <f t="shared" si="504"/>
        <v>0</v>
      </c>
      <c r="F717" s="5">
        <f t="shared" si="504"/>
        <v>0</v>
      </c>
      <c r="G717" s="9">
        <f t="shared" si="506"/>
        <v>2.9356434325000791E-5</v>
      </c>
      <c r="H717" s="9">
        <f t="shared" si="506"/>
        <v>-2.8355090024538843E-3</v>
      </c>
      <c r="I717" s="5">
        <f t="shared" si="507"/>
        <v>14608039.628953805</v>
      </c>
      <c r="J717" s="5">
        <f t="shared" si="508"/>
        <v>14617969.193776753</v>
      </c>
      <c r="K717" s="8">
        <f t="shared" ref="K717:L717" si="518">I717/I465-1</f>
        <v>8.9096568896221084E-2</v>
      </c>
      <c r="L717" s="8">
        <f t="shared" si="518"/>
        <v>0.19173163375774127</v>
      </c>
      <c r="M717" s="8">
        <f t="shared" si="500"/>
        <v>0.10263506486152019</v>
      </c>
    </row>
    <row r="718" spans="1:13" x14ac:dyDescent="0.3">
      <c r="A718" s="1">
        <v>45252</v>
      </c>
      <c r="B718" s="5">
        <v>20956091.832907889</v>
      </c>
      <c r="C718" s="5">
        <v>21220197.502396151</v>
      </c>
      <c r="D718" s="5">
        <v>0</v>
      </c>
      <c r="E718" s="5">
        <f t="shared" si="504"/>
        <v>0</v>
      </c>
      <c r="F718" s="5">
        <f t="shared" si="504"/>
        <v>0</v>
      </c>
      <c r="G718" s="9">
        <f t="shared" si="506"/>
        <v>-3.7912570631170039E-3</v>
      </c>
      <c r="H718" s="9">
        <f t="shared" si="506"/>
        <v>4.475200923546474E-3</v>
      </c>
      <c r="I718" s="5">
        <f t="shared" si="507"/>
        <v>14552656.795532241</v>
      </c>
      <c r="J718" s="5">
        <f t="shared" si="508"/>
        <v>14683387.543013116</v>
      </c>
      <c r="K718" s="8">
        <f t="shared" ref="K718:L718" si="519">I718/I466-1</f>
        <v>9.3196055005427603E-2</v>
      </c>
      <c r="L718" s="8">
        <f t="shared" si="519"/>
        <v>0.1971451733451246</v>
      </c>
      <c r="M718" s="8">
        <f t="shared" si="500"/>
        <v>0.103949118339697</v>
      </c>
    </row>
    <row r="719" spans="1:13" x14ac:dyDescent="0.3">
      <c r="A719" s="1">
        <v>45253</v>
      </c>
      <c r="B719" s="5">
        <v>21016627.8177827</v>
      </c>
      <c r="C719" s="5">
        <v>21246086.156157993</v>
      </c>
      <c r="D719" s="5">
        <v>0</v>
      </c>
      <c r="E719" s="5">
        <f t="shared" si="504"/>
        <v>0</v>
      </c>
      <c r="F719" s="5">
        <f t="shared" si="504"/>
        <v>0</v>
      </c>
      <c r="G719" s="9">
        <f t="shared" si="506"/>
        <v>2.8887058406448229E-3</v>
      </c>
      <c r="H719" s="9">
        <f t="shared" si="506"/>
        <v>1.2200006036191535E-3</v>
      </c>
      <c r="I719" s="5">
        <f t="shared" si="507"/>
        <v>14594695.140214395</v>
      </c>
      <c r="J719" s="5">
        <f t="shared" si="508"/>
        <v>14701301.284678767</v>
      </c>
      <c r="K719" s="8">
        <f t="shared" ref="K719:L719" si="520">I719/I467-1</f>
        <v>0.10237056983233717</v>
      </c>
      <c r="L719" s="8">
        <f t="shared" si="520"/>
        <v>0.1918721985473637</v>
      </c>
      <c r="M719" s="8">
        <f t="shared" si="500"/>
        <v>8.9501628715026538E-2</v>
      </c>
    </row>
    <row r="720" spans="1:13" x14ac:dyDescent="0.3">
      <c r="A720" s="1">
        <v>45254</v>
      </c>
      <c r="B720" s="5">
        <v>20986092.445876926</v>
      </c>
      <c r="C720" s="5">
        <v>21246086.156157993</v>
      </c>
      <c r="D720" s="5">
        <v>0</v>
      </c>
      <c r="E720" s="5">
        <f t="shared" si="504"/>
        <v>0</v>
      </c>
      <c r="F720" s="5">
        <f t="shared" si="504"/>
        <v>0</v>
      </c>
      <c r="G720" s="9">
        <f t="shared" si="506"/>
        <v>-1.4529149095906524E-3</v>
      </c>
      <c r="H720" s="9">
        <f t="shared" si="506"/>
        <v>0</v>
      </c>
      <c r="I720" s="5">
        <f t="shared" si="507"/>
        <v>14573490.290044246</v>
      </c>
      <c r="J720" s="5">
        <f t="shared" si="508"/>
        <v>14701301.284678767</v>
      </c>
      <c r="K720" s="8">
        <f t="shared" ref="K720:L720" si="521">I720/I468-1</f>
        <v>0.10685292294633819</v>
      </c>
      <c r="L720" s="8">
        <f t="shared" si="521"/>
        <v>0.19755470936668251</v>
      </c>
      <c r="M720" s="8">
        <f t="shared" si="500"/>
        <v>9.0701786420344321E-2</v>
      </c>
    </row>
    <row r="721" spans="1:13" x14ac:dyDescent="0.3">
      <c r="A721" s="1">
        <v>45258</v>
      </c>
      <c r="B721" s="5">
        <v>21235627.517823283</v>
      </c>
      <c r="C721" s="5">
        <v>21223254.105366606</v>
      </c>
      <c r="D721" s="5">
        <v>0</v>
      </c>
      <c r="E721" s="5">
        <f t="shared" si="504"/>
        <v>0</v>
      </c>
      <c r="F721" s="5">
        <f t="shared" si="504"/>
        <v>0</v>
      </c>
      <c r="G721" s="9">
        <f t="shared" si="506"/>
        <v>1.189049712755752E-2</v>
      </c>
      <c r="H721" s="9">
        <f t="shared" si="506"/>
        <v>-1.0746473785134825E-3</v>
      </c>
      <c r="I721" s="5">
        <f t="shared" si="507"/>
        <v>14746776.334476504</v>
      </c>
      <c r="J721" s="5">
        <f t="shared" si="508"/>
        <v>14685502.569792449</v>
      </c>
      <c r="K721" s="8">
        <f t="shared" ref="K721:L721" si="522">I721/I469-1</f>
        <v>0.11733116992523507</v>
      </c>
      <c r="L721" s="8">
        <f t="shared" si="522"/>
        <v>0.18006573538895454</v>
      </c>
      <c r="M721" s="8">
        <f t="shared" si="500"/>
        <v>6.2734565463719472E-2</v>
      </c>
    </row>
    <row r="722" spans="1:13" x14ac:dyDescent="0.3">
      <c r="A722" s="1">
        <v>45259</v>
      </c>
      <c r="B722" s="5">
        <v>21382224.677535631</v>
      </c>
      <c r="C722" s="5">
        <v>21201761.403833151</v>
      </c>
      <c r="D722" s="5">
        <v>0</v>
      </c>
      <c r="E722" s="5">
        <f t="shared" si="504"/>
        <v>0</v>
      </c>
      <c r="F722" s="5">
        <f t="shared" si="504"/>
        <v>0</v>
      </c>
      <c r="G722" s="9">
        <f t="shared" si="506"/>
        <v>6.9033589701696929E-3</v>
      </c>
      <c r="H722" s="9">
        <f t="shared" si="506"/>
        <v>-1.0126958583613899E-3</v>
      </c>
      <c r="I722" s="5">
        <f t="shared" si="507"/>
        <v>14848578.625166198</v>
      </c>
      <c r="J722" s="5">
        <f t="shared" si="508"/>
        <v>14670630.622162065</v>
      </c>
      <c r="K722" s="8">
        <f t="shared" ref="K722:L722" si="523">I722/I470-1</f>
        <v>0.12290038475638121</v>
      </c>
      <c r="L722" s="8">
        <f t="shared" si="523"/>
        <v>0.17159098010317098</v>
      </c>
      <c r="M722" s="8">
        <f t="shared" si="500"/>
        <v>4.8690595346789767E-2</v>
      </c>
    </row>
    <row r="723" spans="1:13" x14ac:dyDescent="0.3">
      <c r="A723" s="1">
        <v>45260</v>
      </c>
      <c r="B723" s="5">
        <v>21622159.5533319</v>
      </c>
      <c r="C723" s="5">
        <v>21301165.53641763</v>
      </c>
      <c r="D723" s="5">
        <v>0</v>
      </c>
      <c r="E723" s="5">
        <f t="shared" si="504"/>
        <v>0</v>
      </c>
      <c r="F723" s="5">
        <f t="shared" si="504"/>
        <v>0</v>
      </c>
      <c r="G723" s="9">
        <f t="shared" si="506"/>
        <v>1.1221230691133233E-2</v>
      </c>
      <c r="H723" s="9">
        <f t="shared" si="506"/>
        <v>4.688484635361867E-3</v>
      </c>
      <c r="I723" s="5">
        <f t="shared" si="507"/>
        <v>15015197.951354617</v>
      </c>
      <c r="J723" s="5">
        <f t="shared" si="508"/>
        <v>14739413.648425141</v>
      </c>
      <c r="K723" s="8">
        <f t="shared" ref="K723:L723" si="524">I723/I471-1</f>
        <v>0.13116285839130759</v>
      </c>
      <c r="L723" s="8">
        <f t="shared" si="524"/>
        <v>0.17709560911228683</v>
      </c>
      <c r="M723" s="8">
        <f t="shared" si="500"/>
        <v>4.5932750720979243E-2</v>
      </c>
    </row>
    <row r="724" spans="1:13" x14ac:dyDescent="0.3">
      <c r="A724" s="1">
        <v>45261</v>
      </c>
      <c r="B724" s="5">
        <v>21831985.591136228</v>
      </c>
      <c r="C724" s="5">
        <v>21404966.138553504</v>
      </c>
      <c r="D724" s="5">
        <v>0</v>
      </c>
      <c r="E724" s="5">
        <f t="shared" si="504"/>
        <v>0</v>
      </c>
      <c r="F724" s="5">
        <f t="shared" si="504"/>
        <v>0</v>
      </c>
      <c r="G724" s="9">
        <f t="shared" si="506"/>
        <v>9.7042128140245598E-3</v>
      </c>
      <c r="H724" s="9">
        <f t="shared" si="506"/>
        <v>4.8730010551962799E-3</v>
      </c>
      <c r="I724" s="5">
        <f t="shared" si="507"/>
        <v>15160908.627719268</v>
      </c>
      <c r="J724" s="5">
        <f t="shared" si="508"/>
        <v>14811238.826686891</v>
      </c>
      <c r="K724" s="8">
        <f t="shared" ref="K724:L724" si="525">I724/I472-1</f>
        <v>0.13899840427943611</v>
      </c>
      <c r="L724" s="8">
        <f t="shared" si="525"/>
        <v>0.18283159725755782</v>
      </c>
      <c r="M724" s="8">
        <f t="shared" si="500"/>
        <v>4.3833192978121716E-2</v>
      </c>
    </row>
    <row r="725" spans="1:13" x14ac:dyDescent="0.3">
      <c r="A725" s="1">
        <v>45264</v>
      </c>
      <c r="B725" s="5">
        <v>22254518.362207692</v>
      </c>
      <c r="C725" s="5">
        <v>21322496.574512269</v>
      </c>
      <c r="D725" s="5">
        <v>0</v>
      </c>
      <c r="E725" s="5">
        <f t="shared" si="504"/>
        <v>0</v>
      </c>
      <c r="F725" s="5">
        <f t="shared" si="504"/>
        <v>0</v>
      </c>
      <c r="G725" s="9">
        <f t="shared" si="506"/>
        <v>1.9353840689736002E-2</v>
      </c>
      <c r="H725" s="9">
        <f t="shared" si="506"/>
        <v>-3.8528238497277378E-3</v>
      </c>
      <c r="I725" s="5">
        <f t="shared" si="507"/>
        <v>15454330.438011792</v>
      </c>
      <c r="J725" s="5">
        <f t="shared" si="508"/>
        <v>14754173.732491419</v>
      </c>
      <c r="K725" s="8">
        <f t="shared" ref="K725:L725" si="526">I725/I473-1</f>
        <v>0.15850250533021892</v>
      </c>
      <c r="L725" s="8">
        <f t="shared" si="526"/>
        <v>0.19850797827872624</v>
      </c>
      <c r="M725" s="8">
        <f t="shared" si="500"/>
        <v>4.0005472948507315E-2</v>
      </c>
    </row>
    <row r="726" spans="1:13" x14ac:dyDescent="0.3">
      <c r="A726" s="1">
        <v>45265</v>
      </c>
      <c r="B726" s="5">
        <v>22485314.5897457</v>
      </c>
      <c r="C726" s="5">
        <v>21293391.723633174</v>
      </c>
      <c r="D726" s="5">
        <v>0</v>
      </c>
      <c r="E726" s="5">
        <f t="shared" si="504"/>
        <v>0</v>
      </c>
      <c r="F726" s="5">
        <f t="shared" si="504"/>
        <v>0</v>
      </c>
      <c r="G726" s="9">
        <f t="shared" si="506"/>
        <v>1.0370758143656067E-2</v>
      </c>
      <c r="H726" s="9">
        <f t="shared" si="506"/>
        <v>-1.3649832596941414E-3</v>
      </c>
      <c r="I726" s="5">
        <f t="shared" si="507"/>
        <v>15614603.561256554</v>
      </c>
      <c r="J726" s="5">
        <f t="shared" si="508"/>
        <v>14734034.532335948</v>
      </c>
      <c r="K726" s="8">
        <f t="shared" ref="K726:L726" si="527">I726/I474-1</f>
        <v>0.16460903450108932</v>
      </c>
      <c r="L726" s="8">
        <f t="shared" si="527"/>
        <v>0.19867547248484096</v>
      </c>
      <c r="M726" s="8">
        <f t="shared" si="500"/>
        <v>3.4066437983751641E-2</v>
      </c>
    </row>
    <row r="727" spans="1:13" x14ac:dyDescent="0.3">
      <c r="A727" s="1">
        <v>45266</v>
      </c>
      <c r="B727" s="5">
        <v>22746464.753121667</v>
      </c>
      <c r="C727" s="5">
        <v>21208228.71737045</v>
      </c>
      <c r="D727" s="5">
        <v>0</v>
      </c>
      <c r="E727" s="5">
        <f t="shared" si="504"/>
        <v>0</v>
      </c>
      <c r="F727" s="5">
        <f t="shared" si="504"/>
        <v>0</v>
      </c>
      <c r="G727" s="9">
        <f t="shared" si="506"/>
        <v>1.1614254376279165E-2</v>
      </c>
      <c r="H727" s="9">
        <f t="shared" si="506"/>
        <v>-3.9995040418198124E-3</v>
      </c>
      <c r="I727" s="5">
        <f t="shared" si="507"/>
        <v>15795955.539001742</v>
      </c>
      <c r="J727" s="5">
        <f t="shared" si="508"/>
        <v>14675105.701671558</v>
      </c>
      <c r="K727" s="8">
        <f t="shared" ref="K727:L727" si="528">I727/I475-1</f>
        <v>0.16355182795278989</v>
      </c>
      <c r="L727" s="8">
        <f t="shared" si="528"/>
        <v>0.160295271684461</v>
      </c>
      <c r="M727" s="8">
        <f t="shared" si="500"/>
        <v>-3.2565562683288807E-3</v>
      </c>
    </row>
    <row r="728" spans="1:13" x14ac:dyDescent="0.3">
      <c r="A728" s="1">
        <v>45267</v>
      </c>
      <c r="B728" s="5">
        <v>22928028.144501369</v>
      </c>
      <c r="C728" s="5">
        <v>21380642.128217939</v>
      </c>
      <c r="D728" s="5">
        <v>0</v>
      </c>
      <c r="E728" s="5">
        <f t="shared" si="504"/>
        <v>0</v>
      </c>
      <c r="F728" s="5">
        <f t="shared" si="504"/>
        <v>0</v>
      </c>
      <c r="G728" s="9">
        <f t="shared" si="506"/>
        <v>7.9820487864947776E-3</v>
      </c>
      <c r="H728" s="9">
        <f t="shared" si="506"/>
        <v>8.1295525970197513E-3</v>
      </c>
      <c r="I728" s="5">
        <f t="shared" si="507"/>
        <v>15922039.626743356</v>
      </c>
      <c r="J728" s="5">
        <f t="shared" si="508"/>
        <v>14794407.74534012</v>
      </c>
      <c r="K728" s="8">
        <f t="shared" ref="K728:L728" si="529">I728/I476-1</f>
        <v>0.1683050556605703</v>
      </c>
      <c r="L728" s="8">
        <f t="shared" si="529"/>
        <v>0.17430022401537237</v>
      </c>
      <c r="M728" s="8">
        <f t="shared" si="500"/>
        <v>5.9951683548020718E-3</v>
      </c>
    </row>
    <row r="729" spans="1:13" x14ac:dyDescent="0.3">
      <c r="A729" s="1">
        <v>45268</v>
      </c>
      <c r="B729" s="5">
        <v>22787615.726539563</v>
      </c>
      <c r="C729" s="5">
        <v>21484162.341285523</v>
      </c>
      <c r="D729" s="5">
        <v>0</v>
      </c>
      <c r="E729" s="5">
        <f t="shared" si="504"/>
        <v>0</v>
      </c>
      <c r="F729" s="5">
        <f t="shared" si="504"/>
        <v>0</v>
      </c>
      <c r="G729" s="9">
        <f t="shared" si="506"/>
        <v>-6.1240511864724123E-3</v>
      </c>
      <c r="H729" s="9">
        <f t="shared" si="506"/>
        <v>4.8417728731804388E-3</v>
      </c>
      <c r="I729" s="5">
        <f t="shared" si="507"/>
        <v>15824532.241076138</v>
      </c>
      <c r="J729" s="5">
        <f t="shared" si="508"/>
        <v>14866038.907436278</v>
      </c>
      <c r="K729" s="8">
        <f t="shared" ref="K729:L729" si="530">I729/I477-1</f>
        <v>0.15948274396030326</v>
      </c>
      <c r="L729" s="8">
        <f t="shared" si="530"/>
        <v>0.17782065750193898</v>
      </c>
      <c r="M729" s="8">
        <f t="shared" si="500"/>
        <v>1.833791354163572E-2</v>
      </c>
    </row>
    <row r="730" spans="1:13" x14ac:dyDescent="0.3">
      <c r="A730" s="1">
        <v>45271</v>
      </c>
      <c r="B730" s="5">
        <v>23026675.252885807</v>
      </c>
      <c r="C730" s="5">
        <v>21568576.263838131</v>
      </c>
      <c r="D730" s="5">
        <v>0</v>
      </c>
      <c r="E730" s="5">
        <f t="shared" si="504"/>
        <v>0</v>
      </c>
      <c r="F730" s="5">
        <f t="shared" si="504"/>
        <v>0</v>
      </c>
      <c r="G730" s="9">
        <f t="shared" si="506"/>
        <v>1.0490765212782804E-2</v>
      </c>
      <c r="H730" s="9">
        <f t="shared" si="506"/>
        <v>3.9291232868032822E-3</v>
      </c>
      <c r="I730" s="5">
        <f t="shared" si="507"/>
        <v>15990543.69341938</v>
      </c>
      <c r="J730" s="5">
        <f t="shared" si="508"/>
        <v>14924449.40709001</v>
      </c>
      <c r="K730" s="8">
        <f t="shared" ref="K730:L730" si="531">I730/I478-1</f>
        <v>0.17365831182295222</v>
      </c>
      <c r="L730" s="8">
        <f t="shared" si="531"/>
        <v>0.19867623896026565</v>
      </c>
      <c r="M730" s="8">
        <f t="shared" si="500"/>
        <v>2.5017927137313434E-2</v>
      </c>
    </row>
    <row r="731" spans="1:13" x14ac:dyDescent="0.3">
      <c r="A731" s="1">
        <v>45272</v>
      </c>
      <c r="B731" s="5">
        <v>22879673.840881992</v>
      </c>
      <c r="C731" s="5">
        <v>21666049.229647849</v>
      </c>
      <c r="D731" s="5">
        <v>0</v>
      </c>
      <c r="E731" s="5">
        <f t="shared" si="504"/>
        <v>0</v>
      </c>
      <c r="F731" s="5">
        <f t="shared" si="504"/>
        <v>0</v>
      </c>
      <c r="G731" s="9">
        <f t="shared" si="506"/>
        <v>-6.3839616613949879E-3</v>
      </c>
      <c r="H731" s="9">
        <f t="shared" si="506"/>
        <v>4.519211867180184E-3</v>
      </c>
      <c r="I731" s="5">
        <f t="shared" si="507"/>
        <v>15888460.675535729</v>
      </c>
      <c r="J731" s="5">
        <f t="shared" si="508"/>
        <v>14991896.155961661</v>
      </c>
      <c r="K731" s="8">
        <f t="shared" ref="K731:L731" si="532">I731/I479-1</f>
        <v>0.16720478360327062</v>
      </c>
      <c r="L731" s="8">
        <f t="shared" si="532"/>
        <v>0.21200375242605984</v>
      </c>
      <c r="M731" s="8">
        <f t="shared" si="500"/>
        <v>4.479896882278922E-2</v>
      </c>
    </row>
    <row r="732" spans="1:13" x14ac:dyDescent="0.3">
      <c r="A732" s="1">
        <v>45273</v>
      </c>
      <c r="B732" s="5">
        <v>23086934.309025519</v>
      </c>
      <c r="C732" s="5">
        <v>21970120.569085624</v>
      </c>
      <c r="D732" s="5">
        <v>0</v>
      </c>
      <c r="E732" s="5">
        <f t="shared" si="504"/>
        <v>0</v>
      </c>
      <c r="F732" s="5">
        <f t="shared" si="504"/>
        <v>0</v>
      </c>
      <c r="G732" s="9">
        <f t="shared" si="506"/>
        <v>9.0587160282498136E-3</v>
      </c>
      <c r="H732" s="9">
        <f t="shared" si="506"/>
        <v>1.4034461761569528E-2</v>
      </c>
      <c r="I732" s="5">
        <f t="shared" si="507"/>
        <v>16032389.728921421</v>
      </c>
      <c r="J732" s="5">
        <f t="shared" si="508"/>
        <v>15202299.349295925</v>
      </c>
      <c r="K732" s="8">
        <f t="shared" ref="K732:L732" si="533">I732/I480-1</f>
        <v>0.17547043552064912</v>
      </c>
      <c r="L732" s="8">
        <f t="shared" si="533"/>
        <v>0.23292334463567377</v>
      </c>
      <c r="M732" s="8">
        <f t="shared" si="500"/>
        <v>5.7452909115024653E-2</v>
      </c>
    </row>
    <row r="733" spans="1:13" x14ac:dyDescent="0.3">
      <c r="A733" s="1">
        <v>45274</v>
      </c>
      <c r="B733" s="5">
        <v>23380491.500585858</v>
      </c>
      <c r="C733" s="5">
        <v>22001646.491624482</v>
      </c>
      <c r="D733" s="5">
        <v>0</v>
      </c>
      <c r="E733" s="5">
        <f t="shared" si="504"/>
        <v>0</v>
      </c>
      <c r="F733" s="5">
        <f t="shared" si="504"/>
        <v>0</v>
      </c>
      <c r="G733" s="9">
        <f t="shared" si="506"/>
        <v>1.2715295484059919E-2</v>
      </c>
      <c r="H733" s="9">
        <f t="shared" si="506"/>
        <v>1.4349453586166572E-3</v>
      </c>
      <c r="I733" s="5">
        <f t="shared" si="507"/>
        <v>16236246.301640265</v>
      </c>
      <c r="J733" s="5">
        <f t="shared" si="508"/>
        <v>15224113.818187499</v>
      </c>
      <c r="K733" s="8">
        <f t="shared" ref="K733:L733" si="534">I733/I481-1</f>
        <v>0.18565623492752836</v>
      </c>
      <c r="L733" s="8">
        <f t="shared" si="534"/>
        <v>0.22559753304787789</v>
      </c>
      <c r="M733" s="8">
        <f t="shared" si="500"/>
        <v>3.9941298120349522E-2</v>
      </c>
    </row>
    <row r="734" spans="1:13" x14ac:dyDescent="0.3">
      <c r="A734" s="1">
        <v>45275</v>
      </c>
      <c r="B734" s="5">
        <v>23394863.147010811</v>
      </c>
      <c r="C734" s="5">
        <v>21932506.530771561</v>
      </c>
      <c r="D734" s="5">
        <v>0</v>
      </c>
      <c r="E734" s="5">
        <f t="shared" si="504"/>
        <v>0</v>
      </c>
      <c r="F734" s="5">
        <f t="shared" si="504"/>
        <v>0</v>
      </c>
      <c r="G734" s="9">
        <f t="shared" si="506"/>
        <v>6.1468538523201666E-4</v>
      </c>
      <c r="H734" s="9">
        <f t="shared" si="506"/>
        <v>-3.1424903076795463E-3</v>
      </c>
      <c r="I734" s="5">
        <f t="shared" si="507"/>
        <v>16246226.48495291</v>
      </c>
      <c r="J734" s="5">
        <f t="shared" si="508"/>
        <v>15176272.188070836</v>
      </c>
      <c r="K734" s="8">
        <f t="shared" ref="K734:L734" si="535">I734/I482-1</f>
        <v>0.19369414508533778</v>
      </c>
      <c r="L734" s="8">
        <f t="shared" si="535"/>
        <v>0.22820379359345444</v>
      </c>
      <c r="M734" s="8">
        <f t="shared" si="500"/>
        <v>3.4509648508116664E-2</v>
      </c>
    </row>
    <row r="735" spans="1:13" x14ac:dyDescent="0.3">
      <c r="A735" s="1">
        <v>45278</v>
      </c>
      <c r="B735" s="5">
        <v>23549599.465063933</v>
      </c>
      <c r="C735" s="5">
        <v>22037389.372632265</v>
      </c>
      <c r="D735" s="5">
        <v>0</v>
      </c>
      <c r="E735" s="5">
        <f t="shared" si="504"/>
        <v>0</v>
      </c>
      <c r="F735" s="5">
        <f t="shared" si="504"/>
        <v>0</v>
      </c>
      <c r="G735" s="9">
        <f t="shared" si="506"/>
        <v>6.6141151192369296E-3</v>
      </c>
      <c r="H735" s="9">
        <f t="shared" si="506"/>
        <v>4.7820727518559369E-3</v>
      </c>
      <c r="I735" s="5">
        <f t="shared" si="507"/>
        <v>16353680.897177584</v>
      </c>
      <c r="J735" s="5">
        <f t="shared" si="508"/>
        <v>15248846.225776158</v>
      </c>
      <c r="K735" s="8">
        <f t="shared" ref="K735:L735" si="536">I735/I483-1</f>
        <v>0.20136186912591825</v>
      </c>
      <c r="L735" s="8">
        <f t="shared" si="536"/>
        <v>0.21360563493395479</v>
      </c>
      <c r="M735" s="8">
        <f t="shared" si="500"/>
        <v>1.2243765808036544E-2</v>
      </c>
    </row>
    <row r="736" spans="1:13" x14ac:dyDescent="0.3">
      <c r="A736" s="1">
        <v>45279</v>
      </c>
      <c r="B736" s="5">
        <v>23588398.135777943</v>
      </c>
      <c r="C736" s="5">
        <v>22205808.791225653</v>
      </c>
      <c r="D736" s="5">
        <v>0</v>
      </c>
      <c r="E736" s="5">
        <f t="shared" si="504"/>
        <v>0</v>
      </c>
      <c r="F736" s="5">
        <f t="shared" si="504"/>
        <v>0</v>
      </c>
      <c r="G736" s="9">
        <f t="shared" si="506"/>
        <v>1.647529962094163E-3</v>
      </c>
      <c r="H736" s="9">
        <f t="shared" si="506"/>
        <v>7.6424396622289947E-3</v>
      </c>
      <c r="I736" s="5">
        <f t="shared" si="507"/>
        <v>16380624.076446211</v>
      </c>
      <c r="J736" s="5">
        <f t="shared" si="508"/>
        <v>15365384.61297526</v>
      </c>
      <c r="K736" s="8">
        <f t="shared" ref="K736:L736" si="537">I736/I484-1</f>
        <v>0.20533774662090876</v>
      </c>
      <c r="L736" s="8">
        <f t="shared" si="537"/>
        <v>0.21663182700123751</v>
      </c>
      <c r="M736" s="8">
        <f t="shared" si="500"/>
        <v>1.1294080380328753E-2</v>
      </c>
    </row>
    <row r="737" spans="1:13" x14ac:dyDescent="0.3">
      <c r="A737" s="1">
        <v>45280</v>
      </c>
      <c r="B737" s="5">
        <v>22893825.854172211</v>
      </c>
      <c r="C737" s="5">
        <v>21871801.004179496</v>
      </c>
      <c r="D737" s="5">
        <v>0</v>
      </c>
      <c r="E737" s="5">
        <f t="shared" si="504"/>
        <v>0</v>
      </c>
      <c r="F737" s="5">
        <f t="shared" si="504"/>
        <v>0</v>
      </c>
      <c r="G737" s="9">
        <f t="shared" si="506"/>
        <v>-2.9445504421609425E-2</v>
      </c>
      <c r="H737" s="9">
        <f t="shared" si="506"/>
        <v>-1.5041460105615911E-2</v>
      </c>
      <c r="I737" s="5">
        <f t="shared" si="507"/>
        <v>15898288.337774493</v>
      </c>
      <c r="J737" s="5">
        <f t="shared" si="508"/>
        <v>15134266.793311749</v>
      </c>
      <c r="K737" s="8">
        <f t="shared" ref="K737:L737" si="538">I737/I485-1</f>
        <v>0.16444751265380186</v>
      </c>
      <c r="L737" s="8">
        <f t="shared" si="538"/>
        <v>0.20524983176128697</v>
      </c>
      <c r="M737" s="8">
        <f t="shared" si="500"/>
        <v>4.0802319107485108E-2</v>
      </c>
    </row>
    <row r="738" spans="1:13" x14ac:dyDescent="0.3">
      <c r="A738" s="1">
        <v>45281</v>
      </c>
      <c r="B738" s="5">
        <v>23198227.829646133</v>
      </c>
      <c r="C738" s="5">
        <v>22131704.857485712</v>
      </c>
      <c r="D738" s="5">
        <v>0</v>
      </c>
      <c r="E738" s="5">
        <f t="shared" si="504"/>
        <v>0</v>
      </c>
      <c r="F738" s="5">
        <f t="shared" si="504"/>
        <v>0</v>
      </c>
      <c r="G738" s="9">
        <f t="shared" si="506"/>
        <v>1.3296247530355298E-2</v>
      </c>
      <c r="H738" s="9">
        <f t="shared" si="506"/>
        <v>1.1883056784237844E-2</v>
      </c>
      <c r="I738" s="5">
        <f t="shared" si="507"/>
        <v>16109675.914822504</v>
      </c>
      <c r="J738" s="5">
        <f t="shared" si="508"/>
        <v>15314108.145004477</v>
      </c>
      <c r="K738" s="8">
        <f t="shared" ref="K738:L738" si="539">I738/I486-1</f>
        <v>0.19057931109066328</v>
      </c>
      <c r="L738" s="8">
        <f t="shared" si="539"/>
        <v>0.24687311265683687</v>
      </c>
      <c r="M738" s="8">
        <f t="shared" si="500"/>
        <v>5.6293801566173585E-2</v>
      </c>
    </row>
    <row r="739" spans="1:13" x14ac:dyDescent="0.3">
      <c r="A739" s="1">
        <v>45282</v>
      </c>
      <c r="B739" s="5">
        <v>23388850.292061366</v>
      </c>
      <c r="C739" s="5">
        <v>22128537.806053858</v>
      </c>
      <c r="D739" s="5">
        <v>0</v>
      </c>
      <c r="E739" s="5">
        <f t="shared" si="504"/>
        <v>0</v>
      </c>
      <c r="F739" s="5">
        <f t="shared" si="504"/>
        <v>0</v>
      </c>
      <c r="G739" s="9">
        <f t="shared" si="506"/>
        <v>8.2171131267030351E-3</v>
      </c>
      <c r="H739" s="9">
        <f t="shared" si="506"/>
        <v>-1.4310020182572991E-4</v>
      </c>
      <c r="I739" s="5">
        <f t="shared" si="507"/>
        <v>16242050.944249123</v>
      </c>
      <c r="J739" s="5">
        <f t="shared" si="508"/>
        <v>15311916.693038147</v>
      </c>
      <c r="K739" s="8">
        <f t="shared" ref="K739:L739" si="540">I739/I487-1</f>
        <v>0.21593829100518036</v>
      </c>
      <c r="L739" s="8">
        <f t="shared" si="540"/>
        <v>0.26125059715778476</v>
      </c>
      <c r="M739" s="8">
        <f t="shared" si="500"/>
        <v>4.5312306152604398E-2</v>
      </c>
    </row>
    <row r="740" spans="1:13" x14ac:dyDescent="0.3">
      <c r="A740" s="1">
        <v>45286</v>
      </c>
      <c r="B740" s="5">
        <v>23609852.155025825</v>
      </c>
      <c r="C740" s="5">
        <v>22235666.8643989</v>
      </c>
      <c r="D740" s="5">
        <v>0</v>
      </c>
      <c r="E740" s="5">
        <f t="shared" si="504"/>
        <v>0</v>
      </c>
      <c r="F740" s="5">
        <f t="shared" si="504"/>
        <v>0</v>
      </c>
      <c r="G740" s="9">
        <f t="shared" si="506"/>
        <v>9.4490263610551573E-3</v>
      </c>
      <c r="H740" s="9">
        <f t="shared" si="506"/>
        <v>4.8412172229352901E-3</v>
      </c>
      <c r="I740" s="5">
        <f t="shared" si="507"/>
        <v>16395522.511778934</v>
      </c>
      <c r="J740" s="5">
        <f t="shared" si="508"/>
        <v>15386045.007848633</v>
      </c>
      <c r="K740" s="8">
        <f t="shared" ref="K740:L740" si="541">I740/I488-1</f>
        <v>0.21534953553163128</v>
      </c>
      <c r="L740" s="8">
        <f t="shared" si="541"/>
        <v>0.27971949895291814</v>
      </c>
      <c r="M740" s="8">
        <f t="shared" si="500"/>
        <v>6.4369963421286869E-2</v>
      </c>
    </row>
    <row r="741" spans="1:13" x14ac:dyDescent="0.3">
      <c r="A741" s="1">
        <v>45287</v>
      </c>
      <c r="B741" s="5">
        <v>23720343.537241329</v>
      </c>
      <c r="C741" s="5">
        <v>22317465.977826662</v>
      </c>
      <c r="D741" s="5">
        <v>0</v>
      </c>
      <c r="E741" s="5">
        <f t="shared" si="504"/>
        <v>0</v>
      </c>
      <c r="F741" s="5">
        <f t="shared" si="504"/>
        <v>0</v>
      </c>
      <c r="G741" s="9">
        <f t="shared" si="506"/>
        <v>4.6798845452313831E-3</v>
      </c>
      <c r="H741" s="9">
        <f t="shared" si="506"/>
        <v>3.6787344371815855E-3</v>
      </c>
      <c r="I741" s="5">
        <f t="shared" si="507"/>
        <v>16472251.664192801</v>
      </c>
      <c r="J741" s="5">
        <f t="shared" si="508"/>
        <v>15442646.181471031</v>
      </c>
      <c r="K741" s="8">
        <f t="shared" ref="K741:L741" si="542">I741/I489-1</f>
        <v>0.22341108593983217</v>
      </c>
      <c r="L741" s="8">
        <f t="shared" si="542"/>
        <v>0.28413669592889823</v>
      </c>
      <c r="M741" s="8">
        <f t="shared" si="500"/>
        <v>6.0725609989066065E-2</v>
      </c>
    </row>
    <row r="742" spans="1:13" x14ac:dyDescent="0.3">
      <c r="A742" s="1">
        <v>45288</v>
      </c>
      <c r="B742" s="5">
        <v>23848157.289300594</v>
      </c>
      <c r="C742" s="5">
        <v>22274647.152767114</v>
      </c>
      <c r="D742" s="5">
        <v>0</v>
      </c>
      <c r="E742" s="5">
        <f t="shared" si="504"/>
        <v>0</v>
      </c>
      <c r="F742" s="5">
        <f t="shared" si="504"/>
        <v>0</v>
      </c>
      <c r="G742" s="9">
        <f t="shared" si="506"/>
        <v>5.3883600740687321E-3</v>
      </c>
      <c r="H742" s="9">
        <f t="shared" si="506"/>
        <v>-1.9186239648394388E-3</v>
      </c>
      <c r="I742" s="5">
        <f t="shared" si="507"/>
        <v>16561010.087390151</v>
      </c>
      <c r="J742" s="5">
        <f t="shared" si="508"/>
        <v>15413017.550426725</v>
      </c>
      <c r="K742" s="8">
        <f t="shared" ref="K742:L742" si="543">I742/I490-1</f>
        <v>0.24992605190230721</v>
      </c>
      <c r="L742" s="8">
        <f t="shared" si="543"/>
        <v>0.25921172876101028</v>
      </c>
      <c r="M742" s="8">
        <f t="shared" si="500"/>
        <v>9.2856768587030736E-3</v>
      </c>
    </row>
    <row r="743" spans="1:13" x14ac:dyDescent="0.3">
      <c r="A743" s="1">
        <v>45289</v>
      </c>
      <c r="B743" s="5">
        <v>24019582.542504556</v>
      </c>
      <c r="C743" s="5">
        <v>22223476.665127389</v>
      </c>
      <c r="D743" s="5">
        <v>0</v>
      </c>
      <c r="E743" s="5">
        <f t="shared" si="504"/>
        <v>0</v>
      </c>
      <c r="F743" s="5">
        <f t="shared" si="504"/>
        <v>0</v>
      </c>
      <c r="G743" s="9">
        <f t="shared" si="506"/>
        <v>7.1881970218667934E-3</v>
      </c>
      <c r="H743" s="9">
        <f t="shared" si="506"/>
        <v>-2.2972524452926635E-3</v>
      </c>
      <c r="I743" s="5">
        <f t="shared" si="507"/>
        <v>16680053.890779434</v>
      </c>
      <c r="J743" s="5">
        <f t="shared" si="508"/>
        <v>15377609.958169669</v>
      </c>
      <c r="K743" s="8">
        <f t="shared" ref="K743:L743" si="544">I743/I491-1</f>
        <v>0.26819936314392701</v>
      </c>
      <c r="L743" s="8">
        <f t="shared" si="544"/>
        <v>0.27289843914960277</v>
      </c>
      <c r="M743" s="8">
        <f t="shared" si="500"/>
        <v>4.6990760056757619E-3</v>
      </c>
    </row>
    <row r="744" spans="1:13" x14ac:dyDescent="0.3">
      <c r="A744" s="1">
        <v>45292</v>
      </c>
      <c r="B744" s="5">
        <v>24548844.678846665</v>
      </c>
      <c r="C744" s="5">
        <v>22630247.04125981</v>
      </c>
      <c r="D744" s="5">
        <v>500000</v>
      </c>
      <c r="E744" s="5">
        <f t="shared" si="504"/>
        <v>-500000</v>
      </c>
      <c r="F744" s="5">
        <f t="shared" si="504"/>
        <v>-500000</v>
      </c>
      <c r="G744" s="9">
        <f t="shared" si="506"/>
        <v>1.2182616533957802E-3</v>
      </c>
      <c r="H744" s="9">
        <f t="shared" si="506"/>
        <v>-4.1950962611476683E-3</v>
      </c>
      <c r="I744" s="5">
        <f t="shared" si="507"/>
        <v>16700374.560811145</v>
      </c>
      <c r="J744" s="5">
        <f t="shared" si="508"/>
        <v>15313099.404128764</v>
      </c>
      <c r="K744" s="8">
        <f t="shared" ref="K744:L744" si="545">I744/I492-1</f>
        <v>0.31873890205849165</v>
      </c>
      <c r="L744" s="8">
        <f t="shared" si="545"/>
        <v>0.26119304055328607</v>
      </c>
      <c r="M744" s="8">
        <f t="shared" si="500"/>
        <v>-5.7545861505205576E-2</v>
      </c>
    </row>
    <row r="745" spans="1:13" x14ac:dyDescent="0.3">
      <c r="A745" s="1">
        <v>45293</v>
      </c>
      <c r="B745" s="5">
        <v>24488031.368235551</v>
      </c>
      <c r="C745" s="5">
        <v>22630247.04125981</v>
      </c>
      <c r="D745" s="5">
        <v>0</v>
      </c>
      <c r="E745" s="5">
        <f t="shared" si="504"/>
        <v>0</v>
      </c>
      <c r="F745" s="5">
        <f t="shared" si="504"/>
        <v>0</v>
      </c>
      <c r="G745" s="9">
        <f t="shared" si="506"/>
        <v>-2.4772371737524779E-3</v>
      </c>
      <c r="H745" s="9">
        <f t="shared" si="506"/>
        <v>0</v>
      </c>
      <c r="I745" s="5">
        <f t="shared" si="507"/>
        <v>16659003.772133514</v>
      </c>
      <c r="J745" s="5">
        <f t="shared" si="508"/>
        <v>15313099.404128764</v>
      </c>
      <c r="K745" s="8">
        <f t="shared" ref="K745:L745" si="546">I745/I493-1</f>
        <v>0.28523142854463224</v>
      </c>
      <c r="L745" s="8">
        <f t="shared" si="546"/>
        <v>0.26591241829779055</v>
      </c>
      <c r="M745" s="8">
        <f t="shared" si="500"/>
        <v>-1.9319010246841684E-2</v>
      </c>
    </row>
    <row r="746" spans="1:13" x14ac:dyDescent="0.3">
      <c r="A746" s="1">
        <v>45294</v>
      </c>
      <c r="B746" s="5">
        <v>24673200.685670163</v>
      </c>
      <c r="C746" s="5">
        <v>22447077.989398569</v>
      </c>
      <c r="D746" s="5">
        <v>0</v>
      </c>
      <c r="E746" s="5">
        <f t="shared" si="504"/>
        <v>0</v>
      </c>
      <c r="F746" s="5">
        <f t="shared" si="504"/>
        <v>0</v>
      </c>
      <c r="G746" s="9">
        <f t="shared" si="506"/>
        <v>7.5616252956456353E-3</v>
      </c>
      <c r="H746" s="9">
        <f t="shared" si="506"/>
        <v>-8.0939925899741194E-3</v>
      </c>
      <c r="I746" s="5">
        <f t="shared" si="507"/>
        <v>16784972.916457135</v>
      </c>
      <c r="J746" s="5">
        <f t="shared" si="508"/>
        <v>15189155.291022208</v>
      </c>
      <c r="K746" s="8">
        <f t="shared" ref="K746:L746" si="547">I746/I494-1</f>
        <v>0.28183727246792456</v>
      </c>
      <c r="L746" s="8">
        <f t="shared" si="547"/>
        <v>0.25566613256453197</v>
      </c>
      <c r="M746" s="8">
        <f t="shared" si="500"/>
        <v>-2.6171139903392593E-2</v>
      </c>
    </row>
    <row r="747" spans="1:13" x14ac:dyDescent="0.3">
      <c r="A747" s="1">
        <v>45295</v>
      </c>
      <c r="B747" s="5">
        <v>24985575.618466735</v>
      </c>
      <c r="C747" s="5">
        <v>22348895.371928532</v>
      </c>
      <c r="D747" s="5">
        <v>0</v>
      </c>
      <c r="E747" s="5">
        <f t="shared" si="504"/>
        <v>0</v>
      </c>
      <c r="F747" s="5">
        <f t="shared" si="504"/>
        <v>0</v>
      </c>
      <c r="G747" s="9">
        <f t="shared" si="506"/>
        <v>1.2660494954673362E-2</v>
      </c>
      <c r="H747" s="9">
        <f t="shared" si="506"/>
        <v>-4.3739598319392226E-3</v>
      </c>
      <c r="I747" s="5">
        <f t="shared" si="507"/>
        <v>16997478.981380269</v>
      </c>
      <c r="J747" s="5">
        <f t="shared" si="508"/>
        <v>15122718.53589819</v>
      </c>
      <c r="K747" s="8">
        <f t="shared" ref="K747:L747" si="548">I747/I495-1</f>
        <v>0.29431731477633671</v>
      </c>
      <c r="L747" s="8">
        <f t="shared" si="548"/>
        <v>0.26751420939491033</v>
      </c>
      <c r="M747" s="8">
        <f t="shared" si="500"/>
        <v>-2.6803105381426384E-2</v>
      </c>
    </row>
    <row r="748" spans="1:13" x14ac:dyDescent="0.3">
      <c r="A748" s="1">
        <v>45296</v>
      </c>
      <c r="B748" s="5">
        <v>24955841.561755776</v>
      </c>
      <c r="C748" s="5">
        <v>22376269.318270706</v>
      </c>
      <c r="D748" s="5">
        <v>0</v>
      </c>
      <c r="E748" s="5">
        <f t="shared" si="504"/>
        <v>0</v>
      </c>
      <c r="F748" s="5">
        <f t="shared" si="504"/>
        <v>0</v>
      </c>
      <c r="G748" s="9">
        <f t="shared" si="506"/>
        <v>-1.1900488972118595E-3</v>
      </c>
      <c r="H748" s="9">
        <f t="shared" si="506"/>
        <v>1.2248456080992121E-3</v>
      </c>
      <c r="I748" s="5">
        <f t="shared" si="507"/>
        <v>16977251.150263097</v>
      </c>
      <c r="J748" s="5">
        <f t="shared" si="508"/>
        <v>15141241.531279406</v>
      </c>
      <c r="K748" s="8">
        <f t="shared" ref="K748:L748" si="549">I748/I496-1</f>
        <v>0.29304950760085346</v>
      </c>
      <c r="L748" s="8">
        <f t="shared" si="549"/>
        <v>0.24577096717075553</v>
      </c>
      <c r="M748" s="8">
        <f t="shared" si="500"/>
        <v>-4.7278540430097937E-2</v>
      </c>
    </row>
    <row r="749" spans="1:13" x14ac:dyDescent="0.3">
      <c r="A749" s="1">
        <v>45299</v>
      </c>
      <c r="B749" s="5">
        <v>24695529.659303393</v>
      </c>
      <c r="C749" s="5">
        <v>22684323.618797757</v>
      </c>
      <c r="D749" s="5">
        <v>0</v>
      </c>
      <c r="E749" s="5">
        <f t="shared" si="504"/>
        <v>0</v>
      </c>
      <c r="F749" s="5">
        <f t="shared" si="504"/>
        <v>0</v>
      </c>
      <c r="G749" s="9">
        <f t="shared" si="506"/>
        <v>-1.0430900589275427E-2</v>
      </c>
      <c r="H749" s="9">
        <f t="shared" si="506"/>
        <v>1.3767008974794548E-2</v>
      </c>
      <c r="I749" s="5">
        <f t="shared" si="507"/>
        <v>16800163.13123554</v>
      </c>
      <c r="J749" s="5">
        <f t="shared" si="508"/>
        <v>15349691.139330061</v>
      </c>
      <c r="K749" s="8">
        <f t="shared" ref="K749:L749" si="550">I749/I497-1</f>
        <v>0.2815299376647491</v>
      </c>
      <c r="L749" s="8">
        <f t="shared" si="550"/>
        <v>0.26774619263632404</v>
      </c>
      <c r="M749" s="8">
        <f t="shared" si="500"/>
        <v>-1.3783745028425054E-2</v>
      </c>
    </row>
    <row r="750" spans="1:13" x14ac:dyDescent="0.3">
      <c r="A750" s="1">
        <v>45300</v>
      </c>
      <c r="B750" s="5">
        <v>24802030.935318589</v>
      </c>
      <c r="C750" s="5">
        <v>22643101.218631659</v>
      </c>
      <c r="D750" s="5">
        <v>0</v>
      </c>
      <c r="E750" s="5">
        <f t="shared" si="504"/>
        <v>0</v>
      </c>
      <c r="F750" s="5">
        <f t="shared" si="504"/>
        <v>0</v>
      </c>
      <c r="G750" s="9">
        <f t="shared" si="506"/>
        <v>4.3125730642135096E-3</v>
      </c>
      <c r="H750" s="9">
        <f t="shared" si="506"/>
        <v>-1.8172197178468741E-3</v>
      </c>
      <c r="I750" s="5">
        <f t="shared" si="507"/>
        <v>16872615.0622297</v>
      </c>
      <c r="J750" s="5">
        <f t="shared" si="508"/>
        <v>15321797.37792881</v>
      </c>
      <c r="K750" s="8">
        <f t="shared" ref="K750:L750" si="551">I750/I498-1</f>
        <v>0.28520683478220943</v>
      </c>
      <c r="L750" s="8">
        <f t="shared" si="551"/>
        <v>0.26833234653602944</v>
      </c>
      <c r="M750" s="8">
        <f t="shared" si="500"/>
        <v>-1.6874488246179986E-2</v>
      </c>
    </row>
    <row r="751" spans="1:13" x14ac:dyDescent="0.3">
      <c r="A751" s="1">
        <v>45301</v>
      </c>
      <c r="B751" s="5">
        <v>24855819.327275015</v>
      </c>
      <c r="C751" s="5">
        <v>22749833.978776045</v>
      </c>
      <c r="D751" s="5">
        <v>0</v>
      </c>
      <c r="E751" s="5">
        <f t="shared" si="504"/>
        <v>0</v>
      </c>
      <c r="F751" s="5">
        <f t="shared" si="504"/>
        <v>0</v>
      </c>
      <c r="G751" s="9">
        <f t="shared" si="506"/>
        <v>2.1687091713054052E-3</v>
      </c>
      <c r="H751" s="9">
        <f t="shared" si="506"/>
        <v>4.7136988486613518E-3</v>
      </c>
      <c r="I751" s="5">
        <f t="shared" si="507"/>
        <v>16909206.857259065</v>
      </c>
      <c r="J751" s="5">
        <f t="shared" si="508"/>
        <v>15394019.716588575</v>
      </c>
      <c r="K751" s="8">
        <f t="shared" ref="K751:L751" si="552">I751/I499-1</f>
        <v>0.2823522686640294</v>
      </c>
      <c r="L751" s="8">
        <f t="shared" si="552"/>
        <v>0.27431088325761621</v>
      </c>
      <c r="M751" s="8">
        <f t="shared" si="500"/>
        <v>-8.0413854064131929E-3</v>
      </c>
    </row>
    <row r="752" spans="1:13" x14ac:dyDescent="0.3">
      <c r="A752" s="1">
        <v>45302</v>
      </c>
      <c r="B752" s="5">
        <v>25093873.74000277</v>
      </c>
      <c r="C752" s="5">
        <v>22740864.330261588</v>
      </c>
      <c r="D752" s="5">
        <v>0</v>
      </c>
      <c r="E752" s="5">
        <f t="shared" si="504"/>
        <v>0</v>
      </c>
      <c r="F752" s="5">
        <f t="shared" si="504"/>
        <v>0</v>
      </c>
      <c r="G752" s="9">
        <f t="shared" si="506"/>
        <v>9.5774116150952882E-3</v>
      </c>
      <c r="H752" s="9">
        <f t="shared" si="506"/>
        <v>-3.9427314163364979E-4</v>
      </c>
      <c r="I752" s="5">
        <f t="shared" si="507"/>
        <v>17071153.291415825</v>
      </c>
      <c r="J752" s="5">
        <f t="shared" si="508"/>
        <v>15387950.268072546</v>
      </c>
      <c r="K752" s="8">
        <f t="shared" ref="K752:L752" si="553">I752/I500-1</f>
        <v>0.31235572962406288</v>
      </c>
      <c r="L752" s="8">
        <f t="shared" si="553"/>
        <v>0.26635350454365692</v>
      </c>
      <c r="M752" s="8">
        <f t="shared" si="500"/>
        <v>-4.6002225080405967E-2</v>
      </c>
    </row>
    <row r="753" spans="1:13" x14ac:dyDescent="0.3">
      <c r="A753" s="1">
        <v>45303</v>
      </c>
      <c r="B753" s="5">
        <v>25161591.746331379</v>
      </c>
      <c r="C753" s="5">
        <v>22729730.49714198</v>
      </c>
      <c r="D753" s="5">
        <v>0</v>
      </c>
      <c r="E753" s="5">
        <f t="shared" si="504"/>
        <v>0</v>
      </c>
      <c r="F753" s="5">
        <f t="shared" si="504"/>
        <v>0</v>
      </c>
      <c r="G753" s="9">
        <f t="shared" si="506"/>
        <v>2.6985871942384332E-3</v>
      </c>
      <c r="H753" s="9">
        <f t="shared" si="506"/>
        <v>-4.8959586398800159E-4</v>
      </c>
      <c r="I753" s="5">
        <f t="shared" si="507"/>
        <v>17117221.287078921</v>
      </c>
      <c r="J753" s="5">
        <f t="shared" si="508"/>
        <v>15380416.391266044</v>
      </c>
      <c r="K753" s="8">
        <f t="shared" ref="K753:L753" si="554">I753/I501-1</f>
        <v>0.30686653450228185</v>
      </c>
      <c r="L753" s="8">
        <f t="shared" si="554"/>
        <v>0.28276666405932227</v>
      </c>
      <c r="M753" s="8">
        <f t="shared" si="500"/>
        <v>-2.4099870442959581E-2</v>
      </c>
    </row>
    <row r="754" spans="1:13" x14ac:dyDescent="0.3">
      <c r="A754" s="1">
        <v>45306</v>
      </c>
      <c r="B754" s="5">
        <v>25250641.200841326</v>
      </c>
      <c r="C754" s="5">
        <v>22680748.032450598</v>
      </c>
      <c r="D754" s="5">
        <v>0</v>
      </c>
      <c r="E754" s="5">
        <f t="shared" si="504"/>
        <v>0</v>
      </c>
      <c r="F754" s="5">
        <f t="shared" si="504"/>
        <v>0</v>
      </c>
      <c r="G754" s="9">
        <f t="shared" si="506"/>
        <v>3.5391025896813755E-3</v>
      </c>
      <c r="H754" s="9">
        <f t="shared" si="506"/>
        <v>-2.1549954011791383E-3</v>
      </c>
      <c r="I754" s="5">
        <f t="shared" si="507"/>
        <v>17177800.88926417</v>
      </c>
      <c r="J754" s="5">
        <f t="shared" si="508"/>
        <v>15347271.664674645</v>
      </c>
      <c r="K754" s="8">
        <f t="shared" ref="K754:L754" si="555">I754/I502-1</f>
        <v>0.3211813822904539</v>
      </c>
      <c r="L754" s="8">
        <f t="shared" si="555"/>
        <v>0.24912719734617905</v>
      </c>
      <c r="M754" s="8">
        <f t="shared" si="500"/>
        <v>-7.2054184944274846E-2</v>
      </c>
    </row>
    <row r="755" spans="1:13" x14ac:dyDescent="0.3">
      <c r="A755" s="1">
        <v>45307</v>
      </c>
      <c r="B755" s="5">
        <v>25195608.339021467</v>
      </c>
      <c r="C755" s="5">
        <v>22680748.032450598</v>
      </c>
      <c r="D755" s="5">
        <v>0</v>
      </c>
      <c r="E755" s="5">
        <f t="shared" si="504"/>
        <v>0</v>
      </c>
      <c r="F755" s="5">
        <f t="shared" si="504"/>
        <v>0</v>
      </c>
      <c r="G755" s="9">
        <f t="shared" si="506"/>
        <v>-2.179463934485204E-3</v>
      </c>
      <c r="H755" s="9">
        <f t="shared" si="506"/>
        <v>0</v>
      </c>
      <c r="I755" s="5">
        <f t="shared" si="507"/>
        <v>17140362.491752252</v>
      </c>
      <c r="J755" s="5">
        <f t="shared" si="508"/>
        <v>15347271.664674645</v>
      </c>
      <c r="K755" s="8">
        <f t="shared" ref="K755:L755" si="556">I755/I503-1</f>
        <v>0.30772669863870239</v>
      </c>
      <c r="L755" s="8">
        <f t="shared" si="556"/>
        <v>0.25531479691678194</v>
      </c>
      <c r="M755" s="8">
        <f t="shared" si="500"/>
        <v>-5.2411901721920451E-2</v>
      </c>
    </row>
    <row r="756" spans="1:13" x14ac:dyDescent="0.3">
      <c r="A756" s="1">
        <v>45308</v>
      </c>
      <c r="B756" s="5">
        <v>24914920.27334819</v>
      </c>
      <c r="C756" s="5">
        <v>22578262.967316497</v>
      </c>
      <c r="D756" s="5">
        <v>0</v>
      </c>
      <c r="E756" s="5">
        <f t="shared" si="504"/>
        <v>0</v>
      </c>
      <c r="F756" s="5">
        <f t="shared" si="504"/>
        <v>0</v>
      </c>
      <c r="G756" s="9">
        <f t="shared" si="506"/>
        <v>-1.1140356759656522E-2</v>
      </c>
      <c r="H756" s="9">
        <f t="shared" si="506"/>
        <v>-4.5185928165804023E-3</v>
      </c>
      <c r="I756" s="5">
        <f t="shared" si="507"/>
        <v>16949412.738604296</v>
      </c>
      <c r="J756" s="5">
        <f t="shared" si="508"/>
        <v>15277923.593176538</v>
      </c>
      <c r="K756" s="8">
        <f t="shared" ref="K756:L756" si="557">I756/I504-1</f>
        <v>0.29787902448701398</v>
      </c>
      <c r="L756" s="8">
        <f t="shared" si="557"/>
        <v>0.25254025662824109</v>
      </c>
      <c r="M756" s="8">
        <f t="shared" si="500"/>
        <v>-4.5338767858772888E-2</v>
      </c>
    </row>
    <row r="757" spans="1:13" x14ac:dyDescent="0.3">
      <c r="A757" s="1">
        <v>45309</v>
      </c>
      <c r="B757" s="5">
        <v>24796399.952881686</v>
      </c>
      <c r="C757" s="5">
        <v>22781648.444691833</v>
      </c>
      <c r="D757" s="5">
        <v>0</v>
      </c>
      <c r="E757" s="5">
        <f t="shared" si="504"/>
        <v>0</v>
      </c>
      <c r="F757" s="5">
        <f t="shared" si="504"/>
        <v>0</v>
      </c>
      <c r="G757" s="9">
        <f t="shared" si="506"/>
        <v>-4.7570017951567012E-3</v>
      </c>
      <c r="H757" s="9">
        <f t="shared" si="506"/>
        <v>9.0080214616043985E-3</v>
      </c>
      <c r="I757" s="5">
        <f t="shared" si="507"/>
        <v>16868784.351779904</v>
      </c>
      <c r="J757" s="5">
        <f t="shared" si="508"/>
        <v>15415547.456792625</v>
      </c>
      <c r="K757" s="8">
        <f t="shared" ref="K757:L757" si="558">I757/I505-1</f>
        <v>0.29591102724589513</v>
      </c>
      <c r="L757" s="8">
        <f t="shared" si="558"/>
        <v>0.24776239075111928</v>
      </c>
      <c r="M757" s="8">
        <f t="shared" si="500"/>
        <v>-4.8148636494775854E-2</v>
      </c>
    </row>
    <row r="758" spans="1:13" x14ac:dyDescent="0.3">
      <c r="A758" s="1">
        <v>45310</v>
      </c>
      <c r="B758" s="5">
        <v>25145998.506449845</v>
      </c>
      <c r="C758" s="5">
        <v>23046854.693795975</v>
      </c>
      <c r="D758" s="5">
        <v>0</v>
      </c>
      <c r="E758" s="5">
        <f t="shared" si="504"/>
        <v>0</v>
      </c>
      <c r="F758" s="5">
        <f t="shared" si="504"/>
        <v>0</v>
      </c>
      <c r="G758" s="9">
        <f t="shared" si="506"/>
        <v>1.4098762491025596E-2</v>
      </c>
      <c r="H758" s="9">
        <f t="shared" si="506"/>
        <v>1.1641222967161413E-2</v>
      </c>
      <c r="I758" s="5">
        <f t="shared" si="507"/>
        <v>17106613.335867979</v>
      </c>
      <c r="J758" s="5">
        <f t="shared" si="508"/>
        <v>15595003.281898005</v>
      </c>
      <c r="K758" s="8">
        <f t="shared" ref="K758:L758" si="559">I758/I506-1</f>
        <v>0.31139588336448054</v>
      </c>
      <c r="L758" s="8">
        <f t="shared" si="559"/>
        <v>0.26419382509203215</v>
      </c>
      <c r="M758" s="8">
        <f t="shared" si="500"/>
        <v>-4.7202058272448388E-2</v>
      </c>
    </row>
    <row r="759" spans="1:13" x14ac:dyDescent="0.3">
      <c r="A759" s="1">
        <v>45311</v>
      </c>
      <c r="B759" s="5">
        <v>25154375.120830879</v>
      </c>
      <c r="C759" s="5">
        <v>23094623.87142016</v>
      </c>
      <c r="D759" s="5">
        <v>0</v>
      </c>
      <c r="E759" s="5">
        <f t="shared" si="504"/>
        <v>0</v>
      </c>
      <c r="F759" s="5">
        <f t="shared" si="504"/>
        <v>0</v>
      </c>
      <c r="G759" s="9">
        <f t="shared" si="506"/>
        <v>3.3311917913647626E-4</v>
      </c>
      <c r="H759" s="9">
        <f t="shared" si="506"/>
        <v>2.0726983468613014E-3</v>
      </c>
      <c r="I759" s="5">
        <f t="shared" si="507"/>
        <v>17112311.876860227</v>
      </c>
      <c r="J759" s="5">
        <f t="shared" si="508"/>
        <v>15627327.019419691</v>
      </c>
      <c r="K759" s="8">
        <f t="shared" ref="K759:L759" si="560">I759/I507-1</f>
        <v>0.3064315200746861</v>
      </c>
      <c r="L759" s="8">
        <f t="shared" si="560"/>
        <v>0.25986296575557888</v>
      </c>
      <c r="M759" s="8">
        <f t="shared" si="500"/>
        <v>-4.6568554319107225E-2</v>
      </c>
    </row>
    <row r="760" spans="1:13" x14ac:dyDescent="0.3">
      <c r="A760" s="1">
        <v>45314</v>
      </c>
      <c r="B760" s="5">
        <v>24495956.334284943</v>
      </c>
      <c r="C760" s="5">
        <v>23182130.779424477</v>
      </c>
      <c r="D760" s="5">
        <v>0</v>
      </c>
      <c r="E760" s="5">
        <f t="shared" si="504"/>
        <v>0</v>
      </c>
      <c r="F760" s="5">
        <f t="shared" si="504"/>
        <v>0</v>
      </c>
      <c r="G760" s="9">
        <f t="shared" si="506"/>
        <v>-2.6175119969515159E-2</v>
      </c>
      <c r="H760" s="9">
        <f t="shared" si="506"/>
        <v>3.7890596742997662E-3</v>
      </c>
      <c r="I760" s="5">
        <f t="shared" si="507"/>
        <v>16664395.060527653</v>
      </c>
      <c r="J760" s="5">
        <f t="shared" si="508"/>
        <v>15686539.894046068</v>
      </c>
      <c r="K760" s="8">
        <f t="shared" ref="K760:L760" si="561">I760/I508-1</f>
        <v>0.27305941501416853</v>
      </c>
      <c r="L760" s="8">
        <f t="shared" si="561"/>
        <v>0.26316809886450598</v>
      </c>
      <c r="M760" s="8">
        <f t="shared" si="500"/>
        <v>-9.8913161496625435E-3</v>
      </c>
    </row>
    <row r="761" spans="1:13" x14ac:dyDescent="0.3">
      <c r="A761" s="1">
        <v>45315</v>
      </c>
      <c r="B761" s="5">
        <v>24915875.558308631</v>
      </c>
      <c r="C761" s="5">
        <v>23184435.416489337</v>
      </c>
      <c r="D761" s="5">
        <v>0</v>
      </c>
      <c r="E761" s="5">
        <f t="shared" si="504"/>
        <v>0</v>
      </c>
      <c r="F761" s="5">
        <f t="shared" si="504"/>
        <v>0</v>
      </c>
      <c r="G761" s="9">
        <f t="shared" si="506"/>
        <v>1.7142389474133823E-2</v>
      </c>
      <c r="H761" s="9">
        <f t="shared" si="506"/>
        <v>9.9414375960060752E-5</v>
      </c>
      <c r="I761" s="5">
        <f t="shared" si="507"/>
        <v>16950062.611006048</v>
      </c>
      <c r="J761" s="5">
        <f t="shared" si="508"/>
        <v>15688099.361620607</v>
      </c>
      <c r="K761" s="8">
        <f t="shared" ref="K761:L761" si="562">I761/I509-1</f>
        <v>0.29376695842783174</v>
      </c>
      <c r="L761" s="8">
        <f t="shared" si="562"/>
        <v>0.2632936759327873</v>
      </c>
      <c r="M761" s="8">
        <f t="shared" si="500"/>
        <v>-3.047328249504444E-2</v>
      </c>
    </row>
    <row r="762" spans="1:13" x14ac:dyDescent="0.3">
      <c r="A762" s="1">
        <v>45316</v>
      </c>
      <c r="B762" s="5">
        <v>24954213.678200725</v>
      </c>
      <c r="C762" s="5">
        <v>23304903.686577603</v>
      </c>
      <c r="D762" s="5">
        <v>0</v>
      </c>
      <c r="E762" s="5">
        <f t="shared" si="504"/>
        <v>0</v>
      </c>
      <c r="F762" s="5">
        <f t="shared" si="504"/>
        <v>0</v>
      </c>
      <c r="G762" s="9">
        <f t="shared" si="506"/>
        <v>1.53870249521737E-3</v>
      </c>
      <c r="H762" s="9">
        <f t="shared" si="506"/>
        <v>5.196083834872578E-3</v>
      </c>
      <c r="I762" s="5">
        <f t="shared" si="507"/>
        <v>16976143.714639693</v>
      </c>
      <c r="J762" s="5">
        <f t="shared" si="508"/>
        <v>15769616.041113399</v>
      </c>
      <c r="K762" s="8">
        <f t="shared" ref="K762:L762" si="563">I762/I510-1</f>
        <v>0.29564859882584549</v>
      </c>
      <c r="L762" s="8">
        <f t="shared" si="563"/>
        <v>0.2937381577313416</v>
      </c>
      <c r="M762" s="8">
        <f t="shared" si="500"/>
        <v>-1.9104410945038897E-3</v>
      </c>
    </row>
    <row r="763" spans="1:13" x14ac:dyDescent="0.3">
      <c r="A763" s="1">
        <v>45320</v>
      </c>
      <c r="B763" s="5">
        <v>25285554.591657545</v>
      </c>
      <c r="C763" s="5">
        <v>23477433.266236745</v>
      </c>
      <c r="D763" s="5">
        <v>0</v>
      </c>
      <c r="E763" s="5">
        <f t="shared" si="504"/>
        <v>0</v>
      </c>
      <c r="F763" s="5">
        <f t="shared" si="504"/>
        <v>0</v>
      </c>
      <c r="G763" s="9">
        <f t="shared" si="506"/>
        <v>1.3277954486150323E-2</v>
      </c>
      <c r="H763" s="9">
        <f t="shared" si="506"/>
        <v>7.4031449337639277E-3</v>
      </c>
      <c r="I763" s="5">
        <f t="shared" si="507"/>
        <v>17201552.178233027</v>
      </c>
      <c r="J763" s="5">
        <f t="shared" si="508"/>
        <v>15886360.794215569</v>
      </c>
      <c r="K763" s="8">
        <f t="shared" ref="K763:L763" si="564">I763/I511-1</f>
        <v>0.31741171204633023</v>
      </c>
      <c r="L763" s="8">
        <f t="shared" si="564"/>
        <v>0.31398943499087162</v>
      </c>
      <c r="M763" s="8">
        <f t="shared" si="500"/>
        <v>-3.4222770554586113E-3</v>
      </c>
    </row>
    <row r="764" spans="1:13" x14ac:dyDescent="0.3">
      <c r="A764" s="1">
        <v>45321</v>
      </c>
      <c r="B764" s="5">
        <v>25201223.075115502</v>
      </c>
      <c r="C764" s="5">
        <v>23462408.027114816</v>
      </c>
      <c r="D764" s="5">
        <v>0</v>
      </c>
      <c r="E764" s="5">
        <f t="shared" si="504"/>
        <v>0</v>
      </c>
      <c r="F764" s="5">
        <f t="shared" si="504"/>
        <v>0</v>
      </c>
      <c r="G764" s="9">
        <f t="shared" si="506"/>
        <v>-3.3351657855219541E-3</v>
      </c>
      <c r="H764" s="9">
        <f t="shared" si="506"/>
        <v>-6.3998644790252968E-4</v>
      </c>
      <c r="I764" s="5">
        <f t="shared" si="507"/>
        <v>17144182.149950314</v>
      </c>
      <c r="J764" s="5">
        <f t="shared" si="508"/>
        <v>15876193.738600781</v>
      </c>
      <c r="K764" s="8">
        <f t="shared" ref="K764:L764" si="565">I764/I512-1</f>
        <v>0.31796270265714455</v>
      </c>
      <c r="L764" s="8">
        <f t="shared" si="565"/>
        <v>0.29335519785816788</v>
      </c>
      <c r="M764" s="8">
        <f t="shared" si="500"/>
        <v>-2.4607504798976665E-2</v>
      </c>
    </row>
    <row r="765" spans="1:13" x14ac:dyDescent="0.3">
      <c r="A765" s="1">
        <v>45322</v>
      </c>
      <c r="B765" s="5">
        <v>25418677.12509083</v>
      </c>
      <c r="C765" s="5">
        <v>23060245.817482717</v>
      </c>
      <c r="D765" s="5">
        <v>0</v>
      </c>
      <c r="E765" s="5">
        <f t="shared" si="504"/>
        <v>0</v>
      </c>
      <c r="F765" s="5">
        <f t="shared" si="504"/>
        <v>0</v>
      </c>
      <c r="G765" s="9">
        <f t="shared" si="506"/>
        <v>8.6287101751838513E-3</v>
      </c>
      <c r="H765" s="9">
        <f t="shared" si="506"/>
        <v>-1.7140704789011085E-2</v>
      </c>
      <c r="I765" s="5">
        <f t="shared" si="507"/>
        <v>17292114.328912795</v>
      </c>
      <c r="J765" s="5">
        <f t="shared" si="508"/>
        <v>15604064.58855428</v>
      </c>
      <c r="K765" s="8">
        <f t="shared" ref="K765:L765" si="566">I765/I513-1</f>
        <v>0.32728032214859959</v>
      </c>
      <c r="L765" s="8">
        <f t="shared" si="566"/>
        <v>0.24977795850323625</v>
      </c>
      <c r="M765" s="8">
        <f t="shared" si="500"/>
        <v>-7.7502363645363337E-2</v>
      </c>
    </row>
    <row r="766" spans="1:13" x14ac:dyDescent="0.3">
      <c r="A766" s="1">
        <v>45323</v>
      </c>
      <c r="B766" s="5">
        <v>25516155.18227898</v>
      </c>
      <c r="C766" s="5">
        <v>23329893.115171619</v>
      </c>
      <c r="D766" s="5">
        <v>0</v>
      </c>
      <c r="E766" s="5">
        <f t="shared" si="504"/>
        <v>0</v>
      </c>
      <c r="F766" s="5">
        <f t="shared" si="504"/>
        <v>0</v>
      </c>
      <c r="G766" s="9">
        <f t="shared" si="506"/>
        <v>3.8348989095080555E-3</v>
      </c>
      <c r="H766" s="9">
        <f t="shared" si="506"/>
        <v>1.1693166665399213E-2</v>
      </c>
      <c r="I766" s="5">
        <f t="shared" si="507"/>
        <v>17358427.839295831</v>
      </c>
      <c r="J766" s="5">
        <f t="shared" si="508"/>
        <v>15786525.516445899</v>
      </c>
      <c r="K766" s="8">
        <f t="shared" ref="K766:L766" si="567">I766/I514-1</f>
        <v>0.33573461566527274</v>
      </c>
      <c r="L766" s="8">
        <f t="shared" si="567"/>
        <v>0.2634007447229183</v>
      </c>
      <c r="M766" s="8">
        <f t="shared" si="500"/>
        <v>-7.2333870942354439E-2</v>
      </c>
    </row>
    <row r="767" spans="1:13" x14ac:dyDescent="0.3">
      <c r="A767" s="1">
        <v>45324</v>
      </c>
      <c r="B767" s="5">
        <v>25714503.53304543</v>
      </c>
      <c r="C767" s="5">
        <v>23571730.825838227</v>
      </c>
      <c r="D767" s="5">
        <v>0</v>
      </c>
      <c r="E767" s="5">
        <f t="shared" si="504"/>
        <v>0</v>
      </c>
      <c r="F767" s="5">
        <f t="shared" si="504"/>
        <v>0</v>
      </c>
      <c r="G767" s="9">
        <f t="shared" si="506"/>
        <v>7.7734419370596441E-3</v>
      </c>
      <c r="H767" s="9">
        <f t="shared" si="506"/>
        <v>1.0366001656018753E-2</v>
      </c>
      <c r="I767" s="5">
        <f t="shared" si="507"/>
        <v>17493362.570223235</v>
      </c>
      <c r="J767" s="5">
        <f t="shared" si="508"/>
        <v>15950168.666092159</v>
      </c>
      <c r="K767" s="8">
        <f t="shared" ref="K767:L767" si="568">I767/I515-1</f>
        <v>0.38077727536976402</v>
      </c>
      <c r="L767" s="8">
        <f t="shared" si="568"/>
        <v>0.27734301143512918</v>
      </c>
      <c r="M767" s="8">
        <f t="shared" ref="M767:M830" si="569">L767-K767</f>
        <v>-0.10343426393463484</v>
      </c>
    </row>
    <row r="768" spans="1:13" x14ac:dyDescent="0.3">
      <c r="A768" s="1">
        <v>45327</v>
      </c>
      <c r="B768" s="5">
        <v>25590183.268176235</v>
      </c>
      <c r="C768" s="5">
        <v>23530856.250501733</v>
      </c>
      <c r="D768" s="5">
        <v>0</v>
      </c>
      <c r="E768" s="5">
        <f t="shared" si="504"/>
        <v>0</v>
      </c>
      <c r="F768" s="5">
        <f t="shared" si="504"/>
        <v>0</v>
      </c>
      <c r="G768" s="9">
        <f t="shared" si="506"/>
        <v>-4.8346360142411671E-3</v>
      </c>
      <c r="H768" s="9">
        <f t="shared" si="506"/>
        <v>-1.7340506574803349E-3</v>
      </c>
      <c r="I768" s="5">
        <f t="shared" si="507"/>
        <v>17408788.529531054</v>
      </c>
      <c r="J768" s="5">
        <f t="shared" si="508"/>
        <v>15922510.2656298</v>
      </c>
      <c r="K768" s="8">
        <f t="shared" ref="K768:L768" si="570">I768/I516-1</f>
        <v>0.42723544358209664</v>
      </c>
      <c r="L768" s="8">
        <f t="shared" si="570"/>
        <v>0.25722221498340492</v>
      </c>
      <c r="M768" s="8">
        <f t="shared" si="569"/>
        <v>-0.17001322859869172</v>
      </c>
    </row>
    <row r="769" spans="1:13" x14ac:dyDescent="0.3">
      <c r="A769" s="1">
        <v>45328</v>
      </c>
      <c r="B769" s="5">
        <v>25960141.73862242</v>
      </c>
      <c r="C769" s="5">
        <v>23583059.335060183</v>
      </c>
      <c r="D769" s="5">
        <v>0</v>
      </c>
      <c r="E769" s="5">
        <f t="shared" si="504"/>
        <v>0</v>
      </c>
      <c r="F769" s="5">
        <f t="shared" si="504"/>
        <v>0</v>
      </c>
      <c r="G769" s="9">
        <f t="shared" si="506"/>
        <v>1.4457046538868035E-2</v>
      </c>
      <c r="H769" s="9">
        <f t="shared" si="506"/>
        <v>2.2184948988983599E-3</v>
      </c>
      <c r="I769" s="5">
        <f t="shared" si="507"/>
        <v>17660468.195487797</v>
      </c>
      <c r="J769" s="5">
        <f t="shared" si="508"/>
        <v>15957834.273431756</v>
      </c>
      <c r="K769" s="8">
        <f t="shared" ref="K769:L769" si="571">I769/I517-1</f>
        <v>0.46456570802592267</v>
      </c>
      <c r="L769" s="8">
        <f t="shared" si="571"/>
        <v>0.27754243429486269</v>
      </c>
      <c r="M769" s="8">
        <f t="shared" si="569"/>
        <v>-0.18702327373105998</v>
      </c>
    </row>
    <row r="770" spans="1:13" x14ac:dyDescent="0.3">
      <c r="A770" s="1">
        <v>45329</v>
      </c>
      <c r="B770" s="5">
        <v>26385240.296751373</v>
      </c>
      <c r="C770" s="5">
        <v>23760547.071700938</v>
      </c>
      <c r="D770" s="5">
        <v>0</v>
      </c>
      <c r="E770" s="5">
        <f t="shared" si="504"/>
        <v>0</v>
      </c>
      <c r="F770" s="5">
        <f t="shared" si="504"/>
        <v>0</v>
      </c>
      <c r="G770" s="9">
        <f t="shared" si="506"/>
        <v>1.6375047656096209E-2</v>
      </c>
      <c r="H770" s="9">
        <f t="shared" si="506"/>
        <v>7.5260692058256584E-3</v>
      </c>
      <c r="I770" s="5">
        <f t="shared" si="507"/>
        <v>17949659.203817882</v>
      </c>
      <c r="J770" s="5">
        <f t="shared" si="508"/>
        <v>16077934.038548701</v>
      </c>
      <c r="K770" s="8">
        <f t="shared" ref="K770:L770" si="572">I770/I518-1</f>
        <v>0.47312528243465657</v>
      </c>
      <c r="L770" s="8">
        <f t="shared" si="572"/>
        <v>0.26514116788515163</v>
      </c>
      <c r="M770" s="8">
        <f t="shared" si="569"/>
        <v>-0.20798411454950494</v>
      </c>
    </row>
    <row r="771" spans="1:13" x14ac:dyDescent="0.3">
      <c r="A771" s="1">
        <v>45330</v>
      </c>
      <c r="B771" s="5">
        <v>26512280.199416116</v>
      </c>
      <c r="C771" s="5">
        <v>23777116.229857359</v>
      </c>
      <c r="D771" s="5">
        <v>0</v>
      </c>
      <c r="E771" s="5">
        <f t="shared" ref="E771:F834" si="573">$D771*-1</f>
        <v>0</v>
      </c>
      <c r="F771" s="5">
        <f t="shared" si="573"/>
        <v>0</v>
      </c>
      <c r="G771" s="9">
        <f t="shared" si="506"/>
        <v>4.8148093872157904E-3</v>
      </c>
      <c r="H771" s="9">
        <f t="shared" si="506"/>
        <v>6.9733908509861386E-4</v>
      </c>
      <c r="I771" s="5">
        <f t="shared" si="507"/>
        <v>18036083.391449749</v>
      </c>
      <c r="J771" s="5">
        <f t="shared" si="508"/>
        <v>16089145.810361417</v>
      </c>
      <c r="K771" s="8">
        <f t="shared" ref="K771:L771" si="574">I771/I519-1</f>
        <v>0.50455868987061003</v>
      </c>
      <c r="L771" s="8">
        <f t="shared" si="574"/>
        <v>0.25230854840905526</v>
      </c>
      <c r="M771" s="8">
        <f t="shared" si="569"/>
        <v>-0.25225014146155478</v>
      </c>
    </row>
    <row r="772" spans="1:13" x14ac:dyDescent="0.3">
      <c r="A772" s="1">
        <v>45331</v>
      </c>
      <c r="B772" s="5">
        <v>26412332.698112529</v>
      </c>
      <c r="C772" s="5">
        <v>23924572.268150002</v>
      </c>
      <c r="D772" s="5">
        <v>0</v>
      </c>
      <c r="E772" s="5">
        <f t="shared" si="573"/>
        <v>0</v>
      </c>
      <c r="F772" s="5">
        <f t="shared" si="573"/>
        <v>0</v>
      </c>
      <c r="G772" s="9">
        <f t="shared" ref="G772:H835" si="575">((B772-$D772)/B771-1)</f>
        <v>-3.7698568569665136E-3</v>
      </c>
      <c r="H772" s="9">
        <f t="shared" si="575"/>
        <v>6.2015947126288218E-3</v>
      </c>
      <c r="I772" s="5">
        <f t="shared" ref="I772:I835" si="576">I771*(1+G772)</f>
        <v>17968089.938803673</v>
      </c>
      <c r="J772" s="5">
        <f t="shared" ref="J772:J835" si="577">J771*(1+H772)</f>
        <v>16188924.171949668</v>
      </c>
      <c r="K772" s="8">
        <f t="shared" ref="K772:L772" si="578">I772/I520-1</f>
        <v>0.50244171932676296</v>
      </c>
      <c r="L772" s="8">
        <f t="shared" si="578"/>
        <v>0.23721281309173103</v>
      </c>
      <c r="M772" s="8">
        <f t="shared" si="569"/>
        <v>-0.26522890623503192</v>
      </c>
    </row>
    <row r="773" spans="1:13" x14ac:dyDescent="0.3">
      <c r="A773" s="1">
        <v>45334</v>
      </c>
      <c r="B773" s="5">
        <v>25905313.58072266</v>
      </c>
      <c r="C773" s="5">
        <v>23887780.336345714</v>
      </c>
      <c r="D773" s="5">
        <v>0</v>
      </c>
      <c r="E773" s="5">
        <f t="shared" si="573"/>
        <v>0</v>
      </c>
      <c r="F773" s="5">
        <f t="shared" si="573"/>
        <v>0</v>
      </c>
      <c r="G773" s="9">
        <f t="shared" si="575"/>
        <v>-1.9196302090579875E-2</v>
      </c>
      <c r="H773" s="9">
        <f t="shared" si="575"/>
        <v>-1.5378302856126069E-3</v>
      </c>
      <c r="I773" s="5">
        <f t="shared" si="576"/>
        <v>17623169.056347687</v>
      </c>
      <c r="J773" s="5">
        <f t="shared" si="577"/>
        <v>16164028.354066558</v>
      </c>
      <c r="K773" s="8">
        <f t="shared" ref="K773:L773" si="579">I773/I521-1</f>
        <v>0.47379516312815184</v>
      </c>
      <c r="L773" s="8">
        <f t="shared" si="579"/>
        <v>0.24544511167115646</v>
      </c>
      <c r="M773" s="8">
        <f t="shared" si="569"/>
        <v>-0.22835005145699538</v>
      </c>
    </row>
    <row r="774" spans="1:13" x14ac:dyDescent="0.3">
      <c r="A774" s="1">
        <v>45335</v>
      </c>
      <c r="B774" s="5">
        <v>26167159.137941469</v>
      </c>
      <c r="C774" s="5">
        <v>23595183.212542668</v>
      </c>
      <c r="D774" s="5">
        <v>0</v>
      </c>
      <c r="E774" s="5">
        <f t="shared" si="573"/>
        <v>0</v>
      </c>
      <c r="F774" s="5">
        <f t="shared" si="573"/>
        <v>0</v>
      </c>
      <c r="G774" s="9">
        <f t="shared" si="575"/>
        <v>1.0107793383889341E-2</v>
      </c>
      <c r="H774" s="9">
        <f t="shared" si="575"/>
        <v>-1.2248820094760027E-2</v>
      </c>
      <c r="I774" s="5">
        <f t="shared" si="576"/>
        <v>17801300.4079386</v>
      </c>
      <c r="J774" s="5">
        <f t="shared" si="577"/>
        <v>15966038.078750998</v>
      </c>
      <c r="K774" s="8">
        <f t="shared" ref="K774:L774" si="580">I774/I522-1</f>
        <v>0.48047570847597609</v>
      </c>
      <c r="L774" s="8">
        <f t="shared" si="580"/>
        <v>0.22933294228344159</v>
      </c>
      <c r="M774" s="8">
        <f t="shared" si="569"/>
        <v>-0.25114276619253451</v>
      </c>
    </row>
    <row r="775" spans="1:13" x14ac:dyDescent="0.3">
      <c r="A775" s="1">
        <v>45336</v>
      </c>
      <c r="B775" s="5">
        <v>26525611.948370878</v>
      </c>
      <c r="C775" s="5">
        <v>23814194.621198121</v>
      </c>
      <c r="D775" s="5">
        <v>0</v>
      </c>
      <c r="E775" s="5">
        <f t="shared" si="573"/>
        <v>0</v>
      </c>
      <c r="F775" s="5">
        <f t="shared" si="573"/>
        <v>0</v>
      </c>
      <c r="G775" s="9">
        <f t="shared" si="575"/>
        <v>1.3698575704752969E-2</v>
      </c>
      <c r="H775" s="9">
        <f t="shared" si="575"/>
        <v>9.2820389094936395E-3</v>
      </c>
      <c r="I775" s="5">
        <f t="shared" si="576"/>
        <v>18045152.869219795</v>
      </c>
      <c r="J775" s="5">
        <f t="shared" si="577"/>
        <v>16114235.465428421</v>
      </c>
      <c r="K775" s="8">
        <f t="shared" ref="K775:L775" si="581">I775/I523-1</f>
        <v>0.50309491325073696</v>
      </c>
      <c r="L775" s="8">
        <f t="shared" si="581"/>
        <v>0.2243616553772998</v>
      </c>
      <c r="M775" s="8">
        <f t="shared" si="569"/>
        <v>-0.27873325787343717</v>
      </c>
    </row>
    <row r="776" spans="1:13" x14ac:dyDescent="0.3">
      <c r="A776" s="1">
        <v>45337</v>
      </c>
      <c r="B776" s="5">
        <v>26761807.779474914</v>
      </c>
      <c r="C776" s="5">
        <v>23952453.800688379</v>
      </c>
      <c r="D776" s="5">
        <v>0</v>
      </c>
      <c r="E776" s="5">
        <f t="shared" si="573"/>
        <v>0</v>
      </c>
      <c r="F776" s="5">
        <f t="shared" si="573"/>
        <v>0</v>
      </c>
      <c r="G776" s="9">
        <f t="shared" si="575"/>
        <v>8.9044441863872503E-3</v>
      </c>
      <c r="H776" s="9">
        <f t="shared" si="575"/>
        <v>5.8057466015326575E-3</v>
      </c>
      <c r="I776" s="5">
        <f t="shared" si="576"/>
        <v>18205834.92577859</v>
      </c>
      <c r="J776" s="5">
        <f t="shared" si="577"/>
        <v>16207790.63321813</v>
      </c>
      <c r="K776" s="8">
        <f t="shared" ref="K776:L776" si="582">I776/I524-1</f>
        <v>0.50298507353741018</v>
      </c>
      <c r="L776" s="8">
        <f t="shared" si="582"/>
        <v>0.24763997004525695</v>
      </c>
      <c r="M776" s="8">
        <f t="shared" si="569"/>
        <v>-0.25534510349215322</v>
      </c>
    </row>
    <row r="777" spans="1:13" x14ac:dyDescent="0.3">
      <c r="A777" s="1">
        <v>45338</v>
      </c>
      <c r="B777" s="5">
        <v>26945885.342669018</v>
      </c>
      <c r="C777" s="5">
        <v>23846935.914644636</v>
      </c>
      <c r="D777" s="5">
        <v>0</v>
      </c>
      <c r="E777" s="5">
        <f t="shared" si="573"/>
        <v>0</v>
      </c>
      <c r="F777" s="5">
        <f t="shared" si="573"/>
        <v>0</v>
      </c>
      <c r="G777" s="9">
        <f t="shared" si="575"/>
        <v>6.8783680351849341E-3</v>
      </c>
      <c r="H777" s="9">
        <f t="shared" si="575"/>
        <v>-4.4053058998368977E-3</v>
      </c>
      <c r="I777" s="5">
        <f t="shared" si="576"/>
        <v>18331061.35878592</v>
      </c>
      <c r="J777" s="5">
        <f t="shared" si="577"/>
        <v>16136390.357518293</v>
      </c>
      <c r="K777" s="8">
        <f t="shared" ref="K777:L777" si="583">I777/I525-1</f>
        <v>0.52088605203824589</v>
      </c>
      <c r="L777" s="8">
        <f t="shared" si="583"/>
        <v>0.25620945992661226</v>
      </c>
      <c r="M777" s="8">
        <f t="shared" si="569"/>
        <v>-0.26467659211163364</v>
      </c>
    </row>
    <row r="778" spans="1:13" x14ac:dyDescent="0.3">
      <c r="A778" s="1">
        <v>45341</v>
      </c>
      <c r="B778" s="5">
        <v>26975401.698385589</v>
      </c>
      <c r="C778" s="5">
        <v>23664600.05534099</v>
      </c>
      <c r="D778" s="5">
        <v>0</v>
      </c>
      <c r="E778" s="5">
        <f t="shared" si="573"/>
        <v>0</v>
      </c>
      <c r="F778" s="5">
        <f t="shared" si="573"/>
        <v>0</v>
      </c>
      <c r="G778" s="9">
        <f t="shared" si="575"/>
        <v>1.0953937991353691E-3</v>
      </c>
      <c r="H778" s="9">
        <f t="shared" si="575"/>
        <v>-7.6460917224870917E-3</v>
      </c>
      <c r="I778" s="5">
        <f t="shared" si="576"/>
        <v>18351141.089729905</v>
      </c>
      <c r="J778" s="5">
        <f t="shared" si="577"/>
        <v>16013010.036774851</v>
      </c>
      <c r="K778" s="8">
        <f t="shared" ref="K778:L778" si="584">I778/I526-1</f>
        <v>0.52342259915743883</v>
      </c>
      <c r="L778" s="8">
        <f t="shared" si="584"/>
        <v>0.2431677831892245</v>
      </c>
      <c r="M778" s="8">
        <f t="shared" si="569"/>
        <v>-0.28025481596821433</v>
      </c>
    </row>
    <row r="779" spans="1:13" x14ac:dyDescent="0.3">
      <c r="A779" s="1">
        <v>45342</v>
      </c>
      <c r="B779" s="5">
        <v>27007491.474811926</v>
      </c>
      <c r="C779" s="5">
        <v>23664600.05534099</v>
      </c>
      <c r="D779" s="5">
        <v>0</v>
      </c>
      <c r="E779" s="5">
        <f t="shared" si="573"/>
        <v>0</v>
      </c>
      <c r="F779" s="5">
        <f t="shared" si="573"/>
        <v>0</v>
      </c>
      <c r="G779" s="9">
        <f t="shared" si="575"/>
        <v>1.1895940155084439E-3</v>
      </c>
      <c r="H779" s="9">
        <f t="shared" si="575"/>
        <v>0</v>
      </c>
      <c r="I779" s="5">
        <f t="shared" si="576"/>
        <v>18372971.497347999</v>
      </c>
      <c r="J779" s="5">
        <f t="shared" si="577"/>
        <v>16013010.036774851</v>
      </c>
      <c r="K779" s="8">
        <f t="shared" ref="K779:L779" si="585">I779/I527-1</f>
        <v>0.54753936960228566</v>
      </c>
      <c r="L779" s="8">
        <f t="shared" si="585"/>
        <v>0.22519513741579678</v>
      </c>
      <c r="M779" s="8">
        <f t="shared" si="569"/>
        <v>-0.32234423218648889</v>
      </c>
    </row>
    <row r="780" spans="1:13" x14ac:dyDescent="0.3">
      <c r="A780" s="1">
        <v>45343</v>
      </c>
      <c r="B780" s="5">
        <v>26861700.04321276</v>
      </c>
      <c r="C780" s="5">
        <v>23718448.364568714</v>
      </c>
      <c r="D780" s="5">
        <v>0</v>
      </c>
      <c r="E780" s="5">
        <f t="shared" si="573"/>
        <v>0</v>
      </c>
      <c r="F780" s="5">
        <f t="shared" si="573"/>
        <v>0</v>
      </c>
      <c r="G780" s="9">
        <f t="shared" si="575"/>
        <v>-5.3981848604909288E-3</v>
      </c>
      <c r="H780" s="9">
        <f t="shared" si="575"/>
        <v>2.2754793701054155E-3</v>
      </c>
      <c r="I780" s="5">
        <f t="shared" si="576"/>
        <v>18273790.800768785</v>
      </c>
      <c r="J780" s="5">
        <f t="shared" si="577"/>
        <v>16049447.310766824</v>
      </c>
      <c r="K780" s="8">
        <f t="shared" ref="K780:L780" si="586">I780/I528-1</f>
        <v>0.5408918870457351</v>
      </c>
      <c r="L780" s="8">
        <f t="shared" si="586"/>
        <v>0.22610269123540561</v>
      </c>
      <c r="M780" s="8">
        <f t="shared" si="569"/>
        <v>-0.31478919581032949</v>
      </c>
    </row>
    <row r="781" spans="1:13" x14ac:dyDescent="0.3">
      <c r="A781" s="1">
        <v>45344</v>
      </c>
      <c r="B781" s="5">
        <v>27143486.361663695</v>
      </c>
      <c r="C781" s="5">
        <v>24191514.996346403</v>
      </c>
      <c r="D781" s="5">
        <v>0</v>
      </c>
      <c r="E781" s="5">
        <f t="shared" si="573"/>
        <v>0</v>
      </c>
      <c r="F781" s="5">
        <f t="shared" si="573"/>
        <v>0</v>
      </c>
      <c r="G781" s="9">
        <f t="shared" si="575"/>
        <v>1.0490263758348162E-2</v>
      </c>
      <c r="H781" s="9">
        <f t="shared" si="575"/>
        <v>1.9945091875587018E-2</v>
      </c>
      <c r="I781" s="5">
        <f t="shared" si="576"/>
        <v>18465487.686133727</v>
      </c>
      <c r="J781" s="5">
        <f t="shared" si="577"/>
        <v>16369555.011932461</v>
      </c>
      <c r="K781" s="8">
        <f t="shared" ref="K781:L781" si="587">I781/I529-1</f>
        <v>0.54609511929240973</v>
      </c>
      <c r="L781" s="8">
        <f t="shared" si="587"/>
        <v>0.24799075667289316</v>
      </c>
      <c r="M781" s="8">
        <f t="shared" si="569"/>
        <v>-0.29810436261951656</v>
      </c>
    </row>
    <row r="782" spans="1:13" x14ac:dyDescent="0.3">
      <c r="A782" s="1">
        <v>45345</v>
      </c>
      <c r="B782" s="5">
        <v>27217381.227549456</v>
      </c>
      <c r="C782" s="5">
        <v>24200456.871775605</v>
      </c>
      <c r="D782" s="5">
        <v>0</v>
      </c>
      <c r="E782" s="5">
        <f t="shared" si="573"/>
        <v>0</v>
      </c>
      <c r="F782" s="5">
        <f t="shared" si="573"/>
        <v>0</v>
      </c>
      <c r="G782" s="9">
        <f t="shared" si="575"/>
        <v>2.7223793178656752E-3</v>
      </c>
      <c r="H782" s="9">
        <f t="shared" si="575"/>
        <v>3.6962858384659292E-4</v>
      </c>
      <c r="I782" s="5">
        <f t="shared" si="576"/>
        <v>18515757.747904763</v>
      </c>
      <c r="J782" s="5">
        <f t="shared" si="577"/>
        <v>16375605.66736972</v>
      </c>
      <c r="K782" s="8">
        <f t="shared" ref="K782:L782" si="588">I782/I530-1</f>
        <v>0.53919926381252159</v>
      </c>
      <c r="L782" s="8">
        <f t="shared" si="588"/>
        <v>0.26640298145930941</v>
      </c>
      <c r="M782" s="8">
        <f t="shared" si="569"/>
        <v>-0.27279628235321218</v>
      </c>
    </row>
    <row r="783" spans="1:13" x14ac:dyDescent="0.3">
      <c r="A783" s="1">
        <v>45348</v>
      </c>
      <c r="B783" s="5">
        <v>27237991.338107608</v>
      </c>
      <c r="C783" s="5">
        <v>24106811.318413634</v>
      </c>
      <c r="D783" s="5">
        <v>0</v>
      </c>
      <c r="E783" s="5">
        <f t="shared" si="573"/>
        <v>0</v>
      </c>
      <c r="F783" s="5">
        <f t="shared" si="573"/>
        <v>0</v>
      </c>
      <c r="G783" s="9">
        <f t="shared" si="575"/>
        <v>7.5724076412209129E-4</v>
      </c>
      <c r="H783" s="9">
        <f t="shared" si="575"/>
        <v>-3.8695779116132423E-3</v>
      </c>
      <c r="I783" s="5">
        <f t="shared" si="576"/>
        <v>18529778.634450085</v>
      </c>
      <c r="J783" s="5">
        <f t="shared" si="577"/>
        <v>16312238.985389978</v>
      </c>
      <c r="K783" s="8">
        <f t="shared" ref="K783:L783" si="589">I783/I531-1</f>
        <v>0.55001019742699664</v>
      </c>
      <c r="L783" s="8">
        <f t="shared" si="589"/>
        <v>0.26492028026588965</v>
      </c>
      <c r="M783" s="8">
        <f t="shared" si="569"/>
        <v>-0.28508991716110699</v>
      </c>
    </row>
    <row r="784" spans="1:13" x14ac:dyDescent="0.3">
      <c r="A784" s="1">
        <v>45349</v>
      </c>
      <c r="B784" s="5">
        <v>27215954.79864594</v>
      </c>
      <c r="C784" s="5">
        <v>24157061.02930928</v>
      </c>
      <c r="D784" s="5">
        <v>0</v>
      </c>
      <c r="E784" s="5">
        <f t="shared" si="573"/>
        <v>0</v>
      </c>
      <c r="F784" s="5">
        <f t="shared" si="573"/>
        <v>0</v>
      </c>
      <c r="G784" s="9">
        <f t="shared" si="575"/>
        <v>-8.0903687750422115E-4</v>
      </c>
      <c r="H784" s="9">
        <f t="shared" si="575"/>
        <v>2.084461118972758E-3</v>
      </c>
      <c r="I784" s="5">
        <f t="shared" si="576"/>
        <v>18514787.360202827</v>
      </c>
      <c r="J784" s="5">
        <f t="shared" si="577"/>
        <v>16346241.213318415</v>
      </c>
      <c r="K784" s="8">
        <f t="shared" ref="K784:L784" si="590">I784/I532-1</f>
        <v>0.55361014814526532</v>
      </c>
      <c r="L784" s="8">
        <f t="shared" si="590"/>
        <v>0.29159682647369944</v>
      </c>
      <c r="M784" s="8">
        <f t="shared" si="569"/>
        <v>-0.26201332167156588</v>
      </c>
    </row>
    <row r="785" spans="1:13" x14ac:dyDescent="0.3">
      <c r="A785" s="1">
        <v>45350</v>
      </c>
      <c r="B785" s="5">
        <v>26864728.361522742</v>
      </c>
      <c r="C785" s="5">
        <v>24119267.150391288</v>
      </c>
      <c r="D785" s="5">
        <v>0</v>
      </c>
      <c r="E785" s="5">
        <f t="shared" si="573"/>
        <v>0</v>
      </c>
      <c r="F785" s="5">
        <f t="shared" si="573"/>
        <v>0</v>
      </c>
      <c r="G785" s="9">
        <f t="shared" si="575"/>
        <v>-1.2905166830328274E-2</v>
      </c>
      <c r="H785" s="9">
        <f t="shared" si="575"/>
        <v>-1.5645064965534861E-3</v>
      </c>
      <c r="I785" s="5">
        <f t="shared" si="576"/>
        <v>18275850.940491356</v>
      </c>
      <c r="J785" s="5">
        <f t="shared" si="577"/>
        <v>16320667.412745949</v>
      </c>
      <c r="K785" s="8">
        <f t="shared" ref="K785:L785" si="591">I785/I533-1</f>
        <v>0.53640833123813136</v>
      </c>
      <c r="L785" s="8">
        <f t="shared" si="591"/>
        <v>0.28957611484775359</v>
      </c>
      <c r="M785" s="8">
        <f t="shared" si="569"/>
        <v>-0.24683221639037778</v>
      </c>
    </row>
    <row r="786" spans="1:13" x14ac:dyDescent="0.3">
      <c r="A786" s="1">
        <v>45351</v>
      </c>
      <c r="B786" s="5">
        <v>27142644.801103305</v>
      </c>
      <c r="C786" s="5">
        <v>24247677.20033408</v>
      </c>
      <c r="D786" s="5">
        <v>0</v>
      </c>
      <c r="E786" s="5">
        <f t="shared" si="573"/>
        <v>0</v>
      </c>
      <c r="F786" s="5">
        <f t="shared" si="573"/>
        <v>0</v>
      </c>
      <c r="G786" s="9">
        <f t="shared" si="575"/>
        <v>1.0345030697522795E-2</v>
      </c>
      <c r="H786" s="9">
        <f t="shared" si="575"/>
        <v>5.3239615093656489E-3</v>
      </c>
      <c r="I786" s="5">
        <f t="shared" si="576"/>
        <v>18464915.17949409</v>
      </c>
      <c r="J786" s="5">
        <f t="shared" si="577"/>
        <v>16407558.017858567</v>
      </c>
      <c r="K786" s="8">
        <f t="shared" ref="K786:L786" si="592">I786/I534-1</f>
        <v>0.57453837557284482</v>
      </c>
      <c r="L786" s="8">
        <f t="shared" si="592"/>
        <v>0.2995601693737544</v>
      </c>
      <c r="M786" s="8">
        <f t="shared" si="569"/>
        <v>-0.27497820619909041</v>
      </c>
    </row>
    <row r="787" spans="1:13" x14ac:dyDescent="0.3">
      <c r="A787" s="1">
        <v>45352</v>
      </c>
      <c r="B787" s="5">
        <v>27379782.920093488</v>
      </c>
      <c r="C787" s="5">
        <v>24455063.853524875</v>
      </c>
      <c r="D787" s="5">
        <v>0</v>
      </c>
      <c r="E787" s="5">
        <f t="shared" si="573"/>
        <v>0</v>
      </c>
      <c r="F787" s="5">
        <f t="shared" si="573"/>
        <v>0</v>
      </c>
      <c r="G787" s="9">
        <f t="shared" si="575"/>
        <v>8.7367358902528114E-3</v>
      </c>
      <c r="H787" s="9">
        <f t="shared" si="575"/>
        <v>8.5528461748054507E-3</v>
      </c>
      <c r="I787" s="5">
        <f t="shared" si="576"/>
        <v>18626238.266653251</v>
      </c>
      <c r="J787" s="5">
        <f t="shared" si="577"/>
        <v>16547889.337689508</v>
      </c>
      <c r="K787" s="8">
        <f t="shared" ref="K787:L787" si="593">I787/I535-1</f>
        <v>0.59513726523558885</v>
      </c>
      <c r="L787" s="8">
        <f t="shared" si="593"/>
        <v>0.30661862076843582</v>
      </c>
      <c r="M787" s="8">
        <f t="shared" si="569"/>
        <v>-0.28851864446715303</v>
      </c>
    </row>
    <row r="788" spans="1:13" x14ac:dyDescent="0.3">
      <c r="A788" s="1">
        <v>45353</v>
      </c>
      <c r="B788" s="5">
        <v>27507209.48571841</v>
      </c>
      <c r="C788" s="5">
        <v>24417913.516668033</v>
      </c>
      <c r="D788" s="5">
        <v>0</v>
      </c>
      <c r="E788" s="5">
        <f t="shared" si="573"/>
        <v>0</v>
      </c>
      <c r="F788" s="5">
        <f t="shared" si="573"/>
        <v>0</v>
      </c>
      <c r="G788" s="9">
        <f t="shared" si="575"/>
        <v>4.6540385654922911E-3</v>
      </c>
      <c r="H788" s="9">
        <f t="shared" si="575"/>
        <v>-1.5191265530671849E-3</v>
      </c>
      <c r="I788" s="5">
        <f t="shared" si="576"/>
        <v>18712925.497876305</v>
      </c>
      <c r="J788" s="5">
        <f t="shared" si="577"/>
        <v>16522750.999599406</v>
      </c>
      <c r="K788" s="8">
        <f t="shared" ref="K788:L788" si="594">I788/I536-1</f>
        <v>0.60387514434221368</v>
      </c>
      <c r="L788" s="8">
        <f t="shared" si="594"/>
        <v>0.31243147752222455</v>
      </c>
      <c r="M788" s="8">
        <f t="shared" si="569"/>
        <v>-0.29144366681998912</v>
      </c>
    </row>
    <row r="789" spans="1:13" x14ac:dyDescent="0.3">
      <c r="A789" s="1">
        <v>45355</v>
      </c>
      <c r="B789" s="5">
        <v>27581071.858918447</v>
      </c>
      <c r="C789" s="5">
        <v>24417913.516668033</v>
      </c>
      <c r="D789" s="5">
        <v>0</v>
      </c>
      <c r="E789" s="5">
        <f t="shared" si="573"/>
        <v>0</v>
      </c>
      <c r="F789" s="5">
        <f t="shared" si="573"/>
        <v>0</v>
      </c>
      <c r="G789" s="9">
        <f t="shared" si="575"/>
        <v>2.6852005194633044E-3</v>
      </c>
      <c r="H789" s="9">
        <f t="shared" si="575"/>
        <v>0</v>
      </c>
      <c r="I789" s="5">
        <f t="shared" si="576"/>
        <v>18763173.45514388</v>
      </c>
      <c r="J789" s="5">
        <f t="shared" si="577"/>
        <v>16522750.999599406</v>
      </c>
      <c r="K789" s="8">
        <f t="shared" ref="K789:L789" si="595">I789/I537-1</f>
        <v>0.62337746287519002</v>
      </c>
      <c r="L789" s="8">
        <f t="shared" si="595"/>
        <v>0.31267940413384188</v>
      </c>
      <c r="M789" s="8">
        <f t="shared" si="569"/>
        <v>-0.31069805874134815</v>
      </c>
    </row>
    <row r="790" spans="1:13" x14ac:dyDescent="0.3">
      <c r="A790" s="1">
        <v>45356</v>
      </c>
      <c r="B790" s="5">
        <v>27598156.513074957</v>
      </c>
      <c r="C790" s="5">
        <v>24163768.097145118</v>
      </c>
      <c r="D790" s="5">
        <v>0</v>
      </c>
      <c r="E790" s="5">
        <f t="shared" si="573"/>
        <v>0</v>
      </c>
      <c r="F790" s="5">
        <f t="shared" si="573"/>
        <v>0</v>
      </c>
      <c r="G790" s="9">
        <f t="shared" si="575"/>
        <v>6.1943401778941087E-4</v>
      </c>
      <c r="H790" s="9">
        <f t="shared" si="575"/>
        <v>-1.0408154625882848E-2</v>
      </c>
      <c r="I790" s="5">
        <f t="shared" si="576"/>
        <v>18774796.003063679</v>
      </c>
      <c r="J790" s="5">
        <f t="shared" si="577"/>
        <v>16350779.652350616</v>
      </c>
      <c r="K790" s="8">
        <f t="shared" ref="K790:L790" si="596">I790/I538-1</f>
        <v>0.62004945797455213</v>
      </c>
      <c r="L790" s="8">
        <f t="shared" si="596"/>
        <v>0.3047338638286492</v>
      </c>
      <c r="M790" s="8">
        <f t="shared" si="569"/>
        <v>-0.31531559414590293</v>
      </c>
    </row>
    <row r="791" spans="1:13" x14ac:dyDescent="0.3">
      <c r="A791" s="1">
        <v>45357</v>
      </c>
      <c r="B791" s="5">
        <v>27522663.007051304</v>
      </c>
      <c r="C791" s="5">
        <v>24266317.17262809</v>
      </c>
      <c r="D791" s="5">
        <v>0</v>
      </c>
      <c r="E791" s="5">
        <f t="shared" si="573"/>
        <v>0</v>
      </c>
      <c r="F791" s="5">
        <f t="shared" si="573"/>
        <v>0</v>
      </c>
      <c r="G791" s="9">
        <f t="shared" si="575"/>
        <v>-2.7354546666146229E-3</v>
      </c>
      <c r="H791" s="9">
        <f t="shared" si="575"/>
        <v>4.243919039062849E-3</v>
      </c>
      <c r="I791" s="5">
        <f t="shared" si="576"/>
        <v>18723438.39972236</v>
      </c>
      <c r="J791" s="5">
        <f t="shared" si="577"/>
        <v>16420171.037420748</v>
      </c>
      <c r="K791" s="8">
        <f t="shared" ref="K791:L791" si="597">I791/I539-1</f>
        <v>0.59700787906326225</v>
      </c>
      <c r="L791" s="8">
        <f t="shared" si="597"/>
        <v>0.31864663093852452</v>
      </c>
      <c r="M791" s="8">
        <f t="shared" si="569"/>
        <v>-0.27836124812473773</v>
      </c>
    </row>
    <row r="792" spans="1:13" x14ac:dyDescent="0.3">
      <c r="A792" s="1">
        <v>45358</v>
      </c>
      <c r="B792" s="5">
        <v>27760957.865653459</v>
      </c>
      <c r="C792" s="5">
        <v>24519738.640395407</v>
      </c>
      <c r="D792" s="5">
        <v>0</v>
      </c>
      <c r="E792" s="5">
        <f t="shared" si="573"/>
        <v>0</v>
      </c>
      <c r="F792" s="5">
        <f t="shared" si="573"/>
        <v>0</v>
      </c>
      <c r="G792" s="9">
        <f t="shared" si="575"/>
        <v>8.6581323377430408E-3</v>
      </c>
      <c r="H792" s="9">
        <f t="shared" si="575"/>
        <v>1.0443342760440455E-2</v>
      </c>
      <c r="I792" s="5">
        <f t="shared" si="576"/>
        <v>18885548.407204736</v>
      </c>
      <c r="J792" s="5">
        <f t="shared" si="577"/>
        <v>16591652.51174959</v>
      </c>
      <c r="K792" s="8">
        <f t="shared" ref="K792:L792" si="598">I792/I540-1</f>
        <v>0.61173506423732626</v>
      </c>
      <c r="L792" s="8">
        <f t="shared" si="598"/>
        <v>0.32250916259336448</v>
      </c>
      <c r="M792" s="8">
        <f t="shared" si="569"/>
        <v>-0.28922590164396178</v>
      </c>
    </row>
    <row r="793" spans="1:13" x14ac:dyDescent="0.3">
      <c r="A793" s="1">
        <v>45362</v>
      </c>
      <c r="B793" s="5">
        <v>27755099.434416454</v>
      </c>
      <c r="C793" s="5">
        <v>24316468.751955841</v>
      </c>
      <c r="D793" s="5">
        <v>0</v>
      </c>
      <c r="E793" s="5">
        <f t="shared" si="573"/>
        <v>0</v>
      </c>
      <c r="F793" s="5">
        <f t="shared" si="573"/>
        <v>0</v>
      </c>
      <c r="G793" s="9">
        <f t="shared" si="575"/>
        <v>-2.1103130754196453E-4</v>
      </c>
      <c r="H793" s="9">
        <f t="shared" si="575"/>
        <v>-8.2900511877678218E-3</v>
      </c>
      <c r="I793" s="5">
        <f t="shared" si="576"/>
        <v>18881562.965230718</v>
      </c>
      <c r="J793" s="5">
        <f t="shared" si="577"/>
        <v>16454106.863137528</v>
      </c>
      <c r="K793" s="8">
        <f t="shared" ref="K793:L793" si="599">I793/I541-1</f>
        <v>0.5968756624864533</v>
      </c>
      <c r="L793" s="8">
        <f t="shared" si="599"/>
        <v>0.29736626206078798</v>
      </c>
      <c r="M793" s="8">
        <f t="shared" si="569"/>
        <v>-0.29950940042566532</v>
      </c>
    </row>
    <row r="794" spans="1:13" x14ac:dyDescent="0.3">
      <c r="A794" s="1">
        <v>45363</v>
      </c>
      <c r="B794" s="5">
        <v>27325302.433931034</v>
      </c>
      <c r="C794" s="5">
        <v>24604502.361093443</v>
      </c>
      <c r="D794" s="5">
        <v>0</v>
      </c>
      <c r="E794" s="5">
        <f t="shared" si="573"/>
        <v>0</v>
      </c>
      <c r="F794" s="5">
        <f t="shared" si="573"/>
        <v>0</v>
      </c>
      <c r="G794" s="9">
        <f t="shared" si="575"/>
        <v>-1.548533455990686E-2</v>
      </c>
      <c r="H794" s="9">
        <f t="shared" si="575"/>
        <v>1.1845207134133506E-2</v>
      </c>
      <c r="I794" s="5">
        <f t="shared" si="576"/>
        <v>18589175.645700175</v>
      </c>
      <c r="J794" s="5">
        <f t="shared" si="577"/>
        <v>16649009.16713856</v>
      </c>
      <c r="K794" s="8">
        <f t="shared" ref="K794:L794" si="600">I794/I542-1</f>
        <v>0.55973330321319459</v>
      </c>
      <c r="L794" s="8">
        <f t="shared" si="600"/>
        <v>0.31515117000663473</v>
      </c>
      <c r="M794" s="8">
        <f t="shared" si="569"/>
        <v>-0.24458213320655986</v>
      </c>
    </row>
    <row r="795" spans="1:13" x14ac:dyDescent="0.3">
      <c r="A795" s="1">
        <v>45364</v>
      </c>
      <c r="B795" s="5">
        <v>26300122.457214683</v>
      </c>
      <c r="C795" s="5">
        <v>24570044.690978285</v>
      </c>
      <c r="D795" s="5">
        <v>0</v>
      </c>
      <c r="E795" s="5">
        <f t="shared" si="573"/>
        <v>0</v>
      </c>
      <c r="F795" s="5">
        <f t="shared" si="573"/>
        <v>0</v>
      </c>
      <c r="G795" s="9">
        <f t="shared" si="575"/>
        <v>-3.751760768961665E-2</v>
      </c>
      <c r="H795" s="9">
        <f t="shared" si="575"/>
        <v>-1.4004619808789531E-3</v>
      </c>
      <c r="I795" s="5">
        <f t="shared" si="576"/>
        <v>17891754.246551421</v>
      </c>
      <c r="J795" s="5">
        <f t="shared" si="577"/>
        <v>16625692.862780677</v>
      </c>
      <c r="K795" s="8">
        <f t="shared" ref="K795:L795" si="601">I795/I543-1</f>
        <v>0.4953335066214366</v>
      </c>
      <c r="L795" s="8">
        <f t="shared" si="601"/>
        <v>0.33025085851879221</v>
      </c>
      <c r="M795" s="8">
        <f t="shared" si="569"/>
        <v>-0.16508264810264439</v>
      </c>
    </row>
    <row r="796" spans="1:13" x14ac:dyDescent="0.3">
      <c r="A796" s="1">
        <v>45365</v>
      </c>
      <c r="B796" s="5">
        <v>26930902.96527921</v>
      </c>
      <c r="C796" s="5">
        <v>24508497.6825184</v>
      </c>
      <c r="D796" s="5">
        <v>0</v>
      </c>
      <c r="E796" s="5">
        <f t="shared" si="573"/>
        <v>0</v>
      </c>
      <c r="F796" s="5">
        <f t="shared" si="573"/>
        <v>0</v>
      </c>
      <c r="G796" s="9">
        <f t="shared" si="575"/>
        <v>2.3983938063052213E-2</v>
      </c>
      <c r="H796" s="9">
        <f t="shared" si="575"/>
        <v>-2.504961192947408E-3</v>
      </c>
      <c r="I796" s="5">
        <f t="shared" si="576"/>
        <v>18320868.972240061</v>
      </c>
      <c r="J796" s="5">
        <f t="shared" si="577"/>
        <v>16584046.147353549</v>
      </c>
      <c r="K796" s="8">
        <f t="shared" ref="K796:L796" si="602">I796/I544-1</f>
        <v>0.54246761036446256</v>
      </c>
      <c r="L796" s="8">
        <f t="shared" si="602"/>
        <v>0.34901311699996973</v>
      </c>
      <c r="M796" s="8">
        <f t="shared" si="569"/>
        <v>-0.19345449336449283</v>
      </c>
    </row>
    <row r="797" spans="1:13" x14ac:dyDescent="0.3">
      <c r="A797" s="1">
        <v>45366</v>
      </c>
      <c r="B797" s="5">
        <v>26718563.264037691</v>
      </c>
      <c r="C797" s="5">
        <v>24362181.927754577</v>
      </c>
      <c r="D797" s="5">
        <v>0</v>
      </c>
      <c r="E797" s="5">
        <f t="shared" si="573"/>
        <v>0</v>
      </c>
      <c r="F797" s="5">
        <f t="shared" si="573"/>
        <v>0</v>
      </c>
      <c r="G797" s="9">
        <f t="shared" si="575"/>
        <v>-7.8846112778052646E-3</v>
      </c>
      <c r="H797" s="9">
        <f t="shared" si="575"/>
        <v>-5.9700009628982365E-3</v>
      </c>
      <c r="I797" s="5">
        <f t="shared" si="576"/>
        <v>18176416.042122345</v>
      </c>
      <c r="J797" s="5">
        <f t="shared" si="577"/>
        <v>16485039.375885099</v>
      </c>
      <c r="K797" s="8">
        <f t="shared" ref="K797:L797" si="603">I797/I545-1</f>
        <v>0.53386662418645403</v>
      </c>
      <c r="L797" s="8">
        <f t="shared" si="603"/>
        <v>0.36204781350206594</v>
      </c>
      <c r="M797" s="8">
        <f t="shared" si="569"/>
        <v>-0.17181881068438809</v>
      </c>
    </row>
    <row r="798" spans="1:13" x14ac:dyDescent="0.3">
      <c r="A798" s="1">
        <v>45369</v>
      </c>
      <c r="B798" s="5">
        <v>26885715.387235358</v>
      </c>
      <c r="C798" s="5">
        <v>24525244.059409294</v>
      </c>
      <c r="D798" s="5">
        <v>0</v>
      </c>
      <c r="E798" s="5">
        <f t="shared" si="573"/>
        <v>0</v>
      </c>
      <c r="F798" s="5">
        <f t="shared" si="573"/>
        <v>0</v>
      </c>
      <c r="G798" s="9">
        <f t="shared" si="575"/>
        <v>6.2560296205240729E-3</v>
      </c>
      <c r="H798" s="9">
        <f t="shared" si="575"/>
        <v>6.6932482541290916E-3</v>
      </c>
      <c r="I798" s="5">
        <f t="shared" si="576"/>
        <v>18290128.23927683</v>
      </c>
      <c r="J798" s="5">
        <f t="shared" si="577"/>
        <v>16595377.836906992</v>
      </c>
      <c r="K798" s="8">
        <f t="shared" ref="K798:L798" si="604">I798/I546-1</f>
        <v>0.56350932912285523</v>
      </c>
      <c r="L798" s="8">
        <f t="shared" si="604"/>
        <v>0.3688601024826037</v>
      </c>
      <c r="M798" s="8">
        <f t="shared" si="569"/>
        <v>-0.19464922664025153</v>
      </c>
    </row>
    <row r="799" spans="1:13" x14ac:dyDescent="0.3">
      <c r="A799" s="1">
        <v>45370</v>
      </c>
      <c r="B799" s="5">
        <v>26419487.587510154</v>
      </c>
      <c r="C799" s="5">
        <v>24699492.925298389</v>
      </c>
      <c r="D799" s="5">
        <v>0</v>
      </c>
      <c r="E799" s="5">
        <f t="shared" si="573"/>
        <v>0</v>
      </c>
      <c r="F799" s="5">
        <f t="shared" si="573"/>
        <v>0</v>
      </c>
      <c r="G799" s="9">
        <f t="shared" si="575"/>
        <v>-1.7341097047637311E-2</v>
      </c>
      <c r="H799" s="9">
        <f t="shared" si="575"/>
        <v>7.104877956239708E-3</v>
      </c>
      <c r="I799" s="5">
        <f t="shared" si="576"/>
        <v>17972957.350465801</v>
      </c>
      <c r="J799" s="5">
        <f t="shared" si="577"/>
        <v>16713285.971075902</v>
      </c>
      <c r="K799" s="8">
        <f t="shared" ref="K799:L799" si="605">I799/I547-1</f>
        <v>0.54541416491330375</v>
      </c>
      <c r="L799" s="8">
        <f t="shared" si="605"/>
        <v>0.35492987661340902</v>
      </c>
      <c r="M799" s="8">
        <f t="shared" si="569"/>
        <v>-0.19048428829989472</v>
      </c>
    </row>
    <row r="800" spans="1:13" x14ac:dyDescent="0.3">
      <c r="A800" s="1">
        <v>45371</v>
      </c>
      <c r="B800" s="5">
        <v>26501739.572165512</v>
      </c>
      <c r="C800" s="5">
        <v>24973744.207005534</v>
      </c>
      <c r="D800" s="5">
        <v>0</v>
      </c>
      <c r="E800" s="5">
        <f t="shared" si="573"/>
        <v>0</v>
      </c>
      <c r="F800" s="5">
        <f t="shared" si="573"/>
        <v>0</v>
      </c>
      <c r="G800" s="9">
        <f t="shared" si="575"/>
        <v>3.1133073411402368E-3</v>
      </c>
      <c r="H800" s="9">
        <f t="shared" si="575"/>
        <v>1.1103518705286586E-2</v>
      </c>
      <c r="I800" s="5">
        <f t="shared" si="576"/>
        <v>18028912.690527007</v>
      </c>
      <c r="J800" s="5">
        <f t="shared" si="577"/>
        <v>16898862.254482549</v>
      </c>
      <c r="K800" s="8">
        <f t="shared" ref="K800:L800" si="606">I800/I548-1</f>
        <v>0.55111910189626934</v>
      </c>
      <c r="L800" s="8">
        <f t="shared" si="606"/>
        <v>0.36973106069964401</v>
      </c>
      <c r="M800" s="8">
        <f t="shared" si="569"/>
        <v>-0.18138804119662533</v>
      </c>
    </row>
    <row r="801" spans="1:13" x14ac:dyDescent="0.3">
      <c r="A801" s="1">
        <v>45372</v>
      </c>
      <c r="B801" s="5">
        <v>27117040.564748559</v>
      </c>
      <c r="C801" s="5">
        <v>25046113.461019043</v>
      </c>
      <c r="D801" s="5">
        <v>0</v>
      </c>
      <c r="E801" s="5">
        <f t="shared" si="573"/>
        <v>0</v>
      </c>
      <c r="F801" s="5">
        <f t="shared" si="573"/>
        <v>0</v>
      </c>
      <c r="G801" s="9">
        <f t="shared" si="575"/>
        <v>2.3217381293312966E-2</v>
      </c>
      <c r="H801" s="9">
        <f t="shared" si="575"/>
        <v>2.897813536234084E-3</v>
      </c>
      <c r="I801" s="5">
        <f t="shared" si="576"/>
        <v>18447496.830766823</v>
      </c>
      <c r="J801" s="5">
        <f t="shared" si="577"/>
        <v>16947832.006270543</v>
      </c>
      <c r="K801" s="8">
        <f t="shared" ref="K801:L801" si="607">I801/I549-1</f>
        <v>0.57762328420642195</v>
      </c>
      <c r="L801" s="8">
        <f t="shared" si="607"/>
        <v>0.35322492296439312</v>
      </c>
      <c r="M801" s="8">
        <f t="shared" si="569"/>
        <v>-0.22439836124202883</v>
      </c>
    </row>
    <row r="802" spans="1:13" x14ac:dyDescent="0.3">
      <c r="A802" s="1">
        <v>45373</v>
      </c>
      <c r="B802" s="5">
        <v>27245419.16606535</v>
      </c>
      <c r="C802" s="5">
        <v>25126550.664045788</v>
      </c>
      <c r="D802" s="5">
        <v>0</v>
      </c>
      <c r="E802" s="5">
        <f t="shared" si="573"/>
        <v>0</v>
      </c>
      <c r="F802" s="5">
        <f t="shared" si="573"/>
        <v>0</v>
      </c>
      <c r="G802" s="9">
        <f t="shared" si="575"/>
        <v>4.7342408553121551E-3</v>
      </c>
      <c r="H802" s="9">
        <f t="shared" si="575"/>
        <v>3.2115642673238298E-3</v>
      </c>
      <c r="I802" s="5">
        <f t="shared" si="576"/>
        <v>18534831.723941281</v>
      </c>
      <c r="J802" s="5">
        <f t="shared" si="577"/>
        <v>17002261.057950489</v>
      </c>
      <c r="K802" s="8">
        <f t="shared" ref="K802:L802" si="608">I802/I550-1</f>
        <v>0.57635953156792064</v>
      </c>
      <c r="L802" s="8">
        <f t="shared" si="608"/>
        <v>0.37382891907691662</v>
      </c>
      <c r="M802" s="8">
        <f t="shared" si="569"/>
        <v>-0.20253061249100401</v>
      </c>
    </row>
    <row r="803" spans="1:13" x14ac:dyDescent="0.3">
      <c r="A803" s="1">
        <v>45377</v>
      </c>
      <c r="B803" s="5">
        <v>27527406.939167805</v>
      </c>
      <c r="C803" s="5">
        <v>24916868.102474067</v>
      </c>
      <c r="D803" s="5">
        <v>0</v>
      </c>
      <c r="E803" s="5">
        <f t="shared" si="573"/>
        <v>0</v>
      </c>
      <c r="F803" s="5">
        <f t="shared" si="573"/>
        <v>0</v>
      </c>
      <c r="G803" s="9">
        <f t="shared" si="575"/>
        <v>1.034991502181315E-2</v>
      </c>
      <c r="H803" s="9">
        <f t="shared" si="575"/>
        <v>-8.3450595497678304E-3</v>
      </c>
      <c r="I803" s="5">
        <f t="shared" si="576"/>
        <v>18726665.65722768</v>
      </c>
      <c r="J803" s="5">
        <f t="shared" si="577"/>
        <v>16860376.176941194</v>
      </c>
      <c r="K803" s="8">
        <f t="shared" ref="K803:L803" si="609">I803/I551-1</f>
        <v>0.60408456707175429</v>
      </c>
      <c r="L803" s="8">
        <f t="shared" si="609"/>
        <v>0.35047287572566033</v>
      </c>
      <c r="M803" s="8">
        <f t="shared" si="569"/>
        <v>-0.25361169134609396</v>
      </c>
    </row>
    <row r="804" spans="1:13" x14ac:dyDescent="0.3">
      <c r="A804" s="1">
        <v>45378</v>
      </c>
      <c r="B804" s="5">
        <v>27578131.270859942</v>
      </c>
      <c r="C804" s="5">
        <v>25140951.405507877</v>
      </c>
      <c r="D804" s="5">
        <v>0</v>
      </c>
      <c r="E804" s="5">
        <f t="shared" si="573"/>
        <v>0</v>
      </c>
      <c r="F804" s="5">
        <f t="shared" si="573"/>
        <v>0</v>
      </c>
      <c r="G804" s="9">
        <f t="shared" si="575"/>
        <v>1.842684703438735E-3</v>
      </c>
      <c r="H804" s="9">
        <f t="shared" si="575"/>
        <v>8.993237116006636E-3</v>
      </c>
      <c r="I804" s="5">
        <f t="shared" si="576"/>
        <v>18761172.997580666</v>
      </c>
      <c r="J804" s="5">
        <f t="shared" si="577"/>
        <v>17012005.537765495</v>
      </c>
      <c r="K804" s="8">
        <f t="shared" ref="K804:L804" si="610">I804/I552-1</f>
        <v>0.59782965974797131</v>
      </c>
      <c r="L804" s="8">
        <f t="shared" si="610"/>
        <v>0.34440439549870128</v>
      </c>
      <c r="M804" s="8">
        <f t="shared" si="569"/>
        <v>-0.25342526424927003</v>
      </c>
    </row>
    <row r="805" spans="1:13" x14ac:dyDescent="0.3">
      <c r="A805" s="1">
        <v>45379</v>
      </c>
      <c r="B805" s="5">
        <v>27915834.252182573</v>
      </c>
      <c r="C805" s="5">
        <v>25172805.018248592</v>
      </c>
      <c r="D805" s="5">
        <v>0</v>
      </c>
      <c r="E805" s="5">
        <f t="shared" si="573"/>
        <v>0</v>
      </c>
      <c r="F805" s="5">
        <f t="shared" si="573"/>
        <v>0</v>
      </c>
      <c r="G805" s="9">
        <f t="shared" si="575"/>
        <v>1.2245317784800758E-2</v>
      </c>
      <c r="H805" s="9">
        <f t="shared" si="575"/>
        <v>1.2670010862729786E-3</v>
      </c>
      <c r="I805" s="5">
        <f t="shared" si="576"/>
        <v>18990909.522951663</v>
      </c>
      <c r="J805" s="5">
        <f t="shared" si="577"/>
        <v>17033559.767261527</v>
      </c>
      <c r="K805" s="8">
        <f t="shared" ref="K805:L805" si="611">I805/I553-1</f>
        <v>0.60699046813859603</v>
      </c>
      <c r="L805" s="8">
        <f t="shared" si="611"/>
        <v>0.36737697195907715</v>
      </c>
      <c r="M805" s="8">
        <f t="shared" si="569"/>
        <v>-0.23961349617951888</v>
      </c>
    </row>
    <row r="806" spans="1:13" x14ac:dyDescent="0.3">
      <c r="A806" s="1">
        <v>45383</v>
      </c>
      <c r="B806" s="5">
        <v>28881054.778650165</v>
      </c>
      <c r="C806" s="5">
        <v>25625222.317053962</v>
      </c>
      <c r="D806" s="5">
        <v>500000</v>
      </c>
      <c r="E806" s="5">
        <f t="shared" si="573"/>
        <v>-500000</v>
      </c>
      <c r="F806" s="5">
        <f t="shared" si="573"/>
        <v>-500000</v>
      </c>
      <c r="G806" s="9">
        <f t="shared" si="575"/>
        <v>1.66651127910038E-2</v>
      </c>
      <c r="H806" s="9">
        <f t="shared" si="575"/>
        <v>-1.8902423134861124E-3</v>
      </c>
      <c r="I806" s="5">
        <f t="shared" si="576"/>
        <v>19307395.172155399</v>
      </c>
      <c r="J806" s="5">
        <f t="shared" si="577"/>
        <v>17001362.211840156</v>
      </c>
      <c r="K806" s="8">
        <f t="shared" ref="K806:L806" si="612">I806/I554-1</f>
        <v>0.6404430357875337</v>
      </c>
      <c r="L806" s="8">
        <f t="shared" si="612"/>
        <v>0.37039655989146958</v>
      </c>
      <c r="M806" s="8">
        <f t="shared" si="569"/>
        <v>-0.27004647589606412</v>
      </c>
    </row>
    <row r="807" spans="1:13" x14ac:dyDescent="0.3">
      <c r="A807" s="1">
        <v>45384</v>
      </c>
      <c r="B807" s="5">
        <v>29171343.40351671</v>
      </c>
      <c r="C807" s="5">
        <v>25428208.703743309</v>
      </c>
      <c r="D807" s="5">
        <v>0</v>
      </c>
      <c r="E807" s="5">
        <f t="shared" si="573"/>
        <v>0</v>
      </c>
      <c r="F807" s="5">
        <f t="shared" si="573"/>
        <v>0</v>
      </c>
      <c r="G807" s="9">
        <f t="shared" si="575"/>
        <v>1.0051178085127788E-2</v>
      </c>
      <c r="H807" s="9">
        <f t="shared" si="575"/>
        <v>-7.688269427404637E-3</v>
      </c>
      <c r="I807" s="5">
        <f t="shared" si="576"/>
        <v>19501457.239390668</v>
      </c>
      <c r="J807" s="5">
        <f t="shared" si="577"/>
        <v>16870651.158522632</v>
      </c>
      <c r="K807" s="8">
        <f t="shared" ref="K807:L807" si="613">I807/I555-1</f>
        <v>0.66938533692955193</v>
      </c>
      <c r="L807" s="8">
        <f t="shared" si="613"/>
        <v>0.34779269488394715</v>
      </c>
      <c r="M807" s="8">
        <f t="shared" si="569"/>
        <v>-0.32159264204560478</v>
      </c>
    </row>
    <row r="808" spans="1:13" x14ac:dyDescent="0.3">
      <c r="A808" s="1">
        <v>45385</v>
      </c>
      <c r="B808" s="5">
        <v>29250838.569635205</v>
      </c>
      <c r="C808" s="5">
        <v>25490768.208999671</v>
      </c>
      <c r="D808" s="5">
        <v>0</v>
      </c>
      <c r="E808" s="5">
        <f t="shared" si="573"/>
        <v>0</v>
      </c>
      <c r="F808" s="5">
        <f t="shared" si="573"/>
        <v>0</v>
      </c>
      <c r="G808" s="9">
        <f t="shared" si="575"/>
        <v>2.7251115938977666E-3</v>
      </c>
      <c r="H808" s="9">
        <f t="shared" si="575"/>
        <v>2.4602403568896314E-3</v>
      </c>
      <c r="I808" s="5">
        <f t="shared" si="576"/>
        <v>19554600.886611633</v>
      </c>
      <c r="J808" s="5">
        <f t="shared" si="577"/>
        <v>16912157.015349835</v>
      </c>
      <c r="K808" s="8">
        <f t="shared" ref="K808:L808" si="614">I808/I556-1</f>
        <v>0.68265894271574501</v>
      </c>
      <c r="L808" s="8">
        <f t="shared" si="614"/>
        <v>0.35052698232365942</v>
      </c>
      <c r="M808" s="8">
        <f t="shared" si="569"/>
        <v>-0.33213196039208559</v>
      </c>
    </row>
    <row r="809" spans="1:13" x14ac:dyDescent="0.3">
      <c r="A809" s="1">
        <v>45386</v>
      </c>
      <c r="B809" s="5">
        <v>29127029.527120393</v>
      </c>
      <c r="C809" s="5">
        <v>25182538.956378985</v>
      </c>
      <c r="D809" s="5">
        <v>0</v>
      </c>
      <c r="E809" s="5">
        <f t="shared" si="573"/>
        <v>0</v>
      </c>
      <c r="F809" s="5">
        <f t="shared" si="573"/>
        <v>0</v>
      </c>
      <c r="G809" s="9">
        <f t="shared" si="575"/>
        <v>-4.2326664317697826E-3</v>
      </c>
      <c r="H809" s="9">
        <f t="shared" si="575"/>
        <v>-1.2091799277821003E-2</v>
      </c>
      <c r="I809" s="5">
        <f t="shared" si="576"/>
        <v>19471832.783852216</v>
      </c>
      <c r="J809" s="5">
        <f t="shared" si="577"/>
        <v>16707658.607365232</v>
      </c>
      <c r="K809" s="8">
        <f t="shared" ref="K809:L809" si="615">I809/I557-1</f>
        <v>0.69147148986585005</v>
      </c>
      <c r="L809" s="8">
        <f t="shared" si="615"/>
        <v>0.33740677429007548</v>
      </c>
      <c r="M809" s="8">
        <f t="shared" si="569"/>
        <v>-0.35406471557577457</v>
      </c>
    </row>
    <row r="810" spans="1:13" x14ac:dyDescent="0.3">
      <c r="A810" s="1">
        <v>45387</v>
      </c>
      <c r="B810" s="5">
        <v>29378750.993780203</v>
      </c>
      <c r="C810" s="5">
        <v>25416356.658448216</v>
      </c>
      <c r="D810" s="5">
        <v>0</v>
      </c>
      <c r="E810" s="5">
        <f t="shared" si="573"/>
        <v>0</v>
      </c>
      <c r="F810" s="5">
        <f t="shared" si="573"/>
        <v>0</v>
      </c>
      <c r="G810" s="9">
        <f t="shared" si="575"/>
        <v>8.6421949215738092E-3</v>
      </c>
      <c r="H810" s="9">
        <f t="shared" si="575"/>
        <v>9.284913744171952E-3</v>
      </c>
      <c r="I810" s="5">
        <f t="shared" si="576"/>
        <v>19640112.158250559</v>
      </c>
      <c r="J810" s="5">
        <f t="shared" si="577"/>
        <v>16862787.776401691</v>
      </c>
      <c r="K810" s="8">
        <f t="shared" ref="K810:L810" si="616">I810/I558-1</f>
        <v>0.6923886000236974</v>
      </c>
      <c r="L810" s="8">
        <f t="shared" si="616"/>
        <v>0.33071392918912523</v>
      </c>
      <c r="M810" s="8">
        <f t="shared" si="569"/>
        <v>-0.36167467083457217</v>
      </c>
    </row>
    <row r="811" spans="1:13" x14ac:dyDescent="0.3">
      <c r="A811" s="1">
        <v>45390</v>
      </c>
      <c r="B811" s="5">
        <v>29518140.321743414</v>
      </c>
      <c r="C811" s="5">
        <v>25395077.5242735</v>
      </c>
      <c r="D811" s="5">
        <v>0</v>
      </c>
      <c r="E811" s="5">
        <f t="shared" si="573"/>
        <v>0</v>
      </c>
      <c r="F811" s="5">
        <f t="shared" si="573"/>
        <v>0</v>
      </c>
      <c r="G811" s="9">
        <f t="shared" si="575"/>
        <v>4.7445627621378605E-3</v>
      </c>
      <c r="H811" s="9">
        <f t="shared" si="575"/>
        <v>-8.372220480169501E-4</v>
      </c>
      <c r="I811" s="5">
        <f t="shared" si="576"/>
        <v>19733295.903040804</v>
      </c>
      <c r="J811" s="5">
        <f t="shared" si="577"/>
        <v>16848669.878684256</v>
      </c>
      <c r="K811" s="8">
        <f t="shared" ref="K811:L811" si="617">I811/I559-1</f>
        <v>0.67708114554258292</v>
      </c>
      <c r="L811" s="8">
        <f t="shared" si="617"/>
        <v>0.30284666668336646</v>
      </c>
      <c r="M811" s="8">
        <f t="shared" si="569"/>
        <v>-0.37423447885921646</v>
      </c>
    </row>
    <row r="812" spans="1:13" x14ac:dyDescent="0.3">
      <c r="A812" s="1">
        <v>45391</v>
      </c>
      <c r="B812" s="5">
        <v>29424648.689516455</v>
      </c>
      <c r="C812" s="5">
        <v>25414047.702840246</v>
      </c>
      <c r="D812" s="5">
        <v>0</v>
      </c>
      <c r="E812" s="5">
        <f t="shared" si="573"/>
        <v>0</v>
      </c>
      <c r="F812" s="5">
        <f t="shared" si="573"/>
        <v>0</v>
      </c>
      <c r="G812" s="9">
        <f t="shared" si="575"/>
        <v>-3.1672602409200667E-3</v>
      </c>
      <c r="H812" s="9">
        <f t="shared" si="575"/>
        <v>7.4700219161027981E-4</v>
      </c>
      <c r="I812" s="5">
        <f t="shared" si="576"/>
        <v>19670795.419504791</v>
      </c>
      <c r="J812" s="5">
        <f t="shared" si="577"/>
        <v>16861255.872009352</v>
      </c>
      <c r="K812" s="8">
        <f t="shared" ref="K812:L812" si="618">I812/I560-1</f>
        <v>0.66764062837021032</v>
      </c>
      <c r="L812" s="8">
        <f t="shared" si="618"/>
        <v>0.29822334990404542</v>
      </c>
      <c r="M812" s="8">
        <f t="shared" si="569"/>
        <v>-0.3694172784661649</v>
      </c>
    </row>
    <row r="813" spans="1:13" x14ac:dyDescent="0.3">
      <c r="A813" s="1">
        <v>45392</v>
      </c>
      <c r="B813" s="5">
        <v>29673648.896642305</v>
      </c>
      <c r="C813" s="5">
        <v>25231673.391436629</v>
      </c>
      <c r="D813" s="5">
        <v>0</v>
      </c>
      <c r="E813" s="5">
        <f t="shared" si="573"/>
        <v>0</v>
      </c>
      <c r="F813" s="5">
        <f t="shared" si="573"/>
        <v>0</v>
      </c>
      <c r="G813" s="9">
        <f t="shared" si="575"/>
        <v>8.4623000856614006E-3</v>
      </c>
      <c r="H813" s="9">
        <f t="shared" si="575"/>
        <v>-7.1761221799876429E-3</v>
      </c>
      <c r="I813" s="5">
        <f t="shared" si="576"/>
        <v>19837255.593268294</v>
      </c>
      <c r="J813" s="5">
        <f t="shared" si="577"/>
        <v>16740257.439763779</v>
      </c>
      <c r="K813" s="8">
        <f t="shared" ref="K813:L813" si="619">I813/I561-1</f>
        <v>0.67279107840284902</v>
      </c>
      <c r="L813" s="8">
        <f t="shared" si="619"/>
        <v>0.30493392703546807</v>
      </c>
      <c r="M813" s="8">
        <f t="shared" si="569"/>
        <v>-0.36785715136738095</v>
      </c>
    </row>
    <row r="814" spans="1:13" x14ac:dyDescent="0.3">
      <c r="A814" s="1">
        <v>45394</v>
      </c>
      <c r="B814" s="5">
        <v>29552938.056051336</v>
      </c>
      <c r="C814" s="5">
        <v>25119321.213982373</v>
      </c>
      <c r="D814" s="5">
        <v>0</v>
      </c>
      <c r="E814" s="5">
        <f t="shared" si="573"/>
        <v>0</v>
      </c>
      <c r="F814" s="5">
        <f t="shared" si="573"/>
        <v>0</v>
      </c>
      <c r="G814" s="9">
        <f t="shared" si="575"/>
        <v>-4.0679473229403573E-3</v>
      </c>
      <c r="H814" s="9">
        <f t="shared" si="575"/>
        <v>-4.4528230732562291E-3</v>
      </c>
      <c r="I814" s="5">
        <f t="shared" si="576"/>
        <v>19756558.682483174</v>
      </c>
      <c r="J814" s="5">
        <f t="shared" si="577"/>
        <v>16665716.03518375</v>
      </c>
      <c r="K814" s="8">
        <f t="shared" ref="K814:L814" si="620">I814/I562-1</f>
        <v>0.66194142500287523</v>
      </c>
      <c r="L814" s="8">
        <f t="shared" si="620"/>
        <v>0.29469429394488955</v>
      </c>
      <c r="M814" s="8">
        <f t="shared" si="569"/>
        <v>-0.36724713105798568</v>
      </c>
    </row>
    <row r="815" spans="1:13" x14ac:dyDescent="0.3">
      <c r="A815" s="1">
        <v>45397</v>
      </c>
      <c r="B815" s="5">
        <v>29056369.361578748</v>
      </c>
      <c r="C815" s="5">
        <v>24785010.933294933</v>
      </c>
      <c r="D815" s="5">
        <v>0</v>
      </c>
      <c r="E815" s="5">
        <f t="shared" si="573"/>
        <v>0</v>
      </c>
      <c r="F815" s="5">
        <f t="shared" si="573"/>
        <v>0</v>
      </c>
      <c r="G815" s="9">
        <f t="shared" si="575"/>
        <v>-1.6802684509092614E-2</v>
      </c>
      <c r="H815" s="9">
        <f t="shared" si="575"/>
        <v>-1.3308889911457844E-2</v>
      </c>
      <c r="I815" s="5">
        <f t="shared" si="576"/>
        <v>19424595.459956035</v>
      </c>
      <c r="J815" s="5">
        <f t="shared" si="577"/>
        <v>16443913.855175871</v>
      </c>
      <c r="K815" s="8">
        <f t="shared" ref="K815:L815" si="621">I815/I563-1</f>
        <v>0.62933520130337905</v>
      </c>
      <c r="L815" s="8">
        <f t="shared" si="621"/>
        <v>0.27382915129547825</v>
      </c>
      <c r="M815" s="8">
        <f t="shared" si="569"/>
        <v>-0.35550605000790081</v>
      </c>
    </row>
    <row r="816" spans="1:13" x14ac:dyDescent="0.3">
      <c r="A816" s="1">
        <v>45398</v>
      </c>
      <c r="B816" s="5">
        <v>29079498.414361332</v>
      </c>
      <c r="C816" s="5">
        <v>24751847.11173743</v>
      </c>
      <c r="D816" s="5">
        <v>0</v>
      </c>
      <c r="E816" s="5">
        <f t="shared" si="573"/>
        <v>0</v>
      </c>
      <c r="F816" s="5">
        <f t="shared" si="573"/>
        <v>0</v>
      </c>
      <c r="G816" s="9">
        <f t="shared" si="575"/>
        <v>7.9600629021348013E-4</v>
      </c>
      <c r="H816" s="9">
        <f t="shared" si="575"/>
        <v>-1.3380595895946534E-3</v>
      </c>
      <c r="I816" s="5">
        <f t="shared" si="576"/>
        <v>19440057.560127012</v>
      </c>
      <c r="J816" s="5">
        <f t="shared" si="577"/>
        <v>16421910.918551484</v>
      </c>
      <c r="K816" s="8">
        <f t="shared" ref="K816:L816" si="622">I816/I564-1</f>
        <v>0.62711027148495213</v>
      </c>
      <c r="L816" s="8">
        <f t="shared" si="622"/>
        <v>0.27171157263391521</v>
      </c>
      <c r="M816" s="8">
        <f t="shared" si="569"/>
        <v>-0.35539869885103692</v>
      </c>
    </row>
    <row r="817" spans="1:13" x14ac:dyDescent="0.3">
      <c r="A817" s="1">
        <v>45400</v>
      </c>
      <c r="B817" s="5">
        <v>29047484.763319019</v>
      </c>
      <c r="C817" s="5">
        <v>24553020.378828555</v>
      </c>
      <c r="D817" s="5">
        <v>0</v>
      </c>
      <c r="E817" s="5">
        <f t="shared" si="573"/>
        <v>0</v>
      </c>
      <c r="F817" s="5">
        <f t="shared" si="573"/>
        <v>0</v>
      </c>
      <c r="G817" s="9">
        <f t="shared" si="575"/>
        <v>-1.1009010742255576E-3</v>
      </c>
      <c r="H817" s="9">
        <f t="shared" si="575"/>
        <v>-8.032803855458126E-3</v>
      </c>
      <c r="I817" s="5">
        <f t="shared" si="576"/>
        <v>19418655.979876064</v>
      </c>
      <c r="J817" s="5">
        <f t="shared" si="577"/>
        <v>16289996.929210953</v>
      </c>
      <c r="K817" s="8">
        <f t="shared" ref="K817:L817" si="623">I817/I565-1</f>
        <v>0.61766410809210548</v>
      </c>
      <c r="L817" s="8">
        <f t="shared" si="623"/>
        <v>0.26763451784681225</v>
      </c>
      <c r="M817" s="8">
        <f t="shared" si="569"/>
        <v>-0.35002959024529323</v>
      </c>
    </row>
    <row r="818" spans="1:13" x14ac:dyDescent="0.3">
      <c r="A818" s="1">
        <v>45401</v>
      </c>
      <c r="B818" s="5">
        <v>29000016.474291597</v>
      </c>
      <c r="C818" s="5">
        <v>24318754.859688498</v>
      </c>
      <c r="D818" s="5">
        <v>0</v>
      </c>
      <c r="E818" s="5">
        <f t="shared" si="573"/>
        <v>0</v>
      </c>
      <c r="F818" s="5">
        <f t="shared" si="573"/>
        <v>0</v>
      </c>
      <c r="G818" s="9">
        <f t="shared" si="575"/>
        <v>-1.6341617669893838E-3</v>
      </c>
      <c r="H818" s="9">
        <f t="shared" si="575"/>
        <v>-9.5412098196301365E-3</v>
      </c>
      <c r="I818" s="5">
        <f t="shared" si="576"/>
        <v>19386922.75470743</v>
      </c>
      <c r="J818" s="5">
        <f t="shared" si="577"/>
        <v>16134570.650548222</v>
      </c>
      <c r="K818" s="8">
        <f t="shared" ref="K818:L818" si="624">I818/I566-1</f>
        <v>0.61771348173266083</v>
      </c>
      <c r="L818" s="8">
        <f t="shared" si="624"/>
        <v>0.24391991950509784</v>
      </c>
      <c r="M818" s="8">
        <f t="shared" si="569"/>
        <v>-0.37379356222756299</v>
      </c>
    </row>
    <row r="819" spans="1:13" x14ac:dyDescent="0.3">
      <c r="A819" s="1">
        <v>45404</v>
      </c>
      <c r="B819" s="5">
        <v>29372911.693249248</v>
      </c>
      <c r="C819" s="5">
        <v>24534032.665256031</v>
      </c>
      <c r="D819" s="5">
        <v>0</v>
      </c>
      <c r="E819" s="5">
        <f t="shared" si="573"/>
        <v>0</v>
      </c>
      <c r="F819" s="5">
        <f t="shared" si="573"/>
        <v>0</v>
      </c>
      <c r="G819" s="9">
        <f t="shared" si="575"/>
        <v>1.2858448521511079E-2</v>
      </c>
      <c r="H819" s="9">
        <f t="shared" si="575"/>
        <v>8.8523366763477718E-3</v>
      </c>
      <c r="I819" s="5">
        <f t="shared" si="576"/>
        <v>19636208.502939347</v>
      </c>
      <c r="J819" s="5">
        <f t="shared" si="577"/>
        <v>16277399.302075194</v>
      </c>
      <c r="K819" s="8">
        <f t="shared" ref="K819:L819" si="625">I819/I567-1</f>
        <v>0.63144713341873393</v>
      </c>
      <c r="L819" s="8">
        <f t="shared" si="625"/>
        <v>0.24831738716537766</v>
      </c>
      <c r="M819" s="8">
        <f t="shared" si="569"/>
        <v>-0.38312974625335627</v>
      </c>
    </row>
    <row r="820" spans="1:13" x14ac:dyDescent="0.3">
      <c r="A820" s="1">
        <v>45405</v>
      </c>
      <c r="B820" s="5">
        <v>29426748.324758328</v>
      </c>
      <c r="C820" s="5">
        <v>24795371.154251661</v>
      </c>
      <c r="D820" s="5">
        <v>0</v>
      </c>
      <c r="E820" s="5">
        <f t="shared" si="573"/>
        <v>0</v>
      </c>
      <c r="F820" s="5">
        <f t="shared" si="573"/>
        <v>0</v>
      </c>
      <c r="G820" s="9">
        <f t="shared" si="575"/>
        <v>1.8328666926628046E-3</v>
      </c>
      <c r="H820" s="9">
        <f t="shared" si="575"/>
        <v>1.0652080420750609E-2</v>
      </c>
      <c r="I820" s="5">
        <f t="shared" si="576"/>
        <v>19672199.055474568</v>
      </c>
      <c r="J820" s="5">
        <f t="shared" si="577"/>
        <v>16450787.468481569</v>
      </c>
      <c r="K820" s="8">
        <f t="shared" ref="K820:L820" si="626">I820/I568-1</f>
        <v>0.6284291508124662</v>
      </c>
      <c r="L820" s="8">
        <f t="shared" si="626"/>
        <v>0.25900220978544919</v>
      </c>
      <c r="M820" s="8">
        <f t="shared" si="569"/>
        <v>-0.36942694102701701</v>
      </c>
    </row>
    <row r="821" spans="1:13" x14ac:dyDescent="0.3">
      <c r="A821" s="1">
        <v>45406</v>
      </c>
      <c r="B821" s="5">
        <v>29651128.242103029</v>
      </c>
      <c r="C821" s="5">
        <v>24794818.127146117</v>
      </c>
      <c r="D821" s="5">
        <v>0</v>
      </c>
      <c r="E821" s="5">
        <f t="shared" si="573"/>
        <v>0</v>
      </c>
      <c r="F821" s="5">
        <f t="shared" si="573"/>
        <v>0</v>
      </c>
      <c r="G821" s="9">
        <f t="shared" si="575"/>
        <v>7.6250326698827919E-3</v>
      </c>
      <c r="H821" s="9">
        <f t="shared" si="575"/>
        <v>-2.2303642970400439E-5</v>
      </c>
      <c r="I821" s="5">
        <f t="shared" si="576"/>
        <v>19822200.215960998</v>
      </c>
      <c r="J821" s="5">
        <f t="shared" si="577"/>
        <v>16450420.55599129</v>
      </c>
      <c r="K821" s="8">
        <f t="shared" ref="K821:L821" si="627">I821/I569-1</f>
        <v>0.65561611023096877</v>
      </c>
      <c r="L821" s="8">
        <f t="shared" si="627"/>
        <v>0.25754819849412236</v>
      </c>
      <c r="M821" s="8">
        <f t="shared" si="569"/>
        <v>-0.39806791173684641</v>
      </c>
    </row>
    <row r="822" spans="1:13" x14ac:dyDescent="0.3">
      <c r="A822" s="1">
        <v>45407</v>
      </c>
      <c r="B822" s="5">
        <v>29851241.666471116</v>
      </c>
      <c r="C822" s="5">
        <v>24672935.808932088</v>
      </c>
      <c r="D822" s="5">
        <v>0</v>
      </c>
      <c r="E822" s="5">
        <f t="shared" si="573"/>
        <v>0</v>
      </c>
      <c r="F822" s="5">
        <f t="shared" si="573"/>
        <v>0</v>
      </c>
      <c r="G822" s="9">
        <f t="shared" si="575"/>
        <v>6.7489311952702025E-3</v>
      </c>
      <c r="H822" s="9">
        <f t="shared" si="575"/>
        <v>-4.9156367104217225E-3</v>
      </c>
      <c r="I822" s="5">
        <f t="shared" si="576"/>
        <v>19955978.88135739</v>
      </c>
      <c r="J822" s="5">
        <f t="shared" si="577"/>
        <v>16369556.264804384</v>
      </c>
      <c r="K822" s="8">
        <f t="shared" ref="K822:L822" si="628">I822/I570-1</f>
        <v>0.66611025172839433</v>
      </c>
      <c r="L822" s="8">
        <f t="shared" si="628"/>
        <v>0.2599498826968567</v>
      </c>
      <c r="M822" s="8">
        <f t="shared" si="569"/>
        <v>-0.40616036903153763</v>
      </c>
    </row>
    <row r="823" spans="1:13" x14ac:dyDescent="0.3">
      <c r="A823" s="1">
        <v>45408</v>
      </c>
      <c r="B823" s="5">
        <v>30052793.423642706</v>
      </c>
      <c r="C823" s="5">
        <v>24946177.329624258</v>
      </c>
      <c r="D823" s="5">
        <v>0</v>
      </c>
      <c r="E823" s="5">
        <f t="shared" si="573"/>
        <v>0</v>
      </c>
      <c r="F823" s="5">
        <f t="shared" si="573"/>
        <v>0</v>
      </c>
      <c r="G823" s="9">
        <f t="shared" si="575"/>
        <v>6.7518718123531496E-3</v>
      </c>
      <c r="H823" s="9">
        <f t="shared" si="575"/>
        <v>1.1074544302638323E-2</v>
      </c>
      <c r="I823" s="5">
        <f t="shared" si="576"/>
        <v>20090719.092654344</v>
      </c>
      <c r="J823" s="5">
        <f t="shared" si="577"/>
        <v>16550841.64087349</v>
      </c>
      <c r="K823" s="8">
        <f t="shared" ref="K823:L823" si="629">I823/I571-1</f>
        <v>0.67952526696665227</v>
      </c>
      <c r="L823" s="8">
        <f t="shared" si="629"/>
        <v>0.27335189808597193</v>
      </c>
      <c r="M823" s="8">
        <f t="shared" si="569"/>
        <v>-0.40617336888068034</v>
      </c>
    </row>
    <row r="824" spans="1:13" x14ac:dyDescent="0.3">
      <c r="A824" s="1">
        <v>45411</v>
      </c>
      <c r="B824" s="5">
        <v>30218419.925848916</v>
      </c>
      <c r="C824" s="5">
        <v>25050760.959976882</v>
      </c>
      <c r="D824" s="5">
        <v>0</v>
      </c>
      <c r="E824" s="5">
        <f t="shared" si="573"/>
        <v>0</v>
      </c>
      <c r="F824" s="5">
        <f t="shared" si="573"/>
        <v>0</v>
      </c>
      <c r="G824" s="9">
        <f t="shared" si="575"/>
        <v>5.5111849295150783E-3</v>
      </c>
      <c r="H824" s="9">
        <f t="shared" si="575"/>
        <v>4.1923709981981361E-3</v>
      </c>
      <c r="I824" s="5">
        <f t="shared" si="576"/>
        <v>20201442.760940902</v>
      </c>
      <c r="J824" s="5">
        <f t="shared" si="577"/>
        <v>16620228.909364458</v>
      </c>
      <c r="K824" s="8">
        <f t="shared" ref="K824:L824" si="630">I824/I572-1</f>
        <v>0.68239121414473147</v>
      </c>
      <c r="L824" s="8">
        <f t="shared" si="630"/>
        <v>0.2800976773406294</v>
      </c>
      <c r="M824" s="8">
        <f t="shared" si="569"/>
        <v>-0.40229353680410207</v>
      </c>
    </row>
    <row r="825" spans="1:13" x14ac:dyDescent="0.3">
      <c r="A825" s="1">
        <v>45412</v>
      </c>
      <c r="B825" s="5">
        <v>30411698.789516281</v>
      </c>
      <c r="C825" s="5">
        <v>24651696.06107806</v>
      </c>
      <c r="D825" s="5">
        <v>0</v>
      </c>
      <c r="E825" s="5">
        <f t="shared" si="573"/>
        <v>0</v>
      </c>
      <c r="F825" s="5">
        <f t="shared" si="573"/>
        <v>0</v>
      </c>
      <c r="G825" s="9">
        <f t="shared" si="575"/>
        <v>6.3960612150351093E-3</v>
      </c>
      <c r="H825" s="9">
        <f t="shared" si="575"/>
        <v>-1.5930250563501835E-2</v>
      </c>
      <c r="I825" s="5">
        <f t="shared" si="576"/>
        <v>20330652.425471909</v>
      </c>
      <c r="J825" s="5">
        <f t="shared" si="577"/>
        <v>16355464.498415526</v>
      </c>
      <c r="K825" s="8">
        <f t="shared" ref="K825:L825" si="631">I825/I573-1</f>
        <v>0.68587018702999636</v>
      </c>
      <c r="L825" s="8">
        <f t="shared" si="631"/>
        <v>0.27957536827962537</v>
      </c>
      <c r="M825" s="8">
        <f t="shared" si="569"/>
        <v>-0.40629481875037099</v>
      </c>
    </row>
    <row r="826" spans="1:13" x14ac:dyDescent="0.3">
      <c r="A826" s="1">
        <v>45414</v>
      </c>
      <c r="B826" s="5">
        <v>30931055.966015685</v>
      </c>
      <c r="C826" s="5">
        <v>24791818.022540875</v>
      </c>
      <c r="D826" s="5">
        <v>0</v>
      </c>
      <c r="E826" s="5">
        <f t="shared" si="573"/>
        <v>0</v>
      </c>
      <c r="F826" s="5">
        <f t="shared" si="573"/>
        <v>0</v>
      </c>
      <c r="G826" s="9">
        <f t="shared" si="575"/>
        <v>1.7077545719953013E-2</v>
      </c>
      <c r="H826" s="9">
        <f t="shared" si="575"/>
        <v>5.6840698147357926E-3</v>
      </c>
      <c r="I826" s="5">
        <f t="shared" si="576"/>
        <v>20677850.071784381</v>
      </c>
      <c r="J826" s="5">
        <f t="shared" si="577"/>
        <v>16448430.100476952</v>
      </c>
      <c r="K826" s="8">
        <f t="shared" ref="K826:L826" si="632">I826/I574-1</f>
        <v>0.70805441183183682</v>
      </c>
      <c r="L826" s="8">
        <f t="shared" si="632"/>
        <v>0.2946484890258334</v>
      </c>
      <c r="M826" s="8">
        <f t="shared" si="569"/>
        <v>-0.41340592280600341</v>
      </c>
    </row>
    <row r="827" spans="1:13" x14ac:dyDescent="0.3">
      <c r="A827" s="1">
        <v>45415</v>
      </c>
      <c r="B827" s="5">
        <v>30821342.584975094</v>
      </c>
      <c r="C827" s="5">
        <v>25101354.5772852</v>
      </c>
      <c r="D827" s="5">
        <v>0</v>
      </c>
      <c r="E827" s="5">
        <f t="shared" si="573"/>
        <v>0</v>
      </c>
      <c r="F827" s="5">
        <f t="shared" si="573"/>
        <v>0</v>
      </c>
      <c r="G827" s="9">
        <f t="shared" si="575"/>
        <v>-3.5470299223258062E-3</v>
      </c>
      <c r="H827" s="9">
        <f t="shared" si="575"/>
        <v>1.2485431865581376E-2</v>
      </c>
      <c r="I827" s="5">
        <f t="shared" si="576"/>
        <v>20604505.118850395</v>
      </c>
      <c r="J827" s="5">
        <f t="shared" si="577"/>
        <v>16653795.853792235</v>
      </c>
      <c r="K827" s="8">
        <f t="shared" ref="K827:L827" si="633">I827/I575-1</f>
        <v>0.69742963785921064</v>
      </c>
      <c r="L827" s="8">
        <f t="shared" si="633"/>
        <v>0.2840554150140302</v>
      </c>
      <c r="M827" s="8">
        <f t="shared" si="569"/>
        <v>-0.41337422284518044</v>
      </c>
    </row>
    <row r="828" spans="1:13" x14ac:dyDescent="0.3">
      <c r="A828" s="1">
        <v>45418</v>
      </c>
      <c r="B828" s="5">
        <v>30430939.383961152</v>
      </c>
      <c r="C828" s="5">
        <v>25376440.241047364</v>
      </c>
      <c r="D828" s="5">
        <v>0</v>
      </c>
      <c r="E828" s="5">
        <f t="shared" si="573"/>
        <v>0</v>
      </c>
      <c r="F828" s="5">
        <f t="shared" si="573"/>
        <v>0</v>
      </c>
      <c r="G828" s="9">
        <f t="shared" si="575"/>
        <v>-1.2666651361393222E-2</v>
      </c>
      <c r="H828" s="9">
        <f t="shared" si="575"/>
        <v>1.0958996771078366E-2</v>
      </c>
      <c r="I828" s="5">
        <f t="shared" si="576"/>
        <v>20343515.036035877</v>
      </c>
      <c r="J828" s="5">
        <f t="shared" si="577"/>
        <v>16836304.748780143</v>
      </c>
      <c r="K828" s="8">
        <f t="shared" ref="K828:L828" si="634">I828/I576-1</f>
        <v>0.65378053803143721</v>
      </c>
      <c r="L828" s="8">
        <f t="shared" si="634"/>
        <v>0.28736387502022698</v>
      </c>
      <c r="M828" s="8">
        <f t="shared" si="569"/>
        <v>-0.36641666301121023</v>
      </c>
    </row>
    <row r="829" spans="1:13" x14ac:dyDescent="0.3">
      <c r="A829" s="1">
        <v>45419</v>
      </c>
      <c r="B829" s="5">
        <v>29962300.797973834</v>
      </c>
      <c r="C829" s="5">
        <v>25420996.960517704</v>
      </c>
      <c r="D829" s="5">
        <v>0</v>
      </c>
      <c r="E829" s="5">
        <f t="shared" si="573"/>
        <v>0</v>
      </c>
      <c r="F829" s="5">
        <f t="shared" si="573"/>
        <v>0</v>
      </c>
      <c r="G829" s="9">
        <f t="shared" si="575"/>
        <v>-1.5400069648665471E-2</v>
      </c>
      <c r="H829" s="9">
        <f t="shared" si="575"/>
        <v>1.7558301734641457E-3</v>
      </c>
      <c r="I829" s="5">
        <f t="shared" si="576"/>
        <v>20030223.487582251</v>
      </c>
      <c r="J829" s="5">
        <f t="shared" si="577"/>
        <v>16865866.440667689</v>
      </c>
      <c r="K829" s="8">
        <f t="shared" ref="K829:L829" si="635">I829/I577-1</f>
        <v>0.61765520762484405</v>
      </c>
      <c r="L829" s="8">
        <f t="shared" si="635"/>
        <v>0.3044345057525677</v>
      </c>
      <c r="M829" s="8">
        <f t="shared" si="569"/>
        <v>-0.31322070187227635</v>
      </c>
    </row>
    <row r="830" spans="1:13" x14ac:dyDescent="0.3">
      <c r="A830" s="1">
        <v>45420</v>
      </c>
      <c r="B830" s="5">
        <v>30359164.923810817</v>
      </c>
      <c r="C830" s="5">
        <v>25402620.004685152</v>
      </c>
      <c r="D830" s="5">
        <v>0</v>
      </c>
      <c r="E830" s="5">
        <f t="shared" si="573"/>
        <v>0</v>
      </c>
      <c r="F830" s="5">
        <f t="shared" si="573"/>
        <v>0</v>
      </c>
      <c r="G830" s="9">
        <f t="shared" si="575"/>
        <v>1.3245448956437311E-2</v>
      </c>
      <c r="H830" s="9">
        <f t="shared" si="575"/>
        <v>-7.2290460760027209E-4</v>
      </c>
      <c r="I830" s="5">
        <f t="shared" si="576"/>
        <v>20295532.790373053</v>
      </c>
      <c r="J830" s="5">
        <f t="shared" si="577"/>
        <v>16853674.028106559</v>
      </c>
      <c r="K830" s="8">
        <f t="shared" ref="K830:L830" si="636">I830/I578-1</f>
        <v>0.63617464617760078</v>
      </c>
      <c r="L830" s="8">
        <f t="shared" si="636"/>
        <v>0.31362612032132575</v>
      </c>
      <c r="M830" s="8">
        <f t="shared" si="569"/>
        <v>-0.32254852585627503</v>
      </c>
    </row>
    <row r="831" spans="1:13" x14ac:dyDescent="0.3">
      <c r="A831" s="1">
        <v>45421</v>
      </c>
      <c r="B831" s="5">
        <v>29715681.279626176</v>
      </c>
      <c r="C831" s="5">
        <v>25555243.885734405</v>
      </c>
      <c r="D831" s="5">
        <v>0</v>
      </c>
      <c r="E831" s="5">
        <f t="shared" si="573"/>
        <v>0</v>
      </c>
      <c r="F831" s="5">
        <f t="shared" si="573"/>
        <v>0</v>
      </c>
      <c r="G831" s="9">
        <f t="shared" si="575"/>
        <v>-2.1195696449474943E-2</v>
      </c>
      <c r="H831" s="9">
        <f t="shared" si="575"/>
        <v>6.0081944705350221E-3</v>
      </c>
      <c r="I831" s="5">
        <f t="shared" si="576"/>
        <v>19865354.838067941</v>
      </c>
      <c r="J831" s="5">
        <f t="shared" si="577"/>
        <v>16954934.179210428</v>
      </c>
      <c r="K831" s="8">
        <f t="shared" ref="K831:L831" si="637">I831/I579-1</f>
        <v>0.59146975947548941</v>
      </c>
      <c r="L831" s="8">
        <f t="shared" si="637"/>
        <v>0.33260840063349084</v>
      </c>
      <c r="M831" s="8">
        <f t="shared" ref="M831:M894" si="638">L831-K831</f>
        <v>-0.25886135884199857</v>
      </c>
    </row>
    <row r="832" spans="1:13" x14ac:dyDescent="0.3">
      <c r="A832" s="1">
        <v>45422</v>
      </c>
      <c r="B832" s="5">
        <v>29960812.86748746</v>
      </c>
      <c r="C832" s="5">
        <v>25610601.629229993</v>
      </c>
      <c r="D832" s="5">
        <v>0</v>
      </c>
      <c r="E832" s="5">
        <f t="shared" si="573"/>
        <v>0</v>
      </c>
      <c r="F832" s="5">
        <f t="shared" si="573"/>
        <v>0</v>
      </c>
      <c r="G832" s="9">
        <f t="shared" si="575"/>
        <v>8.2492333106747306E-3</v>
      </c>
      <c r="H832" s="9">
        <f t="shared" si="575"/>
        <v>2.1661989900432221E-3</v>
      </c>
      <c r="I832" s="5">
        <f t="shared" si="576"/>
        <v>20029228.784926504</v>
      </c>
      <c r="J832" s="5">
        <f t="shared" si="577"/>
        <v>16991661.940505683</v>
      </c>
      <c r="K832" s="8">
        <f t="shared" ref="K832:L832" si="639">I832/I580-1</f>
        <v>0.60479482138745921</v>
      </c>
      <c r="L832" s="8">
        <f t="shared" si="639"/>
        <v>0.30991462439654871</v>
      </c>
      <c r="M832" s="8">
        <f t="shared" si="638"/>
        <v>-0.2948801969909105</v>
      </c>
    </row>
    <row r="833" spans="1:13" x14ac:dyDescent="0.3">
      <c r="A833" s="1">
        <v>45425</v>
      </c>
      <c r="B833" s="5">
        <v>30157735.507590335</v>
      </c>
      <c r="C833" s="5">
        <v>25586397.386320934</v>
      </c>
      <c r="D833" s="5">
        <v>0</v>
      </c>
      <c r="E833" s="5">
        <f t="shared" si="573"/>
        <v>0</v>
      </c>
      <c r="F833" s="5">
        <f t="shared" si="573"/>
        <v>0</v>
      </c>
      <c r="G833" s="9">
        <f t="shared" si="575"/>
        <v>6.5726734776467843E-3</v>
      </c>
      <c r="H833" s="9">
        <f t="shared" si="575"/>
        <v>-9.4508685346283983E-4</v>
      </c>
      <c r="I833" s="5">
        <f t="shared" si="576"/>
        <v>20160874.36573891</v>
      </c>
      <c r="J833" s="5">
        <f t="shared" si="577"/>
        <v>16975603.344187226</v>
      </c>
      <c r="K833" s="8">
        <f t="shared" ref="K833:L833" si="640">I833/I581-1</f>
        <v>0.60438388444268099</v>
      </c>
      <c r="L833" s="8">
        <f t="shared" si="640"/>
        <v>0.30854371840305772</v>
      </c>
      <c r="M833" s="8">
        <f t="shared" si="638"/>
        <v>-0.29584016603962326</v>
      </c>
    </row>
    <row r="834" spans="1:13" x14ac:dyDescent="0.3">
      <c r="A834" s="1">
        <v>45426</v>
      </c>
      <c r="B834" s="5">
        <v>30609031.437130958</v>
      </c>
      <c r="C834" s="5">
        <v>25720158.187223397</v>
      </c>
      <c r="D834" s="5">
        <v>0</v>
      </c>
      <c r="E834" s="5">
        <f t="shared" si="573"/>
        <v>0</v>
      </c>
      <c r="F834" s="5">
        <f t="shared" si="573"/>
        <v>0</v>
      </c>
      <c r="G834" s="9">
        <f t="shared" si="575"/>
        <v>1.4964516464674116E-2</v>
      </c>
      <c r="H834" s="9">
        <f t="shared" si="575"/>
        <v>5.227809092575697E-3</v>
      </c>
      <c r="I834" s="5">
        <f t="shared" si="576"/>
        <v>20462572.102127235</v>
      </c>
      <c r="J834" s="5">
        <f t="shared" si="577"/>
        <v>17064348.557701927</v>
      </c>
      <c r="K834" s="8">
        <f t="shared" ref="K834:L834" si="641">I834/I582-1</f>
        <v>0.63008075393820939</v>
      </c>
      <c r="L834" s="8">
        <f t="shared" si="641"/>
        <v>0.31715440179280896</v>
      </c>
      <c r="M834" s="8">
        <f t="shared" si="638"/>
        <v>-0.31292635214540043</v>
      </c>
    </row>
    <row r="835" spans="1:13" x14ac:dyDescent="0.3">
      <c r="A835" s="1">
        <v>45427</v>
      </c>
      <c r="B835" s="5">
        <v>30767879.589343697</v>
      </c>
      <c r="C835" s="5">
        <v>26013860.361974075</v>
      </c>
      <c r="D835" s="5">
        <v>0</v>
      </c>
      <c r="E835" s="5">
        <f t="shared" ref="E835:F898" si="642">$D835*-1</f>
        <v>0</v>
      </c>
      <c r="F835" s="5">
        <f t="shared" si="642"/>
        <v>0</v>
      </c>
      <c r="G835" s="9">
        <f t="shared" si="575"/>
        <v>5.1895844054721252E-3</v>
      </c>
      <c r="H835" s="9">
        <f t="shared" si="575"/>
        <v>1.1419143405446697E-2</v>
      </c>
      <c r="I835" s="5">
        <f t="shared" si="576"/>
        <v>20568764.347204283</v>
      </c>
      <c r="J835" s="5">
        <f t="shared" si="577"/>
        <v>17259208.801002853</v>
      </c>
      <c r="K835" s="8">
        <f t="shared" ref="K835:L835" si="643">I835/I583-1</f>
        <v>0.62931854721366687</v>
      </c>
      <c r="L835" s="8">
        <f t="shared" si="643"/>
        <v>0.32783125951594472</v>
      </c>
      <c r="M835" s="8">
        <f t="shared" si="638"/>
        <v>-0.30148728769772215</v>
      </c>
    </row>
    <row r="836" spans="1:13" x14ac:dyDescent="0.3">
      <c r="A836" s="1">
        <v>45428</v>
      </c>
      <c r="B836" s="5">
        <v>31084970.802038062</v>
      </c>
      <c r="C836" s="5">
        <v>25965048.031484246</v>
      </c>
      <c r="D836" s="5">
        <v>0</v>
      </c>
      <c r="E836" s="5">
        <f t="shared" si="642"/>
        <v>0</v>
      </c>
      <c r="F836" s="5">
        <f t="shared" si="642"/>
        <v>0</v>
      </c>
      <c r="G836" s="9">
        <f t="shared" ref="G836:H899" si="644">((B836-$D836)/B835-1)</f>
        <v>1.030591697986849E-2</v>
      </c>
      <c r="H836" s="9">
        <f t="shared" si="644"/>
        <v>-1.8763970364499283E-3</v>
      </c>
      <c r="I836" s="5">
        <f t="shared" ref="I836:I899" si="645">I835*(1+G836)</f>
        <v>20780744.324945047</v>
      </c>
      <c r="J836" s="5">
        <f t="shared" ref="J836:J899" si="646">J835*(1+H836)</f>
        <v>17226823.672757179</v>
      </c>
      <c r="K836" s="8">
        <f t="shared" ref="K836:L836" si="647">I836/I584-1</f>
        <v>0.63340244918213107</v>
      </c>
      <c r="L836" s="8">
        <f t="shared" si="647"/>
        <v>0.32423997114904046</v>
      </c>
      <c r="M836" s="8">
        <f t="shared" si="638"/>
        <v>-0.3091624780330906</v>
      </c>
    </row>
    <row r="837" spans="1:13" x14ac:dyDescent="0.3">
      <c r="A837" s="1">
        <v>45429</v>
      </c>
      <c r="B837" s="5">
        <v>31452843.428976156</v>
      </c>
      <c r="C837" s="5">
        <v>25959010.86387695</v>
      </c>
      <c r="D837" s="5">
        <v>0</v>
      </c>
      <c r="E837" s="5">
        <f t="shared" si="642"/>
        <v>0</v>
      </c>
      <c r="F837" s="5">
        <f t="shared" si="642"/>
        <v>0</v>
      </c>
      <c r="G837" s="9">
        <f t="shared" si="644"/>
        <v>1.1834420861478678E-2</v>
      </c>
      <c r="H837" s="9">
        <f t="shared" si="644"/>
        <v>-2.3251132060209123E-4</v>
      </c>
      <c r="I837" s="5">
        <f t="shared" si="645"/>
        <v>21026672.399101231</v>
      </c>
      <c r="J837" s="5">
        <f t="shared" si="646"/>
        <v>17222818.241235245</v>
      </c>
      <c r="K837" s="8">
        <f t="shared" ref="K837:L837" si="648">I837/I585-1</f>
        <v>0.65540278208250391</v>
      </c>
      <c r="L837" s="8">
        <f t="shared" si="648"/>
        <v>0.32508586535709982</v>
      </c>
      <c r="M837" s="8">
        <f t="shared" si="638"/>
        <v>-0.33031691672540409</v>
      </c>
    </row>
    <row r="838" spans="1:13" x14ac:dyDescent="0.3">
      <c r="A838" s="1">
        <v>45430</v>
      </c>
      <c r="B838" s="5">
        <v>31711528.410312187</v>
      </c>
      <c r="C838" s="5">
        <v>25985000.709913619</v>
      </c>
      <c r="D838" s="5">
        <v>0</v>
      </c>
      <c r="E838" s="5">
        <f t="shared" si="642"/>
        <v>0</v>
      </c>
      <c r="F838" s="5">
        <f t="shared" si="642"/>
        <v>0</v>
      </c>
      <c r="G838" s="9">
        <f t="shared" si="644"/>
        <v>8.2245340368087838E-3</v>
      </c>
      <c r="H838" s="9">
        <f t="shared" si="644"/>
        <v>1.0011878408215935E-3</v>
      </c>
      <c r="I838" s="5">
        <f t="shared" si="645"/>
        <v>21199606.981928468</v>
      </c>
      <c r="J838" s="5">
        <f t="shared" si="646"/>
        <v>17240061.51744305</v>
      </c>
      <c r="K838" s="8">
        <f t="shared" ref="K838:L838" si="649">I838/I586-1</f>
        <v>0.66112008973271785</v>
      </c>
      <c r="L838" s="8">
        <f t="shared" si="649"/>
        <v>0.32023162206678379</v>
      </c>
      <c r="M838" s="8">
        <f t="shared" si="638"/>
        <v>-0.34088846766593406</v>
      </c>
    </row>
    <row r="839" spans="1:13" x14ac:dyDescent="0.3">
      <c r="A839" s="1">
        <v>45433</v>
      </c>
      <c r="B839" s="5">
        <v>31985615.125438247</v>
      </c>
      <c r="C839" s="5">
        <v>26041294.822718147</v>
      </c>
      <c r="D839" s="5">
        <v>0</v>
      </c>
      <c r="E839" s="5">
        <f t="shared" si="642"/>
        <v>0</v>
      </c>
      <c r="F839" s="5">
        <f t="shared" si="642"/>
        <v>0</v>
      </c>
      <c r="G839" s="9">
        <f t="shared" si="644"/>
        <v>8.6431253511241035E-3</v>
      </c>
      <c r="H839" s="9">
        <f t="shared" si="644"/>
        <v>2.1664079763927813E-3</v>
      </c>
      <c r="I839" s="5">
        <f t="shared" si="645"/>
        <v>21382837.842467841</v>
      </c>
      <c r="J839" s="5">
        <f t="shared" si="646"/>
        <v>17277410.52422794</v>
      </c>
      <c r="K839" s="8">
        <f t="shared" ref="K839:L839" si="650">I839/I587-1</f>
        <v>0.67315147302216882</v>
      </c>
      <c r="L839" s="8">
        <f t="shared" si="650"/>
        <v>0.33216238159742484</v>
      </c>
      <c r="M839" s="8">
        <f t="shared" si="638"/>
        <v>-0.34098909142474398</v>
      </c>
    </row>
    <row r="840" spans="1:13" x14ac:dyDescent="0.3">
      <c r="A840" s="1">
        <v>45434</v>
      </c>
      <c r="B840" s="5">
        <v>32034782.961732317</v>
      </c>
      <c r="C840" s="5">
        <v>25955564.830586113</v>
      </c>
      <c r="D840" s="5">
        <v>0</v>
      </c>
      <c r="E840" s="5">
        <f t="shared" si="642"/>
        <v>0</v>
      </c>
      <c r="F840" s="5">
        <f t="shared" si="642"/>
        <v>0</v>
      </c>
      <c r="G840" s="9">
        <f t="shared" si="644"/>
        <v>1.537185891259174E-3</v>
      </c>
      <c r="H840" s="9">
        <f t="shared" si="644"/>
        <v>-3.292078704828616E-3</v>
      </c>
      <c r="I840" s="5">
        <f t="shared" si="645"/>
        <v>21415707.239114366</v>
      </c>
      <c r="J840" s="5">
        <f t="shared" si="646"/>
        <v>17220531.928966548</v>
      </c>
      <c r="K840" s="8">
        <f t="shared" ref="K840:L840" si="651">I840/I588-1</f>
        <v>0.68519195593352422</v>
      </c>
      <c r="L840" s="8">
        <f t="shared" si="651"/>
        <v>0.30984868563318124</v>
      </c>
      <c r="M840" s="8">
        <f t="shared" si="638"/>
        <v>-0.37534327030034298</v>
      </c>
    </row>
    <row r="841" spans="1:13" x14ac:dyDescent="0.3">
      <c r="A841" s="1">
        <v>45435</v>
      </c>
      <c r="B841" s="5">
        <v>32265227.022437025</v>
      </c>
      <c r="C841" s="5">
        <v>25768055.190411218</v>
      </c>
      <c r="D841" s="5">
        <v>0</v>
      </c>
      <c r="E841" s="5">
        <f t="shared" si="642"/>
        <v>0</v>
      </c>
      <c r="F841" s="5">
        <f t="shared" si="642"/>
        <v>0</v>
      </c>
      <c r="G841" s="9">
        <f t="shared" si="644"/>
        <v>7.1935577331674327E-3</v>
      </c>
      <c r="H841" s="9">
        <f t="shared" si="644"/>
        <v>-7.2242558156134784E-3</v>
      </c>
      <c r="I841" s="5">
        <f t="shared" si="645"/>
        <v>21569762.365535546</v>
      </c>
      <c r="J841" s="5">
        <f t="shared" si="646"/>
        <v>17096126.401030753</v>
      </c>
      <c r="K841" s="8">
        <f t="shared" ref="K841:L841" si="652">I841/I589-1</f>
        <v>0.71436680629668792</v>
      </c>
      <c r="L841" s="8">
        <f t="shared" si="652"/>
        <v>0.28207463326546489</v>
      </c>
      <c r="M841" s="8">
        <f t="shared" si="638"/>
        <v>-0.43229217303122303</v>
      </c>
    </row>
    <row r="842" spans="1:13" x14ac:dyDescent="0.3">
      <c r="A842" s="1">
        <v>45436</v>
      </c>
      <c r="B842" s="5">
        <v>32365318.452999085</v>
      </c>
      <c r="C842" s="5">
        <v>25892975.111165941</v>
      </c>
      <c r="D842" s="5">
        <v>0</v>
      </c>
      <c r="E842" s="5">
        <f t="shared" si="642"/>
        <v>0</v>
      </c>
      <c r="F842" s="5">
        <f t="shared" si="642"/>
        <v>0</v>
      </c>
      <c r="G842" s="9">
        <f t="shared" si="644"/>
        <v>3.102145554173763E-3</v>
      </c>
      <c r="H842" s="9">
        <f t="shared" si="644"/>
        <v>4.8478598726848787E-3</v>
      </c>
      <c r="I842" s="5">
        <f t="shared" si="645"/>
        <v>21636674.907962378</v>
      </c>
      <c r="J842" s="5">
        <f t="shared" si="646"/>
        <v>17179006.026188657</v>
      </c>
      <c r="K842" s="8">
        <f t="shared" ref="K842:L842" si="653">I842/I590-1</f>
        <v>0.71371166326755753</v>
      </c>
      <c r="L842" s="8">
        <f t="shared" si="653"/>
        <v>0.2919962360287689</v>
      </c>
      <c r="M842" s="8">
        <f t="shared" si="638"/>
        <v>-0.42171542723878863</v>
      </c>
    </row>
    <row r="843" spans="1:13" x14ac:dyDescent="0.3">
      <c r="A843" s="1">
        <v>45439</v>
      </c>
      <c r="B843" s="5">
        <v>32413626.596123256</v>
      </c>
      <c r="C843" s="5">
        <v>25921272.294194665</v>
      </c>
      <c r="D843" s="5">
        <v>0</v>
      </c>
      <c r="E843" s="5">
        <f t="shared" si="642"/>
        <v>0</v>
      </c>
      <c r="F843" s="5">
        <f t="shared" si="642"/>
        <v>0</v>
      </c>
      <c r="G843" s="9">
        <f t="shared" si="644"/>
        <v>1.4925897668618404E-3</v>
      </c>
      <c r="H843" s="9">
        <f t="shared" si="644"/>
        <v>1.0928517448163255E-3</v>
      </c>
      <c r="I843" s="5">
        <f t="shared" si="645"/>
        <v>21668969.587518919</v>
      </c>
      <c r="J843" s="5">
        <f t="shared" si="646"/>
        <v>17197780.132898588</v>
      </c>
      <c r="K843" s="8">
        <f t="shared" ref="K843:L843" si="654">I843/I591-1</f>
        <v>0.70044633618719732</v>
      </c>
      <c r="L843" s="8">
        <f t="shared" si="654"/>
        <v>0.29024864289771291</v>
      </c>
      <c r="M843" s="8">
        <f t="shared" si="638"/>
        <v>-0.41019769328948441</v>
      </c>
    </row>
    <row r="844" spans="1:13" x14ac:dyDescent="0.3">
      <c r="A844" s="1">
        <v>45440</v>
      </c>
      <c r="B844" s="5">
        <v>32136669.828414597</v>
      </c>
      <c r="C844" s="5">
        <v>25921272.294194665</v>
      </c>
      <c r="D844" s="5">
        <v>0</v>
      </c>
      <c r="E844" s="5">
        <f t="shared" si="642"/>
        <v>0</v>
      </c>
      <c r="F844" s="5">
        <f t="shared" si="642"/>
        <v>0</v>
      </c>
      <c r="G844" s="9">
        <f t="shared" si="644"/>
        <v>-8.5444548109214757E-3</v>
      </c>
      <c r="H844" s="9">
        <f t="shared" si="644"/>
        <v>0</v>
      </c>
      <c r="I844" s="5">
        <f t="shared" si="645"/>
        <v>21483820.056079131</v>
      </c>
      <c r="J844" s="5">
        <f t="shared" si="646"/>
        <v>17197780.132898588</v>
      </c>
      <c r="K844" s="8">
        <f t="shared" ref="K844:L844" si="655">I844/I592-1</f>
        <v>0.68234590130053441</v>
      </c>
      <c r="L844" s="8">
        <f t="shared" si="655"/>
        <v>0.30471030469576288</v>
      </c>
      <c r="M844" s="8">
        <f t="shared" si="638"/>
        <v>-0.37763559660477153</v>
      </c>
    </row>
    <row r="845" spans="1:13" x14ac:dyDescent="0.3">
      <c r="A845" s="1">
        <v>45441</v>
      </c>
      <c r="B845" s="5">
        <v>31913926.634604901</v>
      </c>
      <c r="C845" s="5">
        <v>25783205.435409911</v>
      </c>
      <c r="D845" s="5">
        <v>0</v>
      </c>
      <c r="E845" s="5">
        <f t="shared" si="642"/>
        <v>0</v>
      </c>
      <c r="F845" s="5">
        <f t="shared" si="642"/>
        <v>0</v>
      </c>
      <c r="G845" s="9">
        <f t="shared" si="644"/>
        <v>-6.9311224529167159E-3</v>
      </c>
      <c r="H845" s="9">
        <f t="shared" si="644"/>
        <v>-5.3263920542848675E-3</v>
      </c>
      <c r="I845" s="5">
        <f t="shared" si="645"/>
        <v>21334913.068514019</v>
      </c>
      <c r="J845" s="5">
        <f t="shared" si="646"/>
        <v>17106178.013447378</v>
      </c>
      <c r="K845" s="8">
        <f t="shared" ref="K845:L845" si="656">I845/I593-1</f>
        <v>0.67175690325629289</v>
      </c>
      <c r="L845" s="8">
        <f t="shared" si="656"/>
        <v>0.31015127307279688</v>
      </c>
      <c r="M845" s="8">
        <f t="shared" si="638"/>
        <v>-0.36160563018349601</v>
      </c>
    </row>
    <row r="846" spans="1:13" x14ac:dyDescent="0.3">
      <c r="A846" s="1">
        <v>45442</v>
      </c>
      <c r="B846" s="5">
        <v>31579978.822756052</v>
      </c>
      <c r="C846" s="5">
        <v>25616401.399835885</v>
      </c>
      <c r="D846" s="5">
        <v>0</v>
      </c>
      <c r="E846" s="5">
        <f t="shared" si="642"/>
        <v>0</v>
      </c>
      <c r="F846" s="5">
        <f t="shared" si="642"/>
        <v>0</v>
      </c>
      <c r="G846" s="9">
        <f t="shared" si="644"/>
        <v>-1.0464015151515182E-2</v>
      </c>
      <c r="H846" s="9">
        <f t="shared" si="644"/>
        <v>-6.4694840209799098E-3</v>
      </c>
      <c r="I846" s="5">
        <f t="shared" si="645"/>
        <v>21111664.214908831</v>
      </c>
      <c r="J846" s="5">
        <f t="shared" si="646"/>
        <v>16995509.868129343</v>
      </c>
      <c r="K846" s="8">
        <f t="shared" ref="K846:L846" si="657">I846/I594-1</f>
        <v>0.64506136743000764</v>
      </c>
      <c r="L846" s="8">
        <f t="shared" si="657"/>
        <v>0.2887732454157379</v>
      </c>
      <c r="M846" s="8">
        <f t="shared" si="638"/>
        <v>-0.35628812201426974</v>
      </c>
    </row>
    <row r="847" spans="1:13" x14ac:dyDescent="0.3">
      <c r="A847" s="1">
        <v>45443</v>
      </c>
      <c r="B847" s="5">
        <v>31661795.160433292</v>
      </c>
      <c r="C847" s="5">
        <v>25870953.84159252</v>
      </c>
      <c r="D847" s="5">
        <v>0</v>
      </c>
      <c r="E847" s="5">
        <f t="shared" si="642"/>
        <v>0</v>
      </c>
      <c r="F847" s="5">
        <f t="shared" si="642"/>
        <v>0</v>
      </c>
      <c r="G847" s="9">
        <f t="shared" si="644"/>
        <v>2.5907660716442127E-3</v>
      </c>
      <c r="H847" s="9">
        <f t="shared" si="644"/>
        <v>9.9370882655775983E-3</v>
      </c>
      <c r="I847" s="5">
        <f t="shared" si="645"/>
        <v>21166359.598272763</v>
      </c>
      <c r="J847" s="5">
        <f t="shared" si="646"/>
        <v>17164395.74980744</v>
      </c>
      <c r="K847" s="8">
        <f t="shared" ref="K847:L847" si="658">I847/I595-1</f>
        <v>0.63067236972493035</v>
      </c>
      <c r="L847" s="8">
        <f t="shared" si="658"/>
        <v>0.28752539112764985</v>
      </c>
      <c r="M847" s="8">
        <f t="shared" si="638"/>
        <v>-0.34314697859728049</v>
      </c>
    </row>
    <row r="848" spans="1:13" x14ac:dyDescent="0.3">
      <c r="A848" s="1">
        <v>45446</v>
      </c>
      <c r="B848" s="5">
        <v>33111826.404060036</v>
      </c>
      <c r="C848" s="5">
        <v>25812853.353422761</v>
      </c>
      <c r="D848" s="5">
        <v>0</v>
      </c>
      <c r="E848" s="5">
        <f t="shared" si="642"/>
        <v>0</v>
      </c>
      <c r="F848" s="5">
        <f t="shared" si="642"/>
        <v>0</v>
      </c>
      <c r="G848" s="9">
        <f t="shared" si="644"/>
        <v>4.5797505677719785E-2</v>
      </c>
      <c r="H848" s="9">
        <f t="shared" si="644"/>
        <v>-2.2457806745552755E-3</v>
      </c>
      <c r="I848" s="5">
        <f t="shared" si="645"/>
        <v>22135726.072151318</v>
      </c>
      <c r="J848" s="5">
        <f t="shared" si="646"/>
        <v>17125848.281542104</v>
      </c>
      <c r="K848" s="8">
        <f t="shared" ref="K848:L848" si="659">I848/I596-1</f>
        <v>0.69556662440502093</v>
      </c>
      <c r="L848" s="8">
        <f t="shared" si="659"/>
        <v>0.28312866014182059</v>
      </c>
      <c r="M848" s="8">
        <f t="shared" si="638"/>
        <v>-0.41243796426320034</v>
      </c>
    </row>
    <row r="849" spans="1:13" x14ac:dyDescent="0.3">
      <c r="A849" s="1">
        <v>45447</v>
      </c>
      <c r="B849" s="5">
        <v>30018167.627968758</v>
      </c>
      <c r="C849" s="5">
        <v>25971187.171894424</v>
      </c>
      <c r="D849" s="5">
        <v>0</v>
      </c>
      <c r="E849" s="5">
        <f t="shared" si="642"/>
        <v>0</v>
      </c>
      <c r="F849" s="5">
        <f t="shared" si="642"/>
        <v>0</v>
      </c>
      <c r="G849" s="9">
        <f t="shared" si="644"/>
        <v>-9.3430629236203822E-2</v>
      </c>
      <c r="H849" s="9">
        <f t="shared" si="644"/>
        <v>6.1339138414415739E-3</v>
      </c>
      <c r="I849" s="5">
        <f t="shared" si="645"/>
        <v>20067571.256629977</v>
      </c>
      <c r="J849" s="5">
        <f t="shared" si="646"/>
        <v>17230896.759362683</v>
      </c>
      <c r="K849" s="8">
        <f t="shared" ref="K849:L849" si="660">I849/I597-1</f>
        <v>0.53638942606536744</v>
      </c>
      <c r="L849" s="8">
        <f t="shared" si="660"/>
        <v>0.29099926079061467</v>
      </c>
      <c r="M849" s="8">
        <f t="shared" si="638"/>
        <v>-0.24539016527475277</v>
      </c>
    </row>
    <row r="850" spans="1:13" x14ac:dyDescent="0.3">
      <c r="A850" s="1">
        <v>45448</v>
      </c>
      <c r="B850" s="5">
        <v>31337211.391112</v>
      </c>
      <c r="C850" s="5">
        <v>26232103.202135287</v>
      </c>
      <c r="D850" s="5">
        <v>0</v>
      </c>
      <c r="E850" s="5">
        <f t="shared" si="642"/>
        <v>0</v>
      </c>
      <c r="F850" s="5">
        <f t="shared" si="642"/>
        <v>0</v>
      </c>
      <c r="G850" s="9">
        <f t="shared" si="644"/>
        <v>4.3941515001543641E-2</v>
      </c>
      <c r="H850" s="9">
        <f t="shared" si="644"/>
        <v>1.0046365170523375E-2</v>
      </c>
      <c r="I850" s="5">
        <f t="shared" si="645"/>
        <v>20949370.740047731</v>
      </c>
      <c r="J850" s="5">
        <f t="shared" si="646"/>
        <v>17404004.640422828</v>
      </c>
      <c r="K850" s="8">
        <f t="shared" ref="K850:L850" si="661">I850/I598-1</f>
        <v>0.59996130686894467</v>
      </c>
      <c r="L850" s="8">
        <f t="shared" si="661"/>
        <v>0.31155095450624271</v>
      </c>
      <c r="M850" s="8">
        <f t="shared" si="638"/>
        <v>-0.28841035236270196</v>
      </c>
    </row>
    <row r="851" spans="1:13" x14ac:dyDescent="0.3">
      <c r="A851" s="1">
        <v>45449</v>
      </c>
      <c r="B851" s="5">
        <v>31988495.097557418</v>
      </c>
      <c r="C851" s="5">
        <v>26258659.024204846</v>
      </c>
      <c r="D851" s="5">
        <v>0</v>
      </c>
      <c r="E851" s="5">
        <f t="shared" si="642"/>
        <v>0</v>
      </c>
      <c r="F851" s="5">
        <f t="shared" si="642"/>
        <v>0</v>
      </c>
      <c r="G851" s="9">
        <f t="shared" si="644"/>
        <v>2.0783077929842131E-2</v>
      </c>
      <c r="H851" s="9">
        <f t="shared" si="644"/>
        <v>1.0123405609123726E-3</v>
      </c>
      <c r="I851" s="5">
        <f t="shared" si="645"/>
        <v>21384763.144719295</v>
      </c>
      <c r="J851" s="5">
        <f t="shared" si="646"/>
        <v>17421623.420242637</v>
      </c>
      <c r="K851" s="8">
        <f t="shared" ref="K851:L851" si="662">I851/I599-1</f>
        <v>0.62902723365877988</v>
      </c>
      <c r="L851" s="8">
        <f t="shared" si="662"/>
        <v>0.30408996564288326</v>
      </c>
      <c r="M851" s="8">
        <f t="shared" si="638"/>
        <v>-0.32493726801589662</v>
      </c>
    </row>
    <row r="852" spans="1:13" x14ac:dyDescent="0.3">
      <c r="A852" s="1">
        <v>45450</v>
      </c>
      <c r="B852" s="5">
        <v>32458737.341957822</v>
      </c>
      <c r="C852" s="5">
        <v>26205873.531173337</v>
      </c>
      <c r="D852" s="5">
        <v>0</v>
      </c>
      <c r="E852" s="5">
        <f t="shared" si="642"/>
        <v>0</v>
      </c>
      <c r="F852" s="5">
        <f t="shared" si="642"/>
        <v>0</v>
      </c>
      <c r="G852" s="9">
        <f t="shared" si="644"/>
        <v>1.4700355329823278E-2</v>
      </c>
      <c r="H852" s="9">
        <f t="shared" si="644"/>
        <v>-2.0102128209537051E-3</v>
      </c>
      <c r="I852" s="5">
        <f t="shared" si="645"/>
        <v>21699126.761590779</v>
      </c>
      <c r="J852" s="5">
        <f t="shared" si="646"/>
        <v>17386602.24948144</v>
      </c>
      <c r="K852" s="8">
        <f t="shared" ref="K852:L852" si="663">I852/I600-1</f>
        <v>0.64586504576230541</v>
      </c>
      <c r="L852" s="8">
        <f t="shared" si="663"/>
        <v>0.28368409239527725</v>
      </c>
      <c r="M852" s="8">
        <f t="shared" si="638"/>
        <v>-0.36218095336702816</v>
      </c>
    </row>
    <row r="853" spans="1:13" x14ac:dyDescent="0.3">
      <c r="A853" s="1">
        <v>45453</v>
      </c>
      <c r="B853" s="5">
        <v>32703687.071648553</v>
      </c>
      <c r="C853" s="5">
        <v>26313531.182924829</v>
      </c>
      <c r="D853" s="5">
        <v>0</v>
      </c>
      <c r="E853" s="5">
        <f t="shared" si="642"/>
        <v>0</v>
      </c>
      <c r="F853" s="5">
        <f t="shared" si="642"/>
        <v>0</v>
      </c>
      <c r="G853" s="9">
        <f t="shared" si="644"/>
        <v>7.5464959437623325E-3</v>
      </c>
      <c r="H853" s="9">
        <f t="shared" si="644"/>
        <v>4.1081497101567166E-3</v>
      </c>
      <c r="I853" s="5">
        <f t="shared" si="645"/>
        <v>21862879.13368031</v>
      </c>
      <c r="J853" s="5">
        <f t="shared" si="646"/>
        <v>17458029.014473256</v>
      </c>
      <c r="K853" s="8">
        <f t="shared" ref="K853:L853" si="664">I853/I601-1</f>
        <v>0.65554953714800956</v>
      </c>
      <c r="L853" s="8">
        <f t="shared" si="664"/>
        <v>0.28652338003514632</v>
      </c>
      <c r="M853" s="8">
        <f t="shared" si="638"/>
        <v>-0.36902615711286324</v>
      </c>
    </row>
    <row r="854" spans="1:13" x14ac:dyDescent="0.3">
      <c r="A854" s="1">
        <v>45454</v>
      </c>
      <c r="B854" s="5">
        <v>32672777.795678347</v>
      </c>
      <c r="C854" s="5">
        <v>26385072.927452497</v>
      </c>
      <c r="D854" s="5">
        <v>0</v>
      </c>
      <c r="E854" s="5">
        <f t="shared" si="642"/>
        <v>0</v>
      </c>
      <c r="F854" s="5">
        <f t="shared" si="642"/>
        <v>0</v>
      </c>
      <c r="G854" s="9">
        <f t="shared" si="644"/>
        <v>-9.4513122946926487E-4</v>
      </c>
      <c r="H854" s="9">
        <f t="shared" si="644"/>
        <v>2.7188196076888271E-3</v>
      </c>
      <c r="I854" s="5">
        <f t="shared" si="645"/>
        <v>21842215.843844958</v>
      </c>
      <c r="J854" s="5">
        <f t="shared" si="646"/>
        <v>17505494.246069405</v>
      </c>
      <c r="K854" s="8">
        <f t="shared" ref="K854:L854" si="665">I854/I602-1</f>
        <v>0.64638489317113246</v>
      </c>
      <c r="L854" s="8">
        <f t="shared" si="665"/>
        <v>0.28789257618295339</v>
      </c>
      <c r="M854" s="8">
        <f t="shared" si="638"/>
        <v>-0.35849231698817907</v>
      </c>
    </row>
    <row r="855" spans="1:13" x14ac:dyDescent="0.3">
      <c r="A855" s="1">
        <v>45455</v>
      </c>
      <c r="B855" s="5">
        <v>32918226.808710057</v>
      </c>
      <c r="C855" s="5">
        <v>26632345.374345623</v>
      </c>
      <c r="D855" s="5">
        <v>0</v>
      </c>
      <c r="E855" s="5">
        <f t="shared" si="642"/>
        <v>0</v>
      </c>
      <c r="F855" s="5">
        <f t="shared" si="642"/>
        <v>0</v>
      </c>
      <c r="G855" s="9">
        <f t="shared" si="644"/>
        <v>7.5123399230589971E-3</v>
      </c>
      <c r="H855" s="9">
        <f t="shared" si="644"/>
        <v>9.3716794936673509E-3</v>
      </c>
      <c r="I855" s="5">
        <f t="shared" si="645"/>
        <v>22006301.993936747</v>
      </c>
      <c r="J855" s="5">
        <f t="shared" si="646"/>
        <v>17669550.127521805</v>
      </c>
      <c r="K855" s="8">
        <f t="shared" ref="K855:L855" si="666">I855/I603-1</f>
        <v>0.64286272994214388</v>
      </c>
      <c r="L855" s="8">
        <f t="shared" si="666"/>
        <v>0.30664045973762666</v>
      </c>
      <c r="M855" s="8">
        <f t="shared" si="638"/>
        <v>-0.33622227020451723</v>
      </c>
    </row>
    <row r="856" spans="1:13" x14ac:dyDescent="0.3">
      <c r="A856" s="1">
        <v>45456</v>
      </c>
      <c r="B856" s="5">
        <v>33218871.429761738</v>
      </c>
      <c r="C856" s="5">
        <v>26679160.332791816</v>
      </c>
      <c r="D856" s="5">
        <v>0</v>
      </c>
      <c r="E856" s="5">
        <f t="shared" si="642"/>
        <v>0</v>
      </c>
      <c r="F856" s="5">
        <f t="shared" si="642"/>
        <v>0</v>
      </c>
      <c r="G856" s="9">
        <f t="shared" si="644"/>
        <v>9.1330745972055816E-3</v>
      </c>
      <c r="H856" s="9">
        <f t="shared" si="644"/>
        <v>1.7578233455657344E-3</v>
      </c>
      <c r="I856" s="5">
        <f t="shared" si="645"/>
        <v>22207287.191656005</v>
      </c>
      <c r="J856" s="5">
        <f t="shared" si="646"/>
        <v>17700610.075241607</v>
      </c>
      <c r="K856" s="8">
        <f t="shared" ref="K856:L856" si="667">I856/I604-1</f>
        <v>0.66893127919571316</v>
      </c>
      <c r="L856" s="8">
        <f t="shared" si="667"/>
        <v>0.29963514462038998</v>
      </c>
      <c r="M856" s="8">
        <f t="shared" si="638"/>
        <v>-0.36929613457532318</v>
      </c>
    </row>
    <row r="857" spans="1:13" x14ac:dyDescent="0.3">
      <c r="A857" s="1">
        <v>45457</v>
      </c>
      <c r="B857" s="5">
        <v>33712927.174968459</v>
      </c>
      <c r="C857" s="5">
        <v>26681605.252136961</v>
      </c>
      <c r="D857" s="5">
        <v>0</v>
      </c>
      <c r="E857" s="5">
        <f t="shared" si="642"/>
        <v>0</v>
      </c>
      <c r="F857" s="5">
        <f t="shared" si="642"/>
        <v>0</v>
      </c>
      <c r="G857" s="9">
        <f t="shared" si="644"/>
        <v>1.4872743231248986E-2</v>
      </c>
      <c r="H857" s="9">
        <f t="shared" si="644"/>
        <v>9.1641540237663577E-5</v>
      </c>
      <c r="I857" s="5">
        <f t="shared" si="645"/>
        <v>22537570.47192011</v>
      </c>
      <c r="J857" s="5">
        <f t="shared" si="646"/>
        <v>17702232.186412048</v>
      </c>
      <c r="K857" s="8">
        <f t="shared" ref="K857:L857" si="668">I857/I605-1</f>
        <v>0.69537368441619107</v>
      </c>
      <c r="L857" s="8">
        <f t="shared" si="668"/>
        <v>0.29995903966817128</v>
      </c>
      <c r="M857" s="8">
        <f t="shared" si="638"/>
        <v>-0.39541464474801979</v>
      </c>
    </row>
    <row r="858" spans="1:13" x14ac:dyDescent="0.3">
      <c r="A858" s="1">
        <v>45461</v>
      </c>
      <c r="B858" s="5">
        <v>33925618.571714669</v>
      </c>
      <c r="C858" s="5">
        <v>26919314.646413296</v>
      </c>
      <c r="D858" s="5">
        <v>0</v>
      </c>
      <c r="E858" s="5">
        <f t="shared" si="642"/>
        <v>0</v>
      </c>
      <c r="F858" s="5">
        <f t="shared" si="642"/>
        <v>0</v>
      </c>
      <c r="G858" s="9">
        <f t="shared" si="644"/>
        <v>6.3088973449962893E-3</v>
      </c>
      <c r="H858" s="9">
        <f t="shared" si="644"/>
        <v>8.9091114282675576E-3</v>
      </c>
      <c r="I858" s="5">
        <f t="shared" si="645"/>
        <v>22679757.690433074</v>
      </c>
      <c r="J858" s="5">
        <f t="shared" si="646"/>
        <v>17859943.345489856</v>
      </c>
      <c r="K858" s="8">
        <f t="shared" ref="K858:L858" si="669">I858/I606-1</f>
        <v>0.69799351898174744</v>
      </c>
      <c r="L858" s="8">
        <f t="shared" si="669"/>
        <v>0.29989896013601425</v>
      </c>
      <c r="M858" s="8">
        <f t="shared" si="638"/>
        <v>-0.39809455884573319</v>
      </c>
    </row>
    <row r="859" spans="1:13" x14ac:dyDescent="0.3">
      <c r="A859" s="1">
        <v>45462</v>
      </c>
      <c r="B859" s="5">
        <v>33546252.508397408</v>
      </c>
      <c r="C859" s="5">
        <v>26915886.417897567</v>
      </c>
      <c r="D859" s="5">
        <v>0</v>
      </c>
      <c r="E859" s="5">
        <f t="shared" si="642"/>
        <v>0</v>
      </c>
      <c r="F859" s="5">
        <f t="shared" si="642"/>
        <v>0</v>
      </c>
      <c r="G859" s="9">
        <f t="shared" si="644"/>
        <v>-1.1182288762556447E-2</v>
      </c>
      <c r="H859" s="9">
        <f t="shared" si="644"/>
        <v>-1.2735199839819522E-4</v>
      </c>
      <c r="I859" s="5">
        <f t="shared" si="645"/>
        <v>22426146.090873841</v>
      </c>
      <c r="J859" s="5">
        <f t="shared" si="646"/>
        <v>17857668.846013527</v>
      </c>
      <c r="K859" s="8">
        <f t="shared" ref="K859:L859" si="670">I859/I607-1</f>
        <v>0.66317273143660094</v>
      </c>
      <c r="L859" s="8">
        <f t="shared" si="670"/>
        <v>0.29151757714362292</v>
      </c>
      <c r="M859" s="8">
        <f t="shared" si="638"/>
        <v>-0.37165515429297802</v>
      </c>
    </row>
    <row r="860" spans="1:13" x14ac:dyDescent="0.3">
      <c r="A860" s="1">
        <v>45463</v>
      </c>
      <c r="B860" s="5">
        <v>33591025.989988394</v>
      </c>
      <c r="C860" s="5">
        <v>26915886.417897567</v>
      </c>
      <c r="D860" s="5">
        <v>0</v>
      </c>
      <c r="E860" s="5">
        <f t="shared" si="642"/>
        <v>0</v>
      </c>
      <c r="F860" s="5">
        <f t="shared" si="642"/>
        <v>0</v>
      </c>
      <c r="G860" s="9">
        <f t="shared" si="644"/>
        <v>1.3346790846393564E-3</v>
      </c>
      <c r="H860" s="9">
        <f t="shared" si="644"/>
        <v>0</v>
      </c>
      <c r="I860" s="5">
        <f t="shared" si="645"/>
        <v>22456077.799010396</v>
      </c>
      <c r="J860" s="5">
        <f t="shared" si="646"/>
        <v>17857668.846013527</v>
      </c>
      <c r="K860" s="8">
        <f t="shared" ref="K860:L860" si="671">I860/I608-1</f>
        <v>0.66153075950824869</v>
      </c>
      <c r="L860" s="8">
        <f t="shared" si="671"/>
        <v>0.29455699194813501</v>
      </c>
      <c r="M860" s="8">
        <f t="shared" si="638"/>
        <v>-0.36697376756011368</v>
      </c>
    </row>
    <row r="861" spans="1:13" x14ac:dyDescent="0.3">
      <c r="A861" s="1">
        <v>45464</v>
      </c>
      <c r="B861" s="5">
        <v>33354848.437142868</v>
      </c>
      <c r="C861" s="5">
        <v>26846310.752172444</v>
      </c>
      <c r="D861" s="5">
        <v>0</v>
      </c>
      <c r="E861" s="5">
        <f t="shared" si="642"/>
        <v>0</v>
      </c>
      <c r="F861" s="5">
        <f t="shared" si="642"/>
        <v>0</v>
      </c>
      <c r="G861" s="9">
        <f t="shared" si="644"/>
        <v>-7.0309716921393983E-3</v>
      </c>
      <c r="H861" s="9">
        <f t="shared" si="644"/>
        <v>-2.5849293850065402E-3</v>
      </c>
      <c r="I861" s="5">
        <f t="shared" si="645"/>
        <v>22298189.751689073</v>
      </c>
      <c r="J861" s="5">
        <f t="shared" si="646"/>
        <v>17811508.033065751</v>
      </c>
      <c r="K861" s="8">
        <f t="shared" ref="K861:L861" si="672">I861/I609-1</f>
        <v>0.64929344884923079</v>
      </c>
      <c r="L861" s="8">
        <f t="shared" si="672"/>
        <v>0.27420987526122031</v>
      </c>
      <c r="M861" s="8">
        <f t="shared" si="638"/>
        <v>-0.37508357358801048</v>
      </c>
    </row>
    <row r="862" spans="1:13" x14ac:dyDescent="0.3">
      <c r="A862" s="1">
        <v>45467</v>
      </c>
      <c r="B862" s="5">
        <v>33603656.866561592</v>
      </c>
      <c r="C862" s="5">
        <v>26730527.378739938</v>
      </c>
      <c r="D862" s="5">
        <v>0</v>
      </c>
      <c r="E862" s="5">
        <f t="shared" si="642"/>
        <v>0</v>
      </c>
      <c r="F862" s="5">
        <f t="shared" si="642"/>
        <v>0</v>
      </c>
      <c r="G862" s="9">
        <f t="shared" si="644"/>
        <v>7.4594381649673025E-3</v>
      </c>
      <c r="H862" s="9">
        <f t="shared" si="644"/>
        <v>-4.3128225141004783E-3</v>
      </c>
      <c r="I862" s="5">
        <f t="shared" si="645"/>
        <v>22464521.719332505</v>
      </c>
      <c r="J862" s="5">
        <f t="shared" si="646"/>
        <v>17734690.160210665</v>
      </c>
      <c r="K862" s="8">
        <f t="shared" ref="K862:L862" si="673">I862/I610-1</f>
        <v>0.64480859901249055</v>
      </c>
      <c r="L862" s="8">
        <f t="shared" si="673"/>
        <v>0.27787595280557231</v>
      </c>
      <c r="M862" s="8">
        <f t="shared" si="638"/>
        <v>-0.36693264620691823</v>
      </c>
    </row>
    <row r="863" spans="1:13" x14ac:dyDescent="0.3">
      <c r="A863" s="1">
        <v>45468</v>
      </c>
      <c r="B863" s="5">
        <v>33471674.125908319</v>
      </c>
      <c r="C863" s="5">
        <v>26829210.344761081</v>
      </c>
      <c r="D863" s="5">
        <v>0</v>
      </c>
      <c r="E863" s="5">
        <f t="shared" si="642"/>
        <v>0</v>
      </c>
      <c r="F863" s="5">
        <f t="shared" si="642"/>
        <v>0</v>
      </c>
      <c r="G863" s="9">
        <f t="shared" si="644"/>
        <v>-3.9276302926604112E-3</v>
      </c>
      <c r="H863" s="9">
        <f t="shared" si="644"/>
        <v>3.6917702603813662E-3</v>
      </c>
      <c r="I863" s="5">
        <f t="shared" si="645"/>
        <v>22376289.383317526</v>
      </c>
      <c r="J863" s="5">
        <f t="shared" si="646"/>
        <v>17800162.561921209</v>
      </c>
      <c r="K863" s="8">
        <f t="shared" ref="K863:L863" si="674">I863/I611-1</f>
        <v>0.64104551420978906</v>
      </c>
      <c r="L863" s="8">
        <f t="shared" si="674"/>
        <v>0.2852365969425843</v>
      </c>
      <c r="M863" s="8">
        <f t="shared" si="638"/>
        <v>-0.35580891726720476</v>
      </c>
    </row>
    <row r="864" spans="1:13" x14ac:dyDescent="0.3">
      <c r="A864" s="1">
        <v>45469</v>
      </c>
      <c r="B864" s="5">
        <v>33413029.825672161</v>
      </c>
      <c r="C864" s="5">
        <v>26919792.94741727</v>
      </c>
      <c r="D864" s="5">
        <v>0</v>
      </c>
      <c r="E864" s="5">
        <f t="shared" si="642"/>
        <v>0</v>
      </c>
      <c r="F864" s="5">
        <f t="shared" si="642"/>
        <v>0</v>
      </c>
      <c r="G864" s="9">
        <f t="shared" si="644"/>
        <v>-1.7520575760734403E-3</v>
      </c>
      <c r="H864" s="9">
        <f t="shared" si="644"/>
        <v>3.3762679367816961E-3</v>
      </c>
      <c r="I864" s="5">
        <f t="shared" si="645"/>
        <v>22337084.835979074</v>
      </c>
      <c r="J864" s="5">
        <f t="shared" si="646"/>
        <v>17860260.680048525</v>
      </c>
      <c r="K864" s="8">
        <f t="shared" ref="K864:L864" si="675">I864/I612-1</f>
        <v>0.63214350147196896</v>
      </c>
      <c r="L864" s="8">
        <f t="shared" si="675"/>
        <v>0.28957590005601985</v>
      </c>
      <c r="M864" s="8">
        <f t="shared" si="638"/>
        <v>-0.34256760141594911</v>
      </c>
    </row>
    <row r="865" spans="1:13" x14ac:dyDescent="0.3">
      <c r="A865" s="1">
        <v>45470</v>
      </c>
      <c r="B865" s="5">
        <v>33462200.968478423</v>
      </c>
      <c r="C865" s="5">
        <v>26909043.988870744</v>
      </c>
      <c r="D865" s="5">
        <v>0</v>
      </c>
      <c r="E865" s="5">
        <f t="shared" si="642"/>
        <v>0</v>
      </c>
      <c r="F865" s="5">
        <f t="shared" si="642"/>
        <v>0</v>
      </c>
      <c r="G865" s="9">
        <f t="shared" si="644"/>
        <v>1.4716158056544693E-3</v>
      </c>
      <c r="H865" s="9">
        <f t="shared" si="644"/>
        <v>-3.9929573632024873E-4</v>
      </c>
      <c r="I865" s="5">
        <f t="shared" si="645"/>
        <v>22369956.443075947</v>
      </c>
      <c r="J865" s="5">
        <f t="shared" si="646"/>
        <v>17853129.154109415</v>
      </c>
      <c r="K865" s="8">
        <f t="shared" ref="K865:L865" si="676">I865/I613-1</f>
        <v>0.63531479368231447</v>
      </c>
      <c r="L865" s="8">
        <f t="shared" si="676"/>
        <v>0.29687779593119035</v>
      </c>
      <c r="M865" s="8">
        <f t="shared" si="638"/>
        <v>-0.33843699775112412</v>
      </c>
    </row>
    <row r="866" spans="1:13" x14ac:dyDescent="0.3">
      <c r="A866" s="1">
        <v>45471</v>
      </c>
      <c r="B866" s="5">
        <v>33557934.415971518</v>
      </c>
      <c r="C866" s="5">
        <v>26767127.252123453</v>
      </c>
      <c r="D866" s="5">
        <v>0</v>
      </c>
      <c r="E866" s="5">
        <f t="shared" si="642"/>
        <v>0</v>
      </c>
      <c r="F866" s="5">
        <f t="shared" si="642"/>
        <v>0</v>
      </c>
      <c r="G866" s="9">
        <f t="shared" si="644"/>
        <v>2.8609429362782546E-3</v>
      </c>
      <c r="H866" s="9">
        <f t="shared" si="644"/>
        <v>-5.2739419804727072E-3</v>
      </c>
      <c r="I866" s="5">
        <f t="shared" si="645"/>
        <v>22433955.611946616</v>
      </c>
      <c r="J866" s="5">
        <f t="shared" si="646"/>
        <v>17758972.786780756</v>
      </c>
      <c r="K866" s="8">
        <f t="shared" ref="K866:L866" si="677">I866/I614-1</f>
        <v>0.65959128997069483</v>
      </c>
      <c r="L866" s="8">
        <f t="shared" si="677"/>
        <v>0.2868808098473048</v>
      </c>
      <c r="M866" s="8">
        <f t="shared" si="638"/>
        <v>-0.37271048012339003</v>
      </c>
    </row>
    <row r="867" spans="1:13" x14ac:dyDescent="0.3">
      <c r="A867" s="1">
        <v>45474</v>
      </c>
      <c r="B867" s="5">
        <v>34374073.353154607</v>
      </c>
      <c r="C867" s="5">
        <v>27375009.621718317</v>
      </c>
      <c r="D867" s="5">
        <v>500000</v>
      </c>
      <c r="E867" s="5">
        <f t="shared" si="642"/>
        <v>-500000</v>
      </c>
      <c r="F867" s="5">
        <f t="shared" si="642"/>
        <v>-500000</v>
      </c>
      <c r="G867" s="9">
        <f t="shared" si="644"/>
        <v>9.4206911922631864E-3</v>
      </c>
      <c r="H867" s="9">
        <f t="shared" si="644"/>
        <v>4.0304052272290836E-3</v>
      </c>
      <c r="I867" s="5">
        <f t="shared" si="645"/>
        <v>22645298.979987703</v>
      </c>
      <c r="J867" s="5">
        <f t="shared" si="646"/>
        <v>17830548.643530816</v>
      </c>
      <c r="K867" s="8">
        <f t="shared" ref="K867:L867" si="678">I867/I615-1</f>
        <v>0.6967893243585721</v>
      </c>
      <c r="L867" s="8">
        <f t="shared" si="678"/>
        <v>0.30075884855991042</v>
      </c>
      <c r="M867" s="8">
        <f t="shared" si="638"/>
        <v>-0.39603047579866169</v>
      </c>
    </row>
    <row r="868" spans="1:13" x14ac:dyDescent="0.3">
      <c r="A868" s="1">
        <v>45475</v>
      </c>
      <c r="B868" s="5">
        <v>34188517.549652003</v>
      </c>
      <c r="C868" s="5">
        <v>27564531.92422637</v>
      </c>
      <c r="D868" s="5">
        <v>0</v>
      </c>
      <c r="E868" s="5">
        <f t="shared" si="642"/>
        <v>0</v>
      </c>
      <c r="F868" s="5">
        <f t="shared" si="642"/>
        <v>0</v>
      </c>
      <c r="G868" s="9">
        <f t="shared" si="644"/>
        <v>-5.3981325284387927E-3</v>
      </c>
      <c r="H868" s="9">
        <f t="shared" si="644"/>
        <v>6.9231866993644253E-3</v>
      </c>
      <c r="I868" s="5">
        <f t="shared" si="645"/>
        <v>22523056.654947609</v>
      </c>
      <c r="J868" s="5">
        <f t="shared" si="646"/>
        <v>17953992.860742077</v>
      </c>
      <c r="K868" s="8">
        <f t="shared" ref="K868:L868" si="679">I868/I616-1</f>
        <v>0.68082237856276073</v>
      </c>
      <c r="L868" s="8">
        <f t="shared" si="679"/>
        <v>0.3158007336759312</v>
      </c>
      <c r="M868" s="8">
        <f t="shared" si="638"/>
        <v>-0.36502164488682953</v>
      </c>
    </row>
    <row r="869" spans="1:13" x14ac:dyDescent="0.3">
      <c r="A869" s="1">
        <v>45476</v>
      </c>
      <c r="B869" s="5">
        <v>34558679.601624995</v>
      </c>
      <c r="C869" s="5">
        <v>27698845.963407315</v>
      </c>
      <c r="D869" s="5">
        <v>0</v>
      </c>
      <c r="E869" s="5">
        <f t="shared" si="642"/>
        <v>0</v>
      </c>
      <c r="F869" s="5">
        <f t="shared" si="642"/>
        <v>0</v>
      </c>
      <c r="G869" s="9">
        <f t="shared" si="644"/>
        <v>1.0827086943310915E-2</v>
      </c>
      <c r="H869" s="9">
        <f t="shared" si="644"/>
        <v>4.8727124969931701E-3</v>
      </c>
      <c r="I869" s="5">
        <f t="shared" si="645"/>
        <v>22766915.747579843</v>
      </c>
      <c r="J869" s="5">
        <f t="shared" si="646"/>
        <v>18041477.50612554</v>
      </c>
      <c r="K869" s="8">
        <f t="shared" ref="K869:L869" si="680">I869/I617-1</f>
        <v>0.69170463541786709</v>
      </c>
      <c r="L869" s="8">
        <f t="shared" si="680"/>
        <v>0.30755654783898745</v>
      </c>
      <c r="M869" s="8">
        <f t="shared" si="638"/>
        <v>-0.38414808757887964</v>
      </c>
    </row>
    <row r="870" spans="1:13" x14ac:dyDescent="0.3">
      <c r="A870" s="1">
        <v>45477</v>
      </c>
      <c r="B870" s="5">
        <v>34727415.195316762</v>
      </c>
      <c r="C870" s="5">
        <v>27850831.362219855</v>
      </c>
      <c r="D870" s="5">
        <v>0</v>
      </c>
      <c r="E870" s="5">
        <f t="shared" si="642"/>
        <v>0</v>
      </c>
      <c r="F870" s="5">
        <f t="shared" si="642"/>
        <v>0</v>
      </c>
      <c r="G870" s="9">
        <f t="shared" si="644"/>
        <v>4.8825821945996939E-3</v>
      </c>
      <c r="H870" s="9">
        <f t="shared" si="644"/>
        <v>5.4870661042458746E-3</v>
      </c>
      <c r="I870" s="5">
        <f t="shared" si="645"/>
        <v>22878077.085034929</v>
      </c>
      <c r="J870" s="5">
        <f t="shared" si="646"/>
        <v>18140472.285819914</v>
      </c>
      <c r="K870" s="8">
        <f t="shared" ref="K870:L870" si="681">I870/I618-1</f>
        <v>0.68929271747316423</v>
      </c>
      <c r="L870" s="8">
        <f t="shared" si="681"/>
        <v>0.31487475879726734</v>
      </c>
      <c r="M870" s="8">
        <f t="shared" si="638"/>
        <v>-0.37441795867589689</v>
      </c>
    </row>
    <row r="871" spans="1:13" x14ac:dyDescent="0.3">
      <c r="A871" s="1">
        <v>45478</v>
      </c>
      <c r="B871" s="5">
        <v>34964706.649143159</v>
      </c>
      <c r="C871" s="5">
        <v>27850831.362219855</v>
      </c>
      <c r="D871" s="5">
        <v>0</v>
      </c>
      <c r="E871" s="5">
        <f t="shared" si="642"/>
        <v>0</v>
      </c>
      <c r="F871" s="5">
        <f t="shared" si="642"/>
        <v>0</v>
      </c>
      <c r="G871" s="9">
        <f t="shared" si="644"/>
        <v>6.8329719471433847E-3</v>
      </c>
      <c r="H871" s="9">
        <f t="shared" si="644"/>
        <v>0</v>
      </c>
      <c r="I871" s="5">
        <f t="shared" si="645"/>
        <v>23034402.343961556</v>
      </c>
      <c r="J871" s="5">
        <f t="shared" si="646"/>
        <v>18140472.285819914</v>
      </c>
      <c r="K871" s="8">
        <f t="shared" ref="K871:L871" si="682">I871/I619-1</f>
        <v>0.68972887304417241</v>
      </c>
      <c r="L871" s="8">
        <f t="shared" si="682"/>
        <v>0.29200900759920256</v>
      </c>
      <c r="M871" s="8">
        <f t="shared" si="638"/>
        <v>-0.39771986544496984</v>
      </c>
    </row>
    <row r="872" spans="1:13" x14ac:dyDescent="0.3">
      <c r="A872" s="1">
        <v>45481</v>
      </c>
      <c r="B872" s="5">
        <v>35003863.21177879</v>
      </c>
      <c r="C872" s="5">
        <v>27873349.437570591</v>
      </c>
      <c r="D872" s="5">
        <v>0</v>
      </c>
      <c r="E872" s="5">
        <f t="shared" si="642"/>
        <v>0</v>
      </c>
      <c r="F872" s="5">
        <f t="shared" si="642"/>
        <v>0</v>
      </c>
      <c r="G872" s="9">
        <f t="shared" si="644"/>
        <v>1.1198882069438643E-3</v>
      </c>
      <c r="H872" s="9">
        <f t="shared" si="644"/>
        <v>8.0852435095635222E-4</v>
      </c>
      <c r="I872" s="5">
        <f t="shared" si="645"/>
        <v>23060198.299500559</v>
      </c>
      <c r="J872" s="5">
        <f t="shared" si="646"/>
        <v>18155139.299400847</v>
      </c>
      <c r="K872" s="8">
        <f t="shared" ref="K872:L872" si="683">I872/I620-1</f>
        <v>0.68489833374814002</v>
      </c>
      <c r="L872" s="8">
        <f t="shared" si="683"/>
        <v>0.29305143607861051</v>
      </c>
      <c r="M872" s="8">
        <f t="shared" si="638"/>
        <v>-0.39184689766952951</v>
      </c>
    </row>
    <row r="873" spans="1:13" x14ac:dyDescent="0.3">
      <c r="A873" s="1">
        <v>45482</v>
      </c>
      <c r="B873" s="5">
        <v>35172810.190513067</v>
      </c>
      <c r="C873" s="5">
        <v>27901360.805468172</v>
      </c>
      <c r="D873" s="5">
        <v>0</v>
      </c>
      <c r="E873" s="5">
        <f t="shared" si="642"/>
        <v>0</v>
      </c>
      <c r="F873" s="5">
        <f t="shared" si="642"/>
        <v>0</v>
      </c>
      <c r="G873" s="9">
        <f t="shared" si="644"/>
        <v>4.8265237957343388E-3</v>
      </c>
      <c r="H873" s="9">
        <f t="shared" si="644"/>
        <v>1.0049516280890014E-3</v>
      </c>
      <c r="I873" s="5">
        <f t="shared" si="645"/>
        <v>23171498.895327449</v>
      </c>
      <c r="J873" s="5">
        <f t="shared" si="646"/>
        <v>18173384.336197961</v>
      </c>
      <c r="K873" s="8">
        <f t="shared" ref="K873:L873" si="684">I873/I621-1</f>
        <v>0.69947911760781833</v>
      </c>
      <c r="L873" s="8">
        <f t="shared" si="684"/>
        <v>0.29075902710227819</v>
      </c>
      <c r="M873" s="8">
        <f t="shared" si="638"/>
        <v>-0.40872009050554015</v>
      </c>
    </row>
    <row r="874" spans="1:13" x14ac:dyDescent="0.3">
      <c r="A874" s="1">
        <v>45483</v>
      </c>
      <c r="B874" s="5">
        <v>35188972.757969432</v>
      </c>
      <c r="C874" s="5">
        <v>28199667.667023242</v>
      </c>
      <c r="D874" s="5">
        <v>0</v>
      </c>
      <c r="E874" s="5">
        <f t="shared" si="642"/>
        <v>0</v>
      </c>
      <c r="F874" s="5">
        <f t="shared" si="642"/>
        <v>0</v>
      </c>
      <c r="G874" s="9">
        <f t="shared" si="644"/>
        <v>4.5951879786754191E-4</v>
      </c>
      <c r="H874" s="9">
        <f t="shared" si="644"/>
        <v>1.0691480735828707E-2</v>
      </c>
      <c r="I874" s="5">
        <f t="shared" si="645"/>
        <v>23182146.63464462</v>
      </c>
      <c r="J874" s="5">
        <f t="shared" si="646"/>
        <v>18367684.724733233</v>
      </c>
      <c r="K874" s="8">
        <f t="shared" ref="K874:L874" si="685">I874/I622-1</f>
        <v>0.68677556257767658</v>
      </c>
      <c r="L874" s="8">
        <f t="shared" si="685"/>
        <v>0.30455915237513942</v>
      </c>
      <c r="M874" s="8">
        <f t="shared" si="638"/>
        <v>-0.38221641020253716</v>
      </c>
    </row>
    <row r="875" spans="1:13" x14ac:dyDescent="0.3">
      <c r="A875" s="1">
        <v>45484</v>
      </c>
      <c r="B875" s="5">
        <v>35265970.598531753</v>
      </c>
      <c r="C875" s="5">
        <v>27977041.345386013</v>
      </c>
      <c r="D875" s="5">
        <v>0</v>
      </c>
      <c r="E875" s="5">
        <f t="shared" si="642"/>
        <v>0</v>
      </c>
      <c r="F875" s="5">
        <f t="shared" si="642"/>
        <v>0</v>
      </c>
      <c r="G875" s="9">
        <f t="shared" si="644"/>
        <v>2.1881241345667046E-3</v>
      </c>
      <c r="H875" s="9">
        <f t="shared" si="644"/>
        <v>-7.894643449914418E-3</v>
      </c>
      <c r="I875" s="5">
        <f t="shared" si="645"/>
        <v>23232872.049186949</v>
      </c>
      <c r="J875" s="5">
        <f t="shared" si="646"/>
        <v>18222678.402831025</v>
      </c>
      <c r="K875" s="8">
        <f t="shared" ref="K875:L875" si="686">I875/I623-1</f>
        <v>0.68040615727003217</v>
      </c>
      <c r="L875" s="8">
        <f t="shared" si="686"/>
        <v>0.30212332403854369</v>
      </c>
      <c r="M875" s="8">
        <f t="shared" si="638"/>
        <v>-0.37828283323148848</v>
      </c>
    </row>
    <row r="876" spans="1:13" x14ac:dyDescent="0.3">
      <c r="A876" s="1">
        <v>45485</v>
      </c>
      <c r="B876" s="5">
        <v>35112474.85980922</v>
      </c>
      <c r="C876" s="5">
        <v>28101109.903469998</v>
      </c>
      <c r="D876" s="5">
        <v>0</v>
      </c>
      <c r="E876" s="5">
        <f t="shared" si="642"/>
        <v>0</v>
      </c>
      <c r="F876" s="5">
        <f t="shared" si="642"/>
        <v>0</v>
      </c>
      <c r="G876" s="9">
        <f t="shared" si="644"/>
        <v>-4.3525170615585917E-3</v>
      </c>
      <c r="H876" s="9">
        <f t="shared" si="644"/>
        <v>4.4346561365198323E-3</v>
      </c>
      <c r="I876" s="5">
        <f t="shared" si="645"/>
        <v>23131750.577203855</v>
      </c>
      <c r="J876" s="5">
        <f t="shared" si="646"/>
        <v>18303489.715433966</v>
      </c>
      <c r="K876" s="8">
        <f t="shared" ref="K876:L876" si="687">I876/I624-1</f>
        <v>0.68678825403365318</v>
      </c>
      <c r="L876" s="8">
        <f t="shared" si="687"/>
        <v>0.30748133582494508</v>
      </c>
      <c r="M876" s="8">
        <f t="shared" si="638"/>
        <v>-0.3793069182087081</v>
      </c>
    </row>
    <row r="877" spans="1:13" x14ac:dyDescent="0.3">
      <c r="A877" s="1">
        <v>45488</v>
      </c>
      <c r="B877" s="5">
        <v>35414986.987544045</v>
      </c>
      <c r="C877" s="5">
        <v>28207002.865424793</v>
      </c>
      <c r="D877" s="5">
        <v>0</v>
      </c>
      <c r="E877" s="5">
        <f t="shared" si="642"/>
        <v>0</v>
      </c>
      <c r="F877" s="5">
        <f t="shared" si="642"/>
        <v>0</v>
      </c>
      <c r="G877" s="9">
        <f t="shared" si="644"/>
        <v>8.6155171044661749E-3</v>
      </c>
      <c r="H877" s="9">
        <f t="shared" si="644"/>
        <v>3.768283968802244E-3</v>
      </c>
      <c r="I877" s="5">
        <f t="shared" si="645"/>
        <v>23331042.569958001</v>
      </c>
      <c r="J877" s="5">
        <f t="shared" si="646"/>
        <v>18372462.462301772</v>
      </c>
      <c r="K877" s="8">
        <f t="shared" ref="K877:L877" si="688">I877/I625-1</f>
        <v>0.71024288961202831</v>
      </c>
      <c r="L877" s="8">
        <f t="shared" si="688"/>
        <v>0.31194606675813685</v>
      </c>
      <c r="M877" s="8">
        <f t="shared" si="638"/>
        <v>-0.39829682285389145</v>
      </c>
    </row>
    <row r="878" spans="1:13" x14ac:dyDescent="0.3">
      <c r="A878" s="1">
        <v>45489</v>
      </c>
      <c r="B878" s="5">
        <v>35202779.892095014</v>
      </c>
      <c r="C878" s="5">
        <v>28404215.667583123</v>
      </c>
      <c r="D878" s="5">
        <v>0</v>
      </c>
      <c r="E878" s="5">
        <f t="shared" si="642"/>
        <v>0</v>
      </c>
      <c r="F878" s="5">
        <f t="shared" si="642"/>
        <v>0</v>
      </c>
      <c r="G878" s="9">
        <f t="shared" si="644"/>
        <v>-5.9920139325101429E-3</v>
      </c>
      <c r="H878" s="9">
        <f t="shared" si="644"/>
        <v>6.9916255583490905E-3</v>
      </c>
      <c r="I878" s="5">
        <f t="shared" si="645"/>
        <v>23191242.637818824</v>
      </c>
      <c r="J878" s="5">
        <f t="shared" si="646"/>
        <v>18500915.84042301</v>
      </c>
      <c r="K878" s="8">
        <f t="shared" ref="K878:L878" si="689">I878/I626-1</f>
        <v>0.68723821935853091</v>
      </c>
      <c r="L878" s="8">
        <f t="shared" si="689"/>
        <v>0.31511578779589366</v>
      </c>
      <c r="M878" s="8">
        <f t="shared" si="638"/>
        <v>-0.37212243156263725</v>
      </c>
    </row>
    <row r="879" spans="1:13" x14ac:dyDescent="0.3">
      <c r="A879" s="1">
        <v>45491</v>
      </c>
      <c r="B879" s="5">
        <v>34817421.604288533</v>
      </c>
      <c r="C879" s="5">
        <v>27783517.850702744</v>
      </c>
      <c r="D879" s="5">
        <v>0</v>
      </c>
      <c r="E879" s="5">
        <f t="shared" si="642"/>
        <v>0</v>
      </c>
      <c r="F879" s="5">
        <f t="shared" si="642"/>
        <v>0</v>
      </c>
      <c r="G879" s="9">
        <f t="shared" si="644"/>
        <v>-1.0946814114899395E-2</v>
      </c>
      <c r="H879" s="9">
        <f t="shared" si="644"/>
        <v>-2.1852313196902062E-2</v>
      </c>
      <c r="I879" s="5">
        <f t="shared" si="645"/>
        <v>22937372.415569093</v>
      </c>
      <c r="J879" s="5">
        <f t="shared" si="646"/>
        <v>18096628.033048559</v>
      </c>
      <c r="K879" s="8">
        <f t="shared" ref="K879:L879" si="690">I879/I627-1</f>
        <v>0.66453781539564916</v>
      </c>
      <c r="L879" s="8">
        <f t="shared" si="690"/>
        <v>0.28248754608323634</v>
      </c>
      <c r="M879" s="8">
        <f t="shared" si="638"/>
        <v>-0.38205026931241282</v>
      </c>
    </row>
    <row r="880" spans="1:13" x14ac:dyDescent="0.3">
      <c r="A880" s="1">
        <v>45492</v>
      </c>
      <c r="B880" s="5">
        <v>33985342.97062242</v>
      </c>
      <c r="C880" s="5">
        <v>27626437.877140637</v>
      </c>
      <c r="D880" s="5">
        <v>0</v>
      </c>
      <c r="E880" s="5">
        <f t="shared" si="642"/>
        <v>0</v>
      </c>
      <c r="F880" s="5">
        <f t="shared" si="642"/>
        <v>0</v>
      </c>
      <c r="G880" s="9">
        <f t="shared" si="644"/>
        <v>-2.3898341557940794E-2</v>
      </c>
      <c r="H880" s="9">
        <f t="shared" si="644"/>
        <v>-5.6537107506036133E-3</v>
      </c>
      <c r="I880" s="5">
        <f t="shared" si="645"/>
        <v>22389207.255140133</v>
      </c>
      <c r="J880" s="5">
        <f t="shared" si="646"/>
        <v>17994314.932588439</v>
      </c>
      <c r="K880" s="8">
        <f t="shared" ref="K880:L880" si="691">I880/I628-1</f>
        <v>0.63529910551610214</v>
      </c>
      <c r="L880" s="8">
        <f t="shared" si="691"/>
        <v>0.26423956450891817</v>
      </c>
      <c r="M880" s="8">
        <f t="shared" si="638"/>
        <v>-0.37105954100718397</v>
      </c>
    </row>
    <row r="881" spans="1:13" x14ac:dyDescent="0.3">
      <c r="A881" s="1">
        <v>45495</v>
      </c>
      <c r="B881" s="5">
        <v>34420198.911556639</v>
      </c>
      <c r="C881" s="5">
        <v>27909074.9369107</v>
      </c>
      <c r="D881" s="5">
        <v>0</v>
      </c>
      <c r="E881" s="5">
        <f t="shared" si="642"/>
        <v>0</v>
      </c>
      <c r="F881" s="5">
        <f t="shared" si="642"/>
        <v>0</v>
      </c>
      <c r="G881" s="9">
        <f t="shared" si="644"/>
        <v>1.2795396571696038E-2</v>
      </c>
      <c r="H881" s="9">
        <f t="shared" si="644"/>
        <v>1.023067327850935E-2</v>
      </c>
      <c r="I881" s="5">
        <f t="shared" si="645"/>
        <v>22675686.040895544</v>
      </c>
      <c r="J881" s="5">
        <f t="shared" si="646"/>
        <v>18178408.889534354</v>
      </c>
      <c r="K881" s="8">
        <f t="shared" ref="K881:L881" si="692">I881/I629-1</f>
        <v>0.64370030576629955</v>
      </c>
      <c r="L881" s="8">
        <f t="shared" si="692"/>
        <v>0.27657379262405923</v>
      </c>
      <c r="M881" s="8">
        <f t="shared" si="638"/>
        <v>-0.36712651314224032</v>
      </c>
    </row>
    <row r="882" spans="1:13" x14ac:dyDescent="0.3">
      <c r="A882" s="1">
        <v>45496</v>
      </c>
      <c r="B882" s="5">
        <v>34119495.30029659</v>
      </c>
      <c r="C882" s="5">
        <v>27875578.794903014</v>
      </c>
      <c r="D882" s="5">
        <v>0</v>
      </c>
      <c r="E882" s="5">
        <f t="shared" si="642"/>
        <v>0</v>
      </c>
      <c r="F882" s="5">
        <f t="shared" si="642"/>
        <v>0</v>
      </c>
      <c r="G882" s="9">
        <f t="shared" si="644"/>
        <v>-8.7362543148781224E-3</v>
      </c>
      <c r="H882" s="9">
        <f t="shared" si="644"/>
        <v>-1.2001881855061569E-3</v>
      </c>
      <c r="I882" s="5">
        <f t="shared" si="645"/>
        <v>22477585.480877947</v>
      </c>
      <c r="J882" s="5">
        <f t="shared" si="646"/>
        <v>18156591.377953835</v>
      </c>
      <c r="K882" s="8">
        <f t="shared" ref="K882:L882" si="693">I882/I630-1</f>
        <v>0.62467322898176714</v>
      </c>
      <c r="L882" s="8">
        <f t="shared" si="693"/>
        <v>0.27215693628654924</v>
      </c>
      <c r="M882" s="8">
        <f t="shared" si="638"/>
        <v>-0.35251629269521789</v>
      </c>
    </row>
    <row r="883" spans="1:13" x14ac:dyDescent="0.3">
      <c r="A883" s="1">
        <v>45497</v>
      </c>
      <c r="B883" s="5">
        <v>34224503.336650029</v>
      </c>
      <c r="C883" s="5">
        <v>27243674.837091565</v>
      </c>
      <c r="D883" s="5">
        <v>0</v>
      </c>
      <c r="E883" s="5">
        <f t="shared" si="642"/>
        <v>0</v>
      </c>
      <c r="F883" s="5">
        <f t="shared" si="642"/>
        <v>0</v>
      </c>
      <c r="G883" s="9">
        <f t="shared" si="644"/>
        <v>3.077655030627735E-3</v>
      </c>
      <c r="H883" s="9">
        <f t="shared" si="644"/>
        <v>-2.2668729588028902E-2</v>
      </c>
      <c r="I883" s="5">
        <f t="shared" si="645"/>
        <v>22546763.734909534</v>
      </c>
      <c r="J883" s="5">
        <f t="shared" si="646"/>
        <v>17745004.517766662</v>
      </c>
      <c r="K883" s="8">
        <f t="shared" ref="K883:L883" si="694">I883/I631-1</f>
        <v>0.63666463743178014</v>
      </c>
      <c r="L883" s="8">
        <f t="shared" si="694"/>
        <v>0.23453441606944869</v>
      </c>
      <c r="M883" s="8">
        <f t="shared" si="638"/>
        <v>-0.40213022136233145</v>
      </c>
    </row>
    <row r="884" spans="1:13" x14ac:dyDescent="0.3">
      <c r="A884" s="1">
        <v>45498</v>
      </c>
      <c r="B884" s="5">
        <v>34398657.76912985</v>
      </c>
      <c r="C884" s="5">
        <v>27097350.901254501</v>
      </c>
      <c r="D884" s="5">
        <v>0</v>
      </c>
      <c r="E884" s="5">
        <f t="shared" si="642"/>
        <v>0</v>
      </c>
      <c r="F884" s="5">
        <f t="shared" si="642"/>
        <v>0</v>
      </c>
      <c r="G884" s="9">
        <f t="shared" si="644"/>
        <v>5.0885890371219489E-3</v>
      </c>
      <c r="H884" s="9">
        <f t="shared" si="644"/>
        <v>-5.3709323985120516E-3</v>
      </c>
      <c r="I884" s="5">
        <f t="shared" si="645"/>
        <v>22661494.949673574</v>
      </c>
      <c r="J884" s="5">
        <f t="shared" si="646"/>
        <v>17649697.298090447</v>
      </c>
      <c r="K884" s="8">
        <f t="shared" ref="K884:L884" si="695">I884/I632-1</f>
        <v>0.63633320862361531</v>
      </c>
      <c r="L884" s="8">
        <f t="shared" si="695"/>
        <v>0.22409807467953757</v>
      </c>
      <c r="M884" s="8">
        <f t="shared" si="638"/>
        <v>-0.41223513394407774</v>
      </c>
    </row>
    <row r="885" spans="1:13" x14ac:dyDescent="0.3">
      <c r="A885" s="1">
        <v>45499</v>
      </c>
      <c r="B885" s="5">
        <v>34972615.13398739</v>
      </c>
      <c r="C885" s="5">
        <v>27399729.025996704</v>
      </c>
      <c r="D885" s="5">
        <v>0</v>
      </c>
      <c r="E885" s="5">
        <f t="shared" si="642"/>
        <v>0</v>
      </c>
      <c r="F885" s="5">
        <f t="shared" si="642"/>
        <v>0</v>
      </c>
      <c r="G885" s="9">
        <f t="shared" si="644"/>
        <v>1.6685458156818544E-2</v>
      </c>
      <c r="H885" s="9">
        <f t="shared" si="644"/>
        <v>1.1158955199868092E-2</v>
      </c>
      <c r="I885" s="5">
        <f t="shared" si="645"/>
        <v>23039612.375427309</v>
      </c>
      <c r="J885" s="5">
        <f t="shared" si="646"/>
        <v>17846649.479531072</v>
      </c>
      <c r="K885" s="8">
        <f t="shared" ref="K885:L885" si="696">I885/I633-1</f>
        <v>0.66602224370121377</v>
      </c>
      <c r="L885" s="8">
        <f t="shared" si="696"/>
        <v>0.2475765305611759</v>
      </c>
      <c r="M885" s="8">
        <f t="shared" si="638"/>
        <v>-0.41844571314003787</v>
      </c>
    </row>
    <row r="886" spans="1:13" x14ac:dyDescent="0.3">
      <c r="A886" s="1">
        <v>45502</v>
      </c>
      <c r="B886" s="5">
        <v>35397005.837658502</v>
      </c>
      <c r="C886" s="5">
        <v>27438742.092343498</v>
      </c>
      <c r="D886" s="5">
        <v>0</v>
      </c>
      <c r="E886" s="5">
        <f t="shared" si="642"/>
        <v>0</v>
      </c>
      <c r="F886" s="5">
        <f t="shared" si="642"/>
        <v>0</v>
      </c>
      <c r="G886" s="9">
        <f t="shared" si="644"/>
        <v>1.2134943356256978E-2</v>
      </c>
      <c r="H886" s="9">
        <f t="shared" si="644"/>
        <v>1.4238486194435573E-3</v>
      </c>
      <c r="I886" s="5">
        <f t="shared" si="645"/>
        <v>23319196.766553238</v>
      </c>
      <c r="J886" s="5">
        <f t="shared" si="646"/>
        <v>17872060.406754196</v>
      </c>
      <c r="K886" s="8">
        <f t="shared" ref="K886:L886" si="697">I886/I634-1</f>
        <v>0.69232399315404169</v>
      </c>
      <c r="L886" s="8">
        <f t="shared" si="697"/>
        <v>0.24894802202875743</v>
      </c>
      <c r="M886" s="8">
        <f t="shared" si="638"/>
        <v>-0.44337597112528426</v>
      </c>
    </row>
    <row r="887" spans="1:13" x14ac:dyDescent="0.3">
      <c r="A887" s="1">
        <v>45503</v>
      </c>
      <c r="B887" s="5">
        <v>35362476.258731067</v>
      </c>
      <c r="C887" s="5">
        <v>27286478.058212943</v>
      </c>
      <c r="D887" s="5">
        <v>0</v>
      </c>
      <c r="E887" s="5">
        <f t="shared" si="642"/>
        <v>0</v>
      </c>
      <c r="F887" s="5">
        <f t="shared" si="642"/>
        <v>0</v>
      </c>
      <c r="G887" s="9">
        <f t="shared" si="644"/>
        <v>-9.7549434225585596E-4</v>
      </c>
      <c r="H887" s="9">
        <f t="shared" si="644"/>
        <v>-5.5492352243451393E-3</v>
      </c>
      <c r="I887" s="5">
        <f t="shared" si="645"/>
        <v>23296449.022041515</v>
      </c>
      <c r="J887" s="5">
        <f t="shared" si="646"/>
        <v>17772884.139613412</v>
      </c>
      <c r="K887" s="8">
        <f t="shared" ref="K887:L887" si="698">I887/I635-1</f>
        <v>0.69097776763759233</v>
      </c>
      <c r="L887" s="8">
        <f t="shared" si="698"/>
        <v>0.23972818468048596</v>
      </c>
      <c r="M887" s="8">
        <f t="shared" si="638"/>
        <v>-0.45124958295710638</v>
      </c>
    </row>
    <row r="888" spans="1:13" x14ac:dyDescent="0.3">
      <c r="A888" s="1">
        <v>45504</v>
      </c>
      <c r="B888" s="5">
        <v>35640971.019255452</v>
      </c>
      <c r="C888" s="5">
        <v>27729476.3384213</v>
      </c>
      <c r="D888" s="5">
        <v>0</v>
      </c>
      <c r="E888" s="5">
        <f t="shared" si="642"/>
        <v>0</v>
      </c>
      <c r="F888" s="5">
        <f t="shared" si="642"/>
        <v>0</v>
      </c>
      <c r="G888" s="9">
        <f t="shared" si="644"/>
        <v>7.8754315304947475E-3</v>
      </c>
      <c r="H888" s="9">
        <f t="shared" si="644"/>
        <v>1.6235084618222428E-2</v>
      </c>
      <c r="I888" s="5">
        <f t="shared" si="645"/>
        <v>23479918.611218262</v>
      </c>
      <c r="J888" s="5">
        <f t="shared" si="646"/>
        <v>18061428.4175299</v>
      </c>
      <c r="K888" s="8">
        <f t="shared" ref="K888:L888" si="699">I888/I636-1</f>
        <v>0.69540151181424359</v>
      </c>
      <c r="L888" s="8">
        <f t="shared" si="699"/>
        <v>0.25537641344398221</v>
      </c>
      <c r="M888" s="8">
        <f t="shared" si="638"/>
        <v>-0.44002509837026138</v>
      </c>
    </row>
    <row r="889" spans="1:13" x14ac:dyDescent="0.3">
      <c r="A889" s="1">
        <v>45505</v>
      </c>
      <c r="B889" s="5">
        <v>35405813.547762923</v>
      </c>
      <c r="C889" s="5">
        <v>27341079.589013245</v>
      </c>
      <c r="D889" s="5">
        <v>0</v>
      </c>
      <c r="E889" s="5">
        <f t="shared" si="642"/>
        <v>0</v>
      </c>
      <c r="F889" s="5">
        <f t="shared" si="642"/>
        <v>0</v>
      </c>
      <c r="G889" s="9">
        <f t="shared" si="644"/>
        <v>-6.5979535564696379E-3</v>
      </c>
      <c r="H889" s="9">
        <f t="shared" si="644"/>
        <v>-1.400663844740202E-2</v>
      </c>
      <c r="I889" s="5">
        <f t="shared" si="645"/>
        <v>23324999.198711757</v>
      </c>
      <c r="J889" s="5">
        <f t="shared" si="646"/>
        <v>17808448.519841924</v>
      </c>
      <c r="K889" s="8">
        <f t="shared" ref="K889:L889" si="700">I889/I637-1</f>
        <v>0.67814165276186844</v>
      </c>
      <c r="L889" s="8">
        <f t="shared" si="700"/>
        <v>0.23615493185312486</v>
      </c>
      <c r="M889" s="8">
        <f t="shared" si="638"/>
        <v>-0.44198672090874358</v>
      </c>
    </row>
    <row r="890" spans="1:13" x14ac:dyDescent="0.3">
      <c r="A890" s="1">
        <v>45506</v>
      </c>
      <c r="B890" s="5">
        <v>34955724.462495737</v>
      </c>
      <c r="C890" s="5">
        <v>26867715.280118253</v>
      </c>
      <c r="D890" s="5">
        <v>0</v>
      </c>
      <c r="E890" s="5">
        <f t="shared" si="642"/>
        <v>0</v>
      </c>
      <c r="F890" s="5">
        <f t="shared" si="642"/>
        <v>0</v>
      </c>
      <c r="G890" s="9">
        <f t="shared" si="644"/>
        <v>-1.2712293269578789E-2</v>
      </c>
      <c r="H890" s="9">
        <f t="shared" si="644"/>
        <v>-1.731329984077179E-2</v>
      </c>
      <c r="I890" s="5">
        <f t="shared" si="645"/>
        <v>23028484.968385041</v>
      </c>
      <c r="J890" s="5">
        <f t="shared" si="646"/>
        <v>17500125.510918953</v>
      </c>
      <c r="K890" s="8">
        <f t="shared" ref="K890:L890" si="701">I890/I638-1</f>
        <v>0.65183394210783852</v>
      </c>
      <c r="L890" s="8">
        <f t="shared" si="701"/>
        <v>0.22014136764791625</v>
      </c>
      <c r="M890" s="8">
        <f t="shared" si="638"/>
        <v>-0.43169257445992226</v>
      </c>
    </row>
    <row r="891" spans="1:13" x14ac:dyDescent="0.3">
      <c r="A891" s="1">
        <v>45509</v>
      </c>
      <c r="B891" s="5">
        <v>33817342.19160223</v>
      </c>
      <c r="C891" s="5">
        <v>26076095.854331374</v>
      </c>
      <c r="D891" s="5">
        <v>0</v>
      </c>
      <c r="E891" s="5">
        <f t="shared" si="642"/>
        <v>0</v>
      </c>
      <c r="F891" s="5">
        <f t="shared" si="642"/>
        <v>0</v>
      </c>
      <c r="G891" s="9">
        <f t="shared" si="644"/>
        <v>-3.2566404741943944E-2</v>
      </c>
      <c r="H891" s="9">
        <f t="shared" si="644"/>
        <v>-2.9463592923089643E-2</v>
      </c>
      <c r="I891" s="5">
        <f t="shared" si="645"/>
        <v>22278530.006310843</v>
      </c>
      <c r="J891" s="5">
        <f t="shared" si="646"/>
        <v>16984508.936762262</v>
      </c>
      <c r="K891" s="8">
        <f t="shared" ref="K891:L891" si="702">I891/I639-1</f>
        <v>0.58100983424284469</v>
      </c>
      <c r="L891" s="8">
        <f t="shared" si="702"/>
        <v>0.17149933016247987</v>
      </c>
      <c r="M891" s="8">
        <f t="shared" si="638"/>
        <v>-0.40951050408036482</v>
      </c>
    </row>
    <row r="892" spans="1:13" x14ac:dyDescent="0.3">
      <c r="A892" s="1">
        <v>45510</v>
      </c>
      <c r="B892" s="5">
        <v>33505337.868863452</v>
      </c>
      <c r="C892" s="5">
        <v>26371583.113324128</v>
      </c>
      <c r="D892" s="5">
        <v>0</v>
      </c>
      <c r="E892" s="5">
        <f t="shared" si="642"/>
        <v>0</v>
      </c>
      <c r="F892" s="5">
        <f t="shared" si="642"/>
        <v>0</v>
      </c>
      <c r="G892" s="9">
        <f t="shared" si="644"/>
        <v>-9.2261633386510056E-3</v>
      </c>
      <c r="H892" s="9">
        <f t="shared" si="644"/>
        <v>1.1331729283533543E-2</v>
      </c>
      <c r="I892" s="5">
        <f t="shared" si="645"/>
        <v>22072984.649527583</v>
      </c>
      <c r="J892" s="5">
        <f t="shared" si="646"/>
        <v>17176972.794047408</v>
      </c>
      <c r="K892" s="8">
        <f t="shared" ref="K892:L892" si="703">I892/I640-1</f>
        <v>0.56225169707238631</v>
      </c>
      <c r="L892" s="8">
        <f t="shared" si="703"/>
        <v>0.18271441218384243</v>
      </c>
      <c r="M892" s="8">
        <f t="shared" si="638"/>
        <v>-0.37953728488854388</v>
      </c>
    </row>
    <row r="893" spans="1:13" x14ac:dyDescent="0.3">
      <c r="A893" s="1">
        <v>45511</v>
      </c>
      <c r="B893" s="5">
        <v>34515432.906182788</v>
      </c>
      <c r="C893" s="5">
        <v>26184086.000454925</v>
      </c>
      <c r="D893" s="5">
        <v>0</v>
      </c>
      <c r="E893" s="5">
        <f t="shared" si="642"/>
        <v>0</v>
      </c>
      <c r="F893" s="5">
        <f t="shared" si="642"/>
        <v>0</v>
      </c>
      <c r="G893" s="9">
        <f t="shared" si="644"/>
        <v>3.014728701655689E-2</v>
      </c>
      <c r="H893" s="9">
        <f t="shared" si="644"/>
        <v>-7.1098163528329206E-3</v>
      </c>
      <c r="I893" s="5">
        <f t="shared" si="645"/>
        <v>22738425.253068946</v>
      </c>
      <c r="J893" s="5">
        <f t="shared" si="646"/>
        <v>17054847.671984125</v>
      </c>
      <c r="K893" s="8">
        <f t="shared" ref="K893:L893" si="704">I893/I641-1</f>
        <v>0.61012772351615596</v>
      </c>
      <c r="L893" s="8">
        <f t="shared" si="704"/>
        <v>0.17727214434819705</v>
      </c>
      <c r="M893" s="8">
        <f t="shared" si="638"/>
        <v>-0.43285557916795891</v>
      </c>
    </row>
    <row r="894" spans="1:13" x14ac:dyDescent="0.3">
      <c r="A894" s="1">
        <v>45512</v>
      </c>
      <c r="B894" s="5">
        <v>34241145.714599714</v>
      </c>
      <c r="C894" s="5">
        <v>26784438.767719179</v>
      </c>
      <c r="D894" s="5">
        <v>0</v>
      </c>
      <c r="E894" s="5">
        <f t="shared" si="642"/>
        <v>0</v>
      </c>
      <c r="F894" s="5">
        <f t="shared" si="642"/>
        <v>0</v>
      </c>
      <c r="G894" s="9">
        <f t="shared" si="644"/>
        <v>-7.9467985329525481E-3</v>
      </c>
      <c r="H894" s="9">
        <f t="shared" si="644"/>
        <v>2.2928154423790925E-2</v>
      </c>
      <c r="I894" s="5">
        <f t="shared" si="645"/>
        <v>22557727.568626206</v>
      </c>
      <c r="J894" s="5">
        <f t="shared" si="646"/>
        <v>17445883.853081606</v>
      </c>
      <c r="K894" s="8">
        <f t="shared" ref="K894:L894" si="705">I894/I642-1</f>
        <v>0.61942198032453333</v>
      </c>
      <c r="L894" s="8">
        <f t="shared" si="705"/>
        <v>0.21627135529596098</v>
      </c>
      <c r="M894" s="8">
        <f t="shared" si="638"/>
        <v>-0.40315062502857235</v>
      </c>
    </row>
    <row r="895" spans="1:13" x14ac:dyDescent="0.3">
      <c r="A895" s="1">
        <v>45513</v>
      </c>
      <c r="B895" s="5">
        <v>34673891.160427012</v>
      </c>
      <c r="C895" s="5">
        <v>26903220.399256159</v>
      </c>
      <c r="D895" s="5">
        <v>0</v>
      </c>
      <c r="E895" s="5">
        <f t="shared" si="642"/>
        <v>0</v>
      </c>
      <c r="F895" s="5">
        <f t="shared" si="642"/>
        <v>0</v>
      </c>
      <c r="G895" s="9">
        <f t="shared" si="644"/>
        <v>1.2638170738626497E-2</v>
      </c>
      <c r="H895" s="9">
        <f t="shared" si="644"/>
        <v>4.4347254227381505E-3</v>
      </c>
      <c r="I895" s="5">
        <f t="shared" si="645"/>
        <v>22842815.981113926</v>
      </c>
      <c r="J895" s="5">
        <f t="shared" si="646"/>
        <v>17523251.557727005</v>
      </c>
      <c r="K895" s="8">
        <f t="shared" ref="K895:L895" si="706">I895/I643-1</f>
        <v>0.64842800512808574</v>
      </c>
      <c r="L895" s="8">
        <f t="shared" si="706"/>
        <v>0.22235972925202541</v>
      </c>
      <c r="M895" s="8">
        <f t="shared" ref="M895:M958" si="707">L895-K895</f>
        <v>-0.42606827587606033</v>
      </c>
    </row>
    <row r="896" spans="1:13" x14ac:dyDescent="0.3">
      <c r="A896" s="1">
        <v>45516</v>
      </c>
      <c r="B896" s="5">
        <v>34538192.029092595</v>
      </c>
      <c r="C896" s="5">
        <v>26908016.828719679</v>
      </c>
      <c r="D896" s="5">
        <v>0</v>
      </c>
      <c r="E896" s="5">
        <f t="shared" si="642"/>
        <v>0</v>
      </c>
      <c r="F896" s="5">
        <f t="shared" si="642"/>
        <v>0</v>
      </c>
      <c r="G896" s="9">
        <f t="shared" si="644"/>
        <v>-3.913582433150431E-3</v>
      </c>
      <c r="H896" s="9">
        <f t="shared" si="644"/>
        <v>1.7828458423707616E-4</v>
      </c>
      <c r="I896" s="5">
        <f t="shared" si="645"/>
        <v>22753418.737766549</v>
      </c>
      <c r="J896" s="5">
        <f t="shared" si="646"/>
        <v>17526375.683345456</v>
      </c>
      <c r="K896" s="8">
        <f t="shared" ref="K896:L896" si="708">I896/I644-1</f>
        <v>0.62902331402288447</v>
      </c>
      <c r="L896" s="8">
        <f t="shared" si="708"/>
        <v>0.22766508718254652</v>
      </c>
      <c r="M896" s="8">
        <f t="shared" si="707"/>
        <v>-0.40135822684033795</v>
      </c>
    </row>
    <row r="897" spans="1:13" x14ac:dyDescent="0.3">
      <c r="A897" s="1">
        <v>45517</v>
      </c>
      <c r="B897" s="5">
        <v>34145076.24575796</v>
      </c>
      <c r="C897" s="5">
        <v>27377936.941287216</v>
      </c>
      <c r="D897" s="5">
        <v>0</v>
      </c>
      <c r="E897" s="5">
        <f t="shared" si="642"/>
        <v>0</v>
      </c>
      <c r="F897" s="5">
        <f t="shared" si="642"/>
        <v>0</v>
      </c>
      <c r="G897" s="9">
        <f t="shared" si="644"/>
        <v>-1.138206027123545E-2</v>
      </c>
      <c r="H897" s="9">
        <f t="shared" si="644"/>
        <v>1.7463944502442041E-2</v>
      </c>
      <c r="I897" s="5">
        <f t="shared" si="645"/>
        <v>22494437.954316631</v>
      </c>
      <c r="J897" s="5">
        <f t="shared" si="646"/>
        <v>17832455.335608352</v>
      </c>
      <c r="K897" s="8">
        <f t="shared" ref="K897:L897" si="709">I897/I645-1</f>
        <v>0.60784428041167349</v>
      </c>
      <c r="L897" s="8">
        <f t="shared" si="709"/>
        <v>0.23909991900002292</v>
      </c>
      <c r="M897" s="8">
        <f t="shared" si="707"/>
        <v>-0.36874436141165057</v>
      </c>
    </row>
    <row r="898" spans="1:13" x14ac:dyDescent="0.3">
      <c r="A898" s="1">
        <v>45518</v>
      </c>
      <c r="B898" s="5">
        <v>34168472.879113421</v>
      </c>
      <c r="C898" s="5">
        <v>27463816.248294059</v>
      </c>
      <c r="D898" s="5">
        <v>0</v>
      </c>
      <c r="E898" s="5">
        <f t="shared" si="642"/>
        <v>0</v>
      </c>
      <c r="F898" s="5">
        <f t="shared" si="642"/>
        <v>0</v>
      </c>
      <c r="G898" s="9">
        <f t="shared" si="644"/>
        <v>6.8521250873954109E-4</v>
      </c>
      <c r="H898" s="9">
        <f t="shared" si="644"/>
        <v>3.1368071009518772E-3</v>
      </c>
      <c r="I898" s="5">
        <f t="shared" si="645"/>
        <v>22509851.424579993</v>
      </c>
      <c r="J898" s="5">
        <f t="shared" si="646"/>
        <v>17888392.308132496</v>
      </c>
      <c r="K898" s="8">
        <f t="shared" ref="K898:L898" si="710">I898/I646-1</f>
        <v>0.60893277666083612</v>
      </c>
      <c r="L898" s="8">
        <f t="shared" si="710"/>
        <v>0.24673543509777152</v>
      </c>
      <c r="M898" s="8">
        <f t="shared" si="707"/>
        <v>-0.3621973415630646</v>
      </c>
    </row>
    <row r="899" spans="1:13" x14ac:dyDescent="0.3">
      <c r="A899" s="1">
        <v>45520</v>
      </c>
      <c r="B899" s="5">
        <v>34791820.526918389</v>
      </c>
      <c r="C899" s="5">
        <v>27987782.819332115</v>
      </c>
      <c r="D899" s="5">
        <v>0</v>
      </c>
      <c r="E899" s="5">
        <f t="shared" ref="E899:F962" si="711">$D899*-1</f>
        <v>0</v>
      </c>
      <c r="F899" s="5">
        <f t="shared" si="711"/>
        <v>0</v>
      </c>
      <c r="G899" s="9">
        <f t="shared" si="644"/>
        <v>1.8243356968581592E-2</v>
      </c>
      <c r="H899" s="9">
        <f t="shared" si="644"/>
        <v>1.9078432738589335E-2</v>
      </c>
      <c r="I899" s="5">
        <f t="shared" si="645"/>
        <v>22920506.679428339</v>
      </c>
      <c r="J899" s="5">
        <f t="shared" si="646"/>
        <v>18229674.797584701</v>
      </c>
      <c r="K899" s="8">
        <f t="shared" ref="K899:L899" si="712">I899/I647-1</f>
        <v>0.63430011278691056</v>
      </c>
      <c r="L899" s="8">
        <f t="shared" si="712"/>
        <v>0.27957046645436612</v>
      </c>
      <c r="M899" s="8">
        <f t="shared" si="707"/>
        <v>-0.35472964633254445</v>
      </c>
    </row>
    <row r="900" spans="1:13" x14ac:dyDescent="0.3">
      <c r="A900" s="1">
        <v>45523</v>
      </c>
      <c r="B900" s="5">
        <v>34995743.341892064</v>
      </c>
      <c r="C900" s="5">
        <v>28219131.195830502</v>
      </c>
      <c r="D900" s="5">
        <v>0</v>
      </c>
      <c r="E900" s="5">
        <f t="shared" si="711"/>
        <v>0</v>
      </c>
      <c r="F900" s="5">
        <f t="shared" si="711"/>
        <v>0</v>
      </c>
      <c r="G900" s="9">
        <f t="shared" ref="G900:H963" si="713">((B900-$D900)/B899-1)</f>
        <v>5.861228641826921E-3</v>
      </c>
      <c r="H900" s="9">
        <f t="shared" si="713"/>
        <v>8.2660487253241044E-3</v>
      </c>
      <c r="I900" s="5">
        <f t="shared" ref="I900:I963" si="714">I899*(1+G900)</f>
        <v>23054849.00966299</v>
      </c>
      <c r="J900" s="5">
        <f t="shared" ref="J900:J963" si="715">J899*(1+H900)</f>
        <v>18380362.17770835</v>
      </c>
      <c r="K900" s="8">
        <f t="shared" ref="K900:L900" si="716">I900/I648-1</f>
        <v>0.65388709571279158</v>
      </c>
      <c r="L900" s="8">
        <f t="shared" si="716"/>
        <v>0.29199968975124202</v>
      </c>
      <c r="M900" s="8">
        <f t="shared" si="707"/>
        <v>-0.36188740596154956</v>
      </c>
    </row>
    <row r="901" spans="1:13" x14ac:dyDescent="0.3">
      <c r="A901" s="1">
        <v>45524</v>
      </c>
      <c r="B901" s="5">
        <v>35282203.627668977</v>
      </c>
      <c r="C901" s="5">
        <v>28153910.471869633</v>
      </c>
      <c r="D901" s="5">
        <v>0</v>
      </c>
      <c r="E901" s="5">
        <f t="shared" si="711"/>
        <v>0</v>
      </c>
      <c r="F901" s="5">
        <f t="shared" si="711"/>
        <v>0</v>
      </c>
      <c r="G901" s="9">
        <f t="shared" si="713"/>
        <v>8.1855751134738419E-3</v>
      </c>
      <c r="H901" s="9">
        <f t="shared" si="713"/>
        <v>-2.3112236697955257E-3</v>
      </c>
      <c r="I901" s="5">
        <f t="shared" si="714"/>
        <v>23243566.207961384</v>
      </c>
      <c r="J901" s="5">
        <f t="shared" si="715"/>
        <v>18337881.049583815</v>
      </c>
      <c r="K901" s="8">
        <f t="shared" ref="K901:L901" si="717">I901/I649-1</f>
        <v>0.67125215794213489</v>
      </c>
      <c r="L901" s="8">
        <f t="shared" si="717"/>
        <v>0.28740709634462025</v>
      </c>
      <c r="M901" s="8">
        <f t="shared" si="707"/>
        <v>-0.38384506159751464</v>
      </c>
    </row>
    <row r="902" spans="1:13" x14ac:dyDescent="0.3">
      <c r="A902" s="1">
        <v>45525</v>
      </c>
      <c r="B902" s="5">
        <v>35384832.743464686</v>
      </c>
      <c r="C902" s="5">
        <v>28321755.276381802</v>
      </c>
      <c r="D902" s="5">
        <v>0</v>
      </c>
      <c r="E902" s="5">
        <f t="shared" si="711"/>
        <v>0</v>
      </c>
      <c r="F902" s="5">
        <f t="shared" si="711"/>
        <v>0</v>
      </c>
      <c r="G902" s="9">
        <f t="shared" si="713"/>
        <v>2.9088068556812896E-3</v>
      </c>
      <c r="H902" s="9">
        <f t="shared" si="713"/>
        <v>5.9616870871233019E-3</v>
      </c>
      <c r="I902" s="5">
        <f t="shared" si="714"/>
        <v>23311177.252697583</v>
      </c>
      <c r="J902" s="5">
        <f t="shared" si="715"/>
        <v>18447205.75824232</v>
      </c>
      <c r="K902" s="8">
        <f t="shared" ref="K902:L902" si="718">I902/I650-1</f>
        <v>0.69732783281621336</v>
      </c>
      <c r="L902" s="8">
        <f t="shared" si="718"/>
        <v>0.28295493437474195</v>
      </c>
      <c r="M902" s="8">
        <f t="shared" si="707"/>
        <v>-0.4143728984414714</v>
      </c>
    </row>
    <row r="903" spans="1:13" x14ac:dyDescent="0.3">
      <c r="A903" s="1">
        <v>45526</v>
      </c>
      <c r="B903" s="5">
        <v>35616470.486233585</v>
      </c>
      <c r="C903" s="5">
        <v>28069284.74900559</v>
      </c>
      <c r="D903" s="5">
        <v>0</v>
      </c>
      <c r="E903" s="5">
        <f t="shared" si="711"/>
        <v>0</v>
      </c>
      <c r="F903" s="5">
        <f t="shared" si="711"/>
        <v>0</v>
      </c>
      <c r="G903" s="9">
        <f t="shared" si="713"/>
        <v>6.5462438228334197E-3</v>
      </c>
      <c r="H903" s="9">
        <f t="shared" si="713"/>
        <v>-8.9143672386278183E-3</v>
      </c>
      <c r="I903" s="5">
        <f t="shared" si="714"/>
        <v>23463777.902791031</v>
      </c>
      <c r="J903" s="5">
        <f t="shared" si="715"/>
        <v>18282760.591586817</v>
      </c>
      <c r="K903" s="8">
        <f t="shared" ref="K903:L903" si="719">I903/I651-1</f>
        <v>0.70840018508459779</v>
      </c>
      <c r="L903" s="8">
        <f t="shared" si="719"/>
        <v>0.29544973725071233</v>
      </c>
      <c r="M903" s="8">
        <f t="shared" si="707"/>
        <v>-0.41295044783388546</v>
      </c>
    </row>
    <row r="904" spans="1:13" x14ac:dyDescent="0.3">
      <c r="A904" s="1">
        <v>45527</v>
      </c>
      <c r="B904" s="5">
        <v>35496782.933039464</v>
      </c>
      <c r="C904" s="5">
        <v>28385216.256184302</v>
      </c>
      <c r="D904" s="5">
        <v>0</v>
      </c>
      <c r="E904" s="5">
        <f t="shared" si="711"/>
        <v>0</v>
      </c>
      <c r="F904" s="5">
        <f t="shared" si="711"/>
        <v>0</v>
      </c>
      <c r="G904" s="9">
        <f t="shared" si="713"/>
        <v>-3.360455192784495E-3</v>
      </c>
      <c r="H904" s="9">
        <f t="shared" si="713"/>
        <v>1.1255417086817765E-2</v>
      </c>
      <c r="I904" s="5">
        <f t="shared" si="714"/>
        <v>23384928.928495254</v>
      </c>
      <c r="J904" s="5">
        <f t="shared" si="715"/>
        <v>18488540.687543564</v>
      </c>
      <c r="K904" s="8">
        <f t="shared" ref="K904:L904" si="720">I904/I652-1</f>
        <v>0.70689085186103884</v>
      </c>
      <c r="L904" s="8">
        <f t="shared" si="720"/>
        <v>0.32154401676883393</v>
      </c>
      <c r="M904" s="8">
        <f t="shared" si="707"/>
        <v>-0.38534683509220491</v>
      </c>
    </row>
    <row r="905" spans="1:13" x14ac:dyDescent="0.3">
      <c r="A905" s="1">
        <v>45530</v>
      </c>
      <c r="B905" s="5">
        <v>35671017.893154524</v>
      </c>
      <c r="C905" s="5">
        <v>28282840.859028276</v>
      </c>
      <c r="D905" s="5">
        <v>0</v>
      </c>
      <c r="E905" s="5">
        <f t="shared" si="711"/>
        <v>0</v>
      </c>
      <c r="F905" s="5">
        <f t="shared" si="711"/>
        <v>0</v>
      </c>
      <c r="G905" s="9">
        <f t="shared" si="713"/>
        <v>4.9084718590903798E-3</v>
      </c>
      <c r="H905" s="9">
        <f t="shared" si="713"/>
        <v>-3.6066449602518702E-3</v>
      </c>
      <c r="I905" s="5">
        <f t="shared" si="714"/>
        <v>23499713.194067601</v>
      </c>
      <c r="J905" s="5">
        <f t="shared" si="715"/>
        <v>18421859.085450422</v>
      </c>
      <c r="K905" s="8">
        <f t="shared" ref="K905:L905" si="721">I905/I653-1</f>
        <v>0.72333330307435784</v>
      </c>
      <c r="L905" s="8">
        <f t="shared" si="721"/>
        <v>0.31609348998239128</v>
      </c>
      <c r="M905" s="8">
        <f t="shared" si="707"/>
        <v>-0.40723981309196655</v>
      </c>
    </row>
    <row r="906" spans="1:13" x14ac:dyDescent="0.3">
      <c r="A906" s="1">
        <v>45531</v>
      </c>
      <c r="B906" s="5">
        <v>35709258.453939289</v>
      </c>
      <c r="C906" s="5">
        <v>28343735.865852814</v>
      </c>
      <c r="D906" s="5">
        <v>0</v>
      </c>
      <c r="E906" s="5">
        <f t="shared" si="711"/>
        <v>0</v>
      </c>
      <c r="F906" s="5">
        <f t="shared" si="711"/>
        <v>0</v>
      </c>
      <c r="G906" s="9">
        <f t="shared" si="713"/>
        <v>1.0720344706536267E-3</v>
      </c>
      <c r="H906" s="9">
        <f t="shared" si="713"/>
        <v>2.1530724981999594E-3</v>
      </c>
      <c r="I906" s="5">
        <f t="shared" si="714"/>
        <v>23524905.696662117</v>
      </c>
      <c r="J906" s="5">
        <f t="shared" si="715"/>
        <v>18461522.683613021</v>
      </c>
      <c r="K906" s="8">
        <f t="shared" ref="K906:L906" si="722">I906/I654-1</f>
        <v>0.71135504146616202</v>
      </c>
      <c r="L906" s="8">
        <f t="shared" si="722"/>
        <v>0.31052284843992872</v>
      </c>
      <c r="M906" s="8">
        <f t="shared" si="707"/>
        <v>-0.4008321930262333</v>
      </c>
    </row>
    <row r="907" spans="1:13" x14ac:dyDescent="0.3">
      <c r="A907" s="1">
        <v>45532</v>
      </c>
      <c r="B907" s="5">
        <v>35820698.63515754</v>
      </c>
      <c r="C907" s="5">
        <v>28171113.317480303</v>
      </c>
      <c r="D907" s="5">
        <v>0</v>
      </c>
      <c r="E907" s="5">
        <f t="shared" si="711"/>
        <v>0</v>
      </c>
      <c r="F907" s="5">
        <f t="shared" si="711"/>
        <v>0</v>
      </c>
      <c r="G907" s="9">
        <f t="shared" si="713"/>
        <v>3.120764363169215E-3</v>
      </c>
      <c r="H907" s="9">
        <f t="shared" si="713"/>
        <v>-6.0903244790845301E-3</v>
      </c>
      <c r="I907" s="5">
        <f t="shared" si="714"/>
        <v>23598321.384007178</v>
      </c>
      <c r="J907" s="5">
        <f t="shared" si="715"/>
        <v>18349086.020091839</v>
      </c>
      <c r="K907" s="8">
        <f t="shared" ref="K907:L907" si="723">I907/I655-1</f>
        <v>0.70544017914809398</v>
      </c>
      <c r="L907" s="8">
        <f t="shared" si="723"/>
        <v>0.30866862598036704</v>
      </c>
      <c r="M907" s="8">
        <f t="shared" si="707"/>
        <v>-0.39677155316772694</v>
      </c>
    </row>
    <row r="908" spans="1:13" x14ac:dyDescent="0.3">
      <c r="A908" s="1">
        <v>45533</v>
      </c>
      <c r="B908" s="5">
        <v>35731883.364123695</v>
      </c>
      <c r="C908" s="5">
        <v>28151312.62345095</v>
      </c>
      <c r="D908" s="5">
        <v>0</v>
      </c>
      <c r="E908" s="5">
        <f t="shared" si="711"/>
        <v>0</v>
      </c>
      <c r="F908" s="5">
        <f t="shared" si="711"/>
        <v>0</v>
      </c>
      <c r="G908" s="9">
        <f t="shared" si="713"/>
        <v>-2.4794399444424409E-3</v>
      </c>
      <c r="H908" s="9">
        <f t="shared" si="713"/>
        <v>-7.0287225805398812E-4</v>
      </c>
      <c r="I908" s="5">
        <f t="shared" si="714"/>
        <v>23539810.763345882</v>
      </c>
      <c r="J908" s="5">
        <f t="shared" si="715"/>
        <v>18336188.956567671</v>
      </c>
      <c r="K908" s="8">
        <f t="shared" ref="K908:L908" si="724">I908/I656-1</f>
        <v>0.70038614773248709</v>
      </c>
      <c r="L908" s="8">
        <f t="shared" si="724"/>
        <v>0.29734761545171007</v>
      </c>
      <c r="M908" s="8">
        <f t="shared" si="707"/>
        <v>-0.40303853228077702</v>
      </c>
    </row>
    <row r="909" spans="1:13" x14ac:dyDescent="0.3">
      <c r="A909" s="1">
        <v>45534</v>
      </c>
      <c r="B909" s="5">
        <v>35922166.810878538</v>
      </c>
      <c r="C909" s="5">
        <v>28436013.892795917</v>
      </c>
      <c r="D909" s="5">
        <v>0</v>
      </c>
      <c r="E909" s="5">
        <f t="shared" si="711"/>
        <v>0</v>
      </c>
      <c r="F909" s="5">
        <f t="shared" si="711"/>
        <v>0</v>
      </c>
      <c r="G909" s="9">
        <f t="shared" si="713"/>
        <v>5.3253125455428041E-3</v>
      </c>
      <c r="H909" s="9">
        <f t="shared" si="713"/>
        <v>1.0113250247087979E-2</v>
      </c>
      <c r="I909" s="5">
        <f t="shared" si="714"/>
        <v>23665167.612923633</v>
      </c>
      <c r="J909" s="5">
        <f t="shared" si="715"/>
        <v>18521627.424063332</v>
      </c>
      <c r="K909" s="8">
        <f t="shared" ref="K909:L909" si="725">I909/I657-1</f>
        <v>0.70315551919964725</v>
      </c>
      <c r="L909" s="8">
        <f t="shared" si="725"/>
        <v>0.33023862354437261</v>
      </c>
      <c r="M909" s="8">
        <f t="shared" si="707"/>
        <v>-0.37291689565527464</v>
      </c>
    </row>
    <row r="910" spans="1:13" x14ac:dyDescent="0.3">
      <c r="A910" s="1">
        <v>45537</v>
      </c>
      <c r="B910" s="5">
        <v>35948875.143233255</v>
      </c>
      <c r="C910" s="5">
        <v>27873941.056741897</v>
      </c>
      <c r="D910" s="5">
        <v>0</v>
      </c>
      <c r="E910" s="5">
        <f t="shared" si="711"/>
        <v>0</v>
      </c>
      <c r="F910" s="5">
        <f t="shared" si="711"/>
        <v>0</v>
      </c>
      <c r="G910" s="9">
        <f t="shared" si="713"/>
        <v>7.435056046405375E-4</v>
      </c>
      <c r="H910" s="9">
        <f t="shared" si="713"/>
        <v>-1.9766231588331573E-2</v>
      </c>
      <c r="I910" s="5">
        <f t="shared" si="714"/>
        <v>23682762.797678601</v>
      </c>
      <c r="J910" s="5">
        <f t="shared" si="715"/>
        <v>18155524.647006504</v>
      </c>
      <c r="K910" s="8">
        <f t="shared" ref="K910:L910" si="726">I910/I658-1</f>
        <v>0.72050385041860743</v>
      </c>
      <c r="L910" s="8">
        <f t="shared" si="726"/>
        <v>0.29399254854439105</v>
      </c>
      <c r="M910" s="8">
        <f t="shared" si="707"/>
        <v>-0.42651130187421638</v>
      </c>
    </row>
    <row r="911" spans="1:13" x14ac:dyDescent="0.3">
      <c r="A911" s="1">
        <v>45538</v>
      </c>
      <c r="B911" s="5">
        <v>35986042.002214812</v>
      </c>
      <c r="C911" s="5">
        <v>27873941.056741897</v>
      </c>
      <c r="D911" s="5">
        <v>0</v>
      </c>
      <c r="E911" s="5">
        <f t="shared" si="711"/>
        <v>0</v>
      </c>
      <c r="F911" s="5">
        <f t="shared" si="711"/>
        <v>0</v>
      </c>
      <c r="G911" s="9">
        <f t="shared" si="713"/>
        <v>1.033880999988801E-3</v>
      </c>
      <c r="H911" s="9">
        <f t="shared" si="713"/>
        <v>0</v>
      </c>
      <c r="I911" s="5">
        <f t="shared" si="714"/>
        <v>23707247.956162363</v>
      </c>
      <c r="J911" s="5">
        <f t="shared" si="715"/>
        <v>18155524.647006504</v>
      </c>
      <c r="K911" s="8">
        <f t="shared" ref="K911:L911" si="727">I911/I659-1</f>
        <v>0.71300111515982012</v>
      </c>
      <c r="L911" s="8">
        <f t="shared" si="727"/>
        <v>0.28654259997173748</v>
      </c>
      <c r="M911" s="8">
        <f t="shared" si="707"/>
        <v>-0.42645851518808264</v>
      </c>
    </row>
    <row r="912" spans="1:13" x14ac:dyDescent="0.3">
      <c r="A912" s="1">
        <v>45539</v>
      </c>
      <c r="B912" s="5">
        <v>36003640.645832971</v>
      </c>
      <c r="C912" s="5">
        <v>27833708.479999281</v>
      </c>
      <c r="D912" s="5">
        <v>0</v>
      </c>
      <c r="E912" s="5">
        <f t="shared" si="711"/>
        <v>0</v>
      </c>
      <c r="F912" s="5">
        <f t="shared" si="711"/>
        <v>0</v>
      </c>
      <c r="G912" s="9">
        <f t="shared" si="713"/>
        <v>4.8904082358025569E-4</v>
      </c>
      <c r="H912" s="9">
        <f t="shared" si="713"/>
        <v>-1.4433759711522942E-3</v>
      </c>
      <c r="I912" s="5">
        <f t="shared" si="714"/>
        <v>23718841.768227667</v>
      </c>
      <c r="J912" s="5">
        <f t="shared" si="715"/>
        <v>18129319.398987353</v>
      </c>
      <c r="K912" s="8">
        <f t="shared" ref="K912:L912" si="728">I912/I660-1</f>
        <v>0.70373072523726421</v>
      </c>
      <c r="L912" s="8">
        <f t="shared" si="728"/>
        <v>0.26474424249104778</v>
      </c>
      <c r="M912" s="8">
        <f t="shared" si="707"/>
        <v>-0.43898648274621643</v>
      </c>
    </row>
    <row r="913" spans="1:13" x14ac:dyDescent="0.3">
      <c r="A913" s="1">
        <v>45540</v>
      </c>
      <c r="B913" s="5">
        <v>36020534.672642775</v>
      </c>
      <c r="C913" s="5">
        <v>27754036.640284386</v>
      </c>
      <c r="D913" s="5">
        <v>0</v>
      </c>
      <c r="E913" s="5">
        <f t="shared" si="711"/>
        <v>0</v>
      </c>
      <c r="F913" s="5">
        <f t="shared" si="711"/>
        <v>0</v>
      </c>
      <c r="G913" s="9">
        <f t="shared" si="713"/>
        <v>4.6923106960172767E-4</v>
      </c>
      <c r="H913" s="9">
        <f t="shared" si="713"/>
        <v>-2.8624227264629765E-3</v>
      </c>
      <c r="I913" s="5">
        <f t="shared" si="714"/>
        <v>23729971.385720287</v>
      </c>
      <c r="J913" s="5">
        <f t="shared" si="715"/>
        <v>18077425.623124387</v>
      </c>
      <c r="K913" s="8">
        <f t="shared" ref="K913:L913" si="729">I913/I661-1</f>
        <v>0.69866936967927806</v>
      </c>
      <c r="L913" s="8">
        <f t="shared" si="729"/>
        <v>0.25564370980260565</v>
      </c>
      <c r="M913" s="8">
        <f t="shared" si="707"/>
        <v>-0.44302565987667242</v>
      </c>
    </row>
    <row r="914" spans="1:13" x14ac:dyDescent="0.3">
      <c r="A914" s="1">
        <v>45541</v>
      </c>
      <c r="B914" s="5">
        <v>35531913.113913074</v>
      </c>
      <c r="C914" s="5">
        <v>27262178.530429564</v>
      </c>
      <c r="D914" s="5">
        <v>0</v>
      </c>
      <c r="E914" s="5">
        <f t="shared" si="711"/>
        <v>0</v>
      </c>
      <c r="F914" s="5">
        <f t="shared" si="711"/>
        <v>0</v>
      </c>
      <c r="G914" s="9">
        <f t="shared" si="713"/>
        <v>-1.3565083449491477E-2</v>
      </c>
      <c r="H914" s="9">
        <f t="shared" si="713"/>
        <v>-1.772203864359323E-2</v>
      </c>
      <c r="I914" s="5">
        <f t="shared" si="714"/>
        <v>23408072.343618944</v>
      </c>
      <c r="J914" s="5">
        <f t="shared" si="715"/>
        <v>17757056.787654694</v>
      </c>
      <c r="K914" s="8">
        <f t="shared" ref="K914:L914" si="730">I914/I662-1</f>
        <v>0.68799212441536772</v>
      </c>
      <c r="L914" s="8">
        <f t="shared" si="730"/>
        <v>0.23433206060594891</v>
      </c>
      <c r="M914" s="8">
        <f t="shared" si="707"/>
        <v>-0.45366006380941881</v>
      </c>
    </row>
    <row r="915" spans="1:13" x14ac:dyDescent="0.3">
      <c r="A915" s="1">
        <v>45544</v>
      </c>
      <c r="B915" s="5">
        <v>35584836.546856664</v>
      </c>
      <c r="C915" s="5">
        <v>27587360.785124138</v>
      </c>
      <c r="D915" s="5">
        <v>0</v>
      </c>
      <c r="E915" s="5">
        <f t="shared" si="711"/>
        <v>0</v>
      </c>
      <c r="F915" s="5">
        <f t="shared" si="711"/>
        <v>0</v>
      </c>
      <c r="G915" s="9">
        <f t="shared" si="713"/>
        <v>1.489461959842231E-3</v>
      </c>
      <c r="H915" s="9">
        <f t="shared" si="713"/>
        <v>1.1927962922391178E-2</v>
      </c>
      <c r="I915" s="5">
        <f t="shared" si="714"/>
        <v>23442937.776928</v>
      </c>
      <c r="J915" s="5">
        <f t="shared" si="715"/>
        <v>17968862.302628633</v>
      </c>
      <c r="K915" s="8">
        <f t="shared" ref="K915:L915" si="731">I915/I663-1</f>
        <v>0.67600708551529554</v>
      </c>
      <c r="L915" s="8">
        <f t="shared" si="731"/>
        <v>0.24810598194096611</v>
      </c>
      <c r="M915" s="8">
        <f t="shared" si="707"/>
        <v>-0.42790110357432942</v>
      </c>
    </row>
    <row r="916" spans="1:13" x14ac:dyDescent="0.3">
      <c r="A916" s="1">
        <v>45545</v>
      </c>
      <c r="B916" s="5">
        <v>35663428.163533121</v>
      </c>
      <c r="C916" s="5">
        <v>27718089.112012357</v>
      </c>
      <c r="D916" s="5">
        <v>0</v>
      </c>
      <c r="E916" s="5">
        <f t="shared" si="711"/>
        <v>0</v>
      </c>
      <c r="F916" s="5">
        <f t="shared" si="711"/>
        <v>0</v>
      </c>
      <c r="G916" s="9">
        <f t="shared" si="713"/>
        <v>2.2085703997254402E-3</v>
      </c>
      <c r="H916" s="9">
        <f t="shared" si="713"/>
        <v>4.7387036370187818E-3</v>
      </c>
      <c r="I916" s="5">
        <f t="shared" si="714"/>
        <v>23494713.155384727</v>
      </c>
      <c r="J916" s="5">
        <f t="shared" si="715"/>
        <v>18054011.415775187</v>
      </c>
      <c r="K916" s="8">
        <f t="shared" ref="K916:L916" si="732">I916/I664-1</f>
        <v>0.6647969353363905</v>
      </c>
      <c r="L916" s="8">
        <f t="shared" si="732"/>
        <v>0.25409109060772361</v>
      </c>
      <c r="M916" s="8">
        <f t="shared" si="707"/>
        <v>-0.41070584472866689</v>
      </c>
    </row>
    <row r="917" spans="1:13" x14ac:dyDescent="0.3">
      <c r="A917" s="1">
        <v>45546</v>
      </c>
      <c r="B917" s="5">
        <v>35480979.384623542</v>
      </c>
      <c r="C917" s="5">
        <v>28014011.635643907</v>
      </c>
      <c r="D917" s="5">
        <v>0</v>
      </c>
      <c r="E917" s="5">
        <f t="shared" si="711"/>
        <v>0</v>
      </c>
      <c r="F917" s="5">
        <f t="shared" si="711"/>
        <v>0</v>
      </c>
      <c r="G917" s="9">
        <f t="shared" si="713"/>
        <v>-5.1158508394921753E-3</v>
      </c>
      <c r="H917" s="9">
        <f t="shared" si="713"/>
        <v>1.0676151679709589E-2</v>
      </c>
      <c r="I917" s="5">
        <f t="shared" si="714"/>
        <v>23374517.707365125</v>
      </c>
      <c r="J917" s="5">
        <f t="shared" si="715"/>
        <v>18246758.780077212</v>
      </c>
      <c r="K917" s="8">
        <f t="shared" ref="K917:L917" si="733">I917/I665-1</f>
        <v>0.65287596244068657</v>
      </c>
      <c r="L917" s="8">
        <f t="shared" si="733"/>
        <v>0.26747995731122409</v>
      </c>
      <c r="M917" s="8">
        <f t="shared" si="707"/>
        <v>-0.38539600512946248</v>
      </c>
    </row>
    <row r="918" spans="1:13" x14ac:dyDescent="0.3">
      <c r="A918" s="1">
        <v>45547</v>
      </c>
      <c r="B918" s="5">
        <v>36001647.586860776</v>
      </c>
      <c r="C918" s="5">
        <v>28214333.117637284</v>
      </c>
      <c r="D918" s="5">
        <v>0</v>
      </c>
      <c r="E918" s="5">
        <f t="shared" si="711"/>
        <v>0</v>
      </c>
      <c r="F918" s="5">
        <f t="shared" si="711"/>
        <v>0</v>
      </c>
      <c r="G918" s="9">
        <f t="shared" si="713"/>
        <v>1.4674572440434908E-2</v>
      </c>
      <c r="H918" s="9">
        <f t="shared" si="713"/>
        <v>7.1507602909144374E-3</v>
      </c>
      <c r="I918" s="5">
        <f t="shared" si="714"/>
        <v>23717528.760722082</v>
      </c>
      <c r="J918" s="5">
        <f t="shared" si="715"/>
        <v>18377236.978199683</v>
      </c>
      <c r="K918" s="8">
        <f t="shared" ref="K918:L918" si="734">I918/I666-1</f>
        <v>0.66924298760093026</v>
      </c>
      <c r="L918" s="8">
        <f t="shared" si="734"/>
        <v>0.28377049439817359</v>
      </c>
      <c r="M918" s="8">
        <f t="shared" si="707"/>
        <v>-0.38547249320275667</v>
      </c>
    </row>
    <row r="919" spans="1:13" x14ac:dyDescent="0.3">
      <c r="A919" s="1">
        <v>45548</v>
      </c>
      <c r="B919" s="5">
        <v>35992665.400213338</v>
      </c>
      <c r="C919" s="5">
        <v>28358080.638541665</v>
      </c>
      <c r="D919" s="5">
        <v>0</v>
      </c>
      <c r="E919" s="5">
        <f t="shared" si="711"/>
        <v>0</v>
      </c>
      <c r="F919" s="5">
        <f t="shared" si="711"/>
        <v>0</v>
      </c>
      <c r="G919" s="9">
        <f t="shared" si="713"/>
        <v>-2.4949376624405772E-4</v>
      </c>
      <c r="H919" s="9">
        <f t="shared" si="713"/>
        <v>5.0948402822437178E-3</v>
      </c>
      <c r="I919" s="5">
        <f t="shared" si="714"/>
        <v>23711611.385145567</v>
      </c>
      <c r="J919" s="5">
        <f t="shared" si="715"/>
        <v>18470866.065432552</v>
      </c>
      <c r="K919" s="8">
        <f t="shared" ref="K919:L919" si="735">I919/I667-1</f>
        <v>0.6603911489970864</v>
      </c>
      <c r="L919" s="8">
        <f t="shared" si="735"/>
        <v>0.29320204610131362</v>
      </c>
      <c r="M919" s="8">
        <f t="shared" si="707"/>
        <v>-0.36718910289577278</v>
      </c>
    </row>
    <row r="920" spans="1:13" x14ac:dyDescent="0.3">
      <c r="A920" s="1">
        <v>45551</v>
      </c>
      <c r="B920" s="5">
        <v>36010203.648105063</v>
      </c>
      <c r="C920" s="5">
        <v>28402839.80265481</v>
      </c>
      <c r="D920" s="5">
        <v>0</v>
      </c>
      <c r="E920" s="5">
        <f t="shared" si="711"/>
        <v>0</v>
      </c>
      <c r="F920" s="5">
        <f t="shared" si="711"/>
        <v>0</v>
      </c>
      <c r="G920" s="9">
        <f t="shared" si="713"/>
        <v>4.8727282896976476E-4</v>
      </c>
      <c r="H920" s="9">
        <f t="shared" si="713"/>
        <v>1.5783566131875038E-3</v>
      </c>
      <c r="I920" s="5">
        <f t="shared" si="714"/>
        <v>23723165.409104638</v>
      </c>
      <c r="J920" s="5">
        <f t="shared" si="715"/>
        <v>18500019.679038227</v>
      </c>
      <c r="K920" s="8">
        <f t="shared" ref="K920:L920" si="736">I920/I668-1</f>
        <v>0.64781857758481332</v>
      </c>
      <c r="L920" s="8">
        <f t="shared" si="736"/>
        <v>0.29767195341536579</v>
      </c>
      <c r="M920" s="8">
        <f t="shared" si="707"/>
        <v>-0.35014662416944753</v>
      </c>
    </row>
    <row r="921" spans="1:13" x14ac:dyDescent="0.3">
      <c r="A921" s="1">
        <v>45552</v>
      </c>
      <c r="B921" s="5">
        <v>35912808.828599982</v>
      </c>
      <c r="C921" s="5">
        <v>28363586.296561211</v>
      </c>
      <c r="D921" s="5">
        <v>0</v>
      </c>
      <c r="E921" s="5">
        <f t="shared" si="711"/>
        <v>0</v>
      </c>
      <c r="F921" s="5">
        <f t="shared" si="711"/>
        <v>0</v>
      </c>
      <c r="G921" s="9">
        <f t="shared" si="713"/>
        <v>-2.7046450627391527E-3</v>
      </c>
      <c r="H921" s="9">
        <f t="shared" si="713"/>
        <v>-1.3820275143729965E-3</v>
      </c>
      <c r="I921" s="5">
        <f t="shared" si="714"/>
        <v>23659002.666908357</v>
      </c>
      <c r="J921" s="5">
        <f t="shared" si="715"/>
        <v>18474452.142825354</v>
      </c>
      <c r="K921" s="8">
        <f t="shared" ref="K921:L921" si="737">I921/I669-1</f>
        <v>0.62660852369765974</v>
      </c>
      <c r="L921" s="8">
        <f t="shared" si="737"/>
        <v>0.2856719417608562</v>
      </c>
      <c r="M921" s="8">
        <f t="shared" si="707"/>
        <v>-0.34093658193680354</v>
      </c>
    </row>
    <row r="922" spans="1:13" x14ac:dyDescent="0.3">
      <c r="A922" s="1">
        <v>45553</v>
      </c>
      <c r="B922" s="5">
        <v>35758182.347665951</v>
      </c>
      <c r="C922" s="5">
        <v>28281911.525058314</v>
      </c>
      <c r="D922" s="5">
        <v>0</v>
      </c>
      <c r="E922" s="5">
        <f t="shared" si="711"/>
        <v>0</v>
      </c>
      <c r="F922" s="5">
        <f t="shared" si="711"/>
        <v>0</v>
      </c>
      <c r="G922" s="9">
        <f t="shared" si="713"/>
        <v>-4.3056081096862764E-3</v>
      </c>
      <c r="H922" s="9">
        <f t="shared" si="713"/>
        <v>-2.8795643346695154E-3</v>
      </c>
      <c r="I922" s="5">
        <f t="shared" si="714"/>
        <v>23557136.273158628</v>
      </c>
      <c r="J922" s="5">
        <f t="shared" si="715"/>
        <v>18421253.769332316</v>
      </c>
      <c r="K922" s="8">
        <f t="shared" ref="K922:L922" si="738">I922/I670-1</f>
        <v>0.65769175191039397</v>
      </c>
      <c r="L922" s="8">
        <f t="shared" si="738"/>
        <v>0.29190830194050266</v>
      </c>
      <c r="M922" s="8">
        <f t="shared" si="707"/>
        <v>-0.36578344996989132</v>
      </c>
    </row>
    <row r="923" spans="1:13" x14ac:dyDescent="0.3">
      <c r="A923" s="1">
        <v>45554</v>
      </c>
      <c r="B923" s="5">
        <v>35511677.1902408</v>
      </c>
      <c r="C923" s="5">
        <v>28739612.077510513</v>
      </c>
      <c r="D923" s="5">
        <v>0</v>
      </c>
      <c r="E923" s="5">
        <f t="shared" si="711"/>
        <v>0</v>
      </c>
      <c r="F923" s="5">
        <f t="shared" si="711"/>
        <v>0</v>
      </c>
      <c r="G923" s="9">
        <f t="shared" si="713"/>
        <v>-6.893671356906661E-3</v>
      </c>
      <c r="H923" s="9">
        <f t="shared" si="713"/>
        <v>1.6183508390041679E-2</v>
      </c>
      <c r="I923" s="5">
        <f t="shared" si="714"/>
        <v>23394741.11758161</v>
      </c>
      <c r="J923" s="5">
        <f t="shared" si="715"/>
        <v>18719374.284263391</v>
      </c>
      <c r="K923" s="8">
        <f t="shared" ref="K923:L923" si="739">I923/I671-1</f>
        <v>0.64121333526860891</v>
      </c>
      <c r="L923" s="8">
        <f t="shared" si="739"/>
        <v>0.31007133629599926</v>
      </c>
      <c r="M923" s="8">
        <f t="shared" si="707"/>
        <v>-0.33114199897260965</v>
      </c>
    </row>
    <row r="924" spans="1:13" x14ac:dyDescent="0.3">
      <c r="A924" s="1">
        <v>45555</v>
      </c>
      <c r="B924" s="5">
        <v>36018585.232806332</v>
      </c>
      <c r="C924" s="5">
        <v>28646374.764674697</v>
      </c>
      <c r="D924" s="5">
        <v>0</v>
      </c>
      <c r="E924" s="5">
        <f t="shared" si="711"/>
        <v>0</v>
      </c>
      <c r="F924" s="5">
        <f t="shared" si="711"/>
        <v>0</v>
      </c>
      <c r="G924" s="9">
        <f t="shared" si="713"/>
        <v>1.4274404440262289E-2</v>
      </c>
      <c r="H924" s="9">
        <f t="shared" si="713"/>
        <v>-3.2442091627526981E-3</v>
      </c>
      <c r="I924" s="5">
        <f t="shared" si="714"/>
        <v>23728687.114069205</v>
      </c>
      <c r="J924" s="5">
        <f t="shared" si="715"/>
        <v>18658644.718689386</v>
      </c>
      <c r="K924" s="8">
        <f t="shared" ref="K924:L924" si="740">I924/I672-1</f>
        <v>0.65320613979903008</v>
      </c>
      <c r="L924" s="8">
        <f t="shared" si="740"/>
        <v>0.29313941767274332</v>
      </c>
      <c r="M924" s="8">
        <f t="shared" si="707"/>
        <v>-0.36006672212628676</v>
      </c>
    </row>
    <row r="925" spans="1:13" x14ac:dyDescent="0.3">
      <c r="A925" s="1">
        <v>45558</v>
      </c>
      <c r="B925" s="5">
        <v>36603433.960330129</v>
      </c>
      <c r="C925" s="5">
        <v>28713389.306540914</v>
      </c>
      <c r="D925" s="5">
        <v>0</v>
      </c>
      <c r="E925" s="5">
        <f t="shared" si="711"/>
        <v>0</v>
      </c>
      <c r="F925" s="5">
        <f t="shared" si="711"/>
        <v>0</v>
      </c>
      <c r="G925" s="9">
        <f t="shared" si="713"/>
        <v>1.6237415316110448E-2</v>
      </c>
      <c r="H925" s="9">
        <f t="shared" si="713"/>
        <v>2.3393725180491654E-3</v>
      </c>
      <c r="I925" s="5">
        <f t="shared" si="714"/>
        <v>24113979.661646385</v>
      </c>
      <c r="J925" s="5">
        <f t="shared" si="715"/>
        <v>18702294.239368331</v>
      </c>
      <c r="K925" s="8">
        <f t="shared" ref="K925:L925" si="741">I925/I673-1</f>
        <v>0.67710758022777395</v>
      </c>
      <c r="L925" s="8">
        <f t="shared" si="741"/>
        <v>0.31001385814722848</v>
      </c>
      <c r="M925" s="8">
        <f t="shared" si="707"/>
        <v>-0.36709372208054547</v>
      </c>
    </row>
    <row r="926" spans="1:13" x14ac:dyDescent="0.3">
      <c r="A926" s="1">
        <v>45559</v>
      </c>
      <c r="B926" s="5">
        <v>36649378.331552893</v>
      </c>
      <c r="C926" s="5">
        <v>28830445.542454779</v>
      </c>
      <c r="D926" s="5">
        <v>0</v>
      </c>
      <c r="E926" s="5">
        <f t="shared" si="711"/>
        <v>0</v>
      </c>
      <c r="F926" s="5">
        <f t="shared" si="711"/>
        <v>0</v>
      </c>
      <c r="G926" s="9">
        <f t="shared" si="713"/>
        <v>1.2551929218596047E-3</v>
      </c>
      <c r="H926" s="9">
        <f t="shared" si="713"/>
        <v>4.076712597882004E-3</v>
      </c>
      <c r="I926" s="5">
        <f t="shared" si="714"/>
        <v>24144247.358235549</v>
      </c>
      <c r="J926" s="5">
        <f t="shared" si="715"/>
        <v>18778538.117903259</v>
      </c>
      <c r="K926" s="8">
        <f t="shared" ref="K926:L926" si="742">I926/I674-1</f>
        <v>0.6801552056975444</v>
      </c>
      <c r="L926" s="8">
        <f t="shared" si="742"/>
        <v>0.3124915458569919</v>
      </c>
      <c r="M926" s="8">
        <f t="shared" si="707"/>
        <v>-0.36766365984055249</v>
      </c>
    </row>
    <row r="927" spans="1:13" x14ac:dyDescent="0.3">
      <c r="A927" s="1">
        <v>45560</v>
      </c>
      <c r="B927" s="5">
        <v>36514155.655393653</v>
      </c>
      <c r="C927" s="5">
        <v>28742553.136493497</v>
      </c>
      <c r="D927" s="5">
        <v>0</v>
      </c>
      <c r="E927" s="5">
        <f t="shared" si="711"/>
        <v>0</v>
      </c>
      <c r="F927" s="5">
        <f t="shared" si="711"/>
        <v>0</v>
      </c>
      <c r="G927" s="9">
        <f t="shared" si="713"/>
        <v>-3.689630829094348E-3</v>
      </c>
      <c r="H927" s="9">
        <f t="shared" si="713"/>
        <v>-3.0485968672199215E-3</v>
      </c>
      <c r="I927" s="5">
        <f t="shared" si="714"/>
        <v>24055163.998837322</v>
      </c>
      <c r="J927" s="5">
        <f t="shared" si="715"/>
        <v>18721289.925426047</v>
      </c>
      <c r="K927" s="8">
        <f t="shared" ref="K927:L927" si="743">I927/I675-1</f>
        <v>0.68883095197081534</v>
      </c>
      <c r="L927" s="8">
        <f t="shared" si="743"/>
        <v>0.32684555717410158</v>
      </c>
      <c r="M927" s="8">
        <f t="shared" si="707"/>
        <v>-0.36198539479671377</v>
      </c>
    </row>
    <row r="928" spans="1:13" x14ac:dyDescent="0.3">
      <c r="A928" s="1">
        <v>45561</v>
      </c>
      <c r="B928" s="5">
        <v>36785953.200920552</v>
      </c>
      <c r="C928" s="5">
        <v>28874183.043735184</v>
      </c>
      <c r="D928" s="5">
        <v>0</v>
      </c>
      <c r="E928" s="5">
        <f t="shared" si="711"/>
        <v>0</v>
      </c>
      <c r="F928" s="5">
        <f t="shared" si="711"/>
        <v>0</v>
      </c>
      <c r="G928" s="9">
        <f t="shared" si="713"/>
        <v>7.4436212654624967E-3</v>
      </c>
      <c r="H928" s="9">
        <f t="shared" si="713"/>
        <v>4.5796177749624079E-3</v>
      </c>
      <c r="I928" s="5">
        <f t="shared" si="714"/>
        <v>24234221.529123254</v>
      </c>
      <c r="J928" s="5">
        <f t="shared" si="715"/>
        <v>18807026.277538754</v>
      </c>
      <c r="K928" s="8">
        <f t="shared" ref="K928:L928" si="744">I928/I676-1</f>
        <v>0.71605092863539421</v>
      </c>
      <c r="L928" s="8">
        <f t="shared" si="744"/>
        <v>0.35445142384810158</v>
      </c>
      <c r="M928" s="8">
        <f t="shared" si="707"/>
        <v>-0.36159950478729264</v>
      </c>
    </row>
    <row r="929" spans="1:13" x14ac:dyDescent="0.3">
      <c r="A929" s="1">
        <v>45562</v>
      </c>
      <c r="B929" s="5">
        <v>37132544.142995067</v>
      </c>
      <c r="C929" s="5">
        <v>28866517.549818579</v>
      </c>
      <c r="D929" s="5">
        <v>0</v>
      </c>
      <c r="E929" s="5">
        <f t="shared" si="711"/>
        <v>0</v>
      </c>
      <c r="F929" s="5">
        <f t="shared" si="711"/>
        <v>0</v>
      </c>
      <c r="G929" s="9">
        <f t="shared" si="713"/>
        <v>9.4218284947376052E-3</v>
      </c>
      <c r="H929" s="9">
        <f t="shared" si="713"/>
        <v>-2.6547916195562848E-4</v>
      </c>
      <c r="I929" s="5">
        <f t="shared" si="714"/>
        <v>24462552.20807413</v>
      </c>
      <c r="J929" s="5">
        <f t="shared" si="715"/>
        <v>18802033.403963715</v>
      </c>
      <c r="K929" s="8">
        <f t="shared" ref="K929:L929" si="745">I929/I677-1</f>
        <v>0.73433642836277602</v>
      </c>
      <c r="L929" s="8">
        <f t="shared" si="745"/>
        <v>0.3598036389758521</v>
      </c>
      <c r="M929" s="8">
        <f t="shared" si="707"/>
        <v>-0.37453278938692391</v>
      </c>
    </row>
    <row r="930" spans="1:13" x14ac:dyDescent="0.3">
      <c r="A930" s="1">
        <v>45565</v>
      </c>
      <c r="B930" s="5">
        <v>36789855.435911573</v>
      </c>
      <c r="C930" s="5">
        <v>29019069.836857028</v>
      </c>
      <c r="D930" s="5">
        <v>0</v>
      </c>
      <c r="E930" s="5">
        <f t="shared" si="711"/>
        <v>0</v>
      </c>
      <c r="F930" s="5">
        <f t="shared" si="711"/>
        <v>0</v>
      </c>
      <c r="G930" s="9">
        <f t="shared" si="713"/>
        <v>-9.2287968678854693E-3</v>
      </c>
      <c r="H930" s="9">
        <f t="shared" si="713"/>
        <v>5.2847485594744725E-3</v>
      </c>
      <c r="I930" s="5">
        <f t="shared" si="714"/>
        <v>24236792.282875773</v>
      </c>
      <c r="J930" s="5">
        <f t="shared" si="715"/>
        <v>18901397.422910504</v>
      </c>
      <c r="K930" s="8">
        <f t="shared" ref="K930:L930" si="746">I930/I678-1</f>
        <v>0.72233480554728136</v>
      </c>
      <c r="L930" s="8">
        <f t="shared" si="746"/>
        <v>0.35887210412668935</v>
      </c>
      <c r="M930" s="8">
        <f t="shared" si="707"/>
        <v>-0.363462701420592</v>
      </c>
    </row>
    <row r="931" spans="1:13" x14ac:dyDescent="0.3">
      <c r="A931" s="1">
        <v>45566</v>
      </c>
      <c r="B931" s="5">
        <v>37380190.666060589</v>
      </c>
      <c r="C931" s="5">
        <v>29266480.875731248</v>
      </c>
      <c r="D931" s="5">
        <v>500000</v>
      </c>
      <c r="E931" s="5">
        <f t="shared" si="711"/>
        <v>-500000</v>
      </c>
      <c r="F931" s="5">
        <f t="shared" si="711"/>
        <v>-500000</v>
      </c>
      <c r="G931" s="9">
        <f t="shared" si="713"/>
        <v>2.4554385734507633E-3</v>
      </c>
      <c r="H931" s="9">
        <f t="shared" si="713"/>
        <v>-8.7042404372646986E-3</v>
      </c>
      <c r="I931" s="5">
        <f t="shared" si="714"/>
        <v>24296304.237543859</v>
      </c>
      <c r="J931" s="5">
        <f t="shared" si="715"/>
        <v>18736875.115141194</v>
      </c>
      <c r="K931" s="8">
        <f t="shared" ref="K931:L931" si="747">I931/I679-1</f>
        <v>0.72320229242676715</v>
      </c>
      <c r="L931" s="8">
        <f t="shared" si="747"/>
        <v>0.36496478486441242</v>
      </c>
      <c r="M931" s="8">
        <f t="shared" si="707"/>
        <v>-0.35823750756235473</v>
      </c>
    </row>
    <row r="932" spans="1:13" x14ac:dyDescent="0.3">
      <c r="A932" s="1">
        <v>45568</v>
      </c>
      <c r="B932" s="5">
        <v>36492093.57458169</v>
      </c>
      <c r="C932" s="5">
        <v>29289431.720959444</v>
      </c>
      <c r="D932" s="5">
        <v>0</v>
      </c>
      <c r="E932" s="5">
        <f t="shared" si="711"/>
        <v>0</v>
      </c>
      <c r="F932" s="5">
        <f t="shared" si="711"/>
        <v>0</v>
      </c>
      <c r="G932" s="9">
        <f t="shared" si="713"/>
        <v>-2.3758495493316101E-2</v>
      </c>
      <c r="H932" s="9">
        <f t="shared" si="713"/>
        <v>7.8420242343613111E-4</v>
      </c>
      <c r="I932" s="5">
        <f t="shared" si="714"/>
        <v>23719060.602811936</v>
      </c>
      <c r="J932" s="5">
        <f t="shared" si="715"/>
        <v>18751568.618014108</v>
      </c>
      <c r="K932" s="8">
        <f t="shared" ref="K932:L932" si="748">I932/I680-1</f>
        <v>0.67989131387720958</v>
      </c>
      <c r="L932" s="8">
        <f t="shared" si="748"/>
        <v>0.36667939231129143</v>
      </c>
      <c r="M932" s="8">
        <f t="shared" si="707"/>
        <v>-0.31321192156591815</v>
      </c>
    </row>
    <row r="933" spans="1:13" x14ac:dyDescent="0.3">
      <c r="A933" s="1">
        <v>45569</v>
      </c>
      <c r="B933" s="5">
        <v>36091604.272613697</v>
      </c>
      <c r="C933" s="5">
        <v>29554844.917787418</v>
      </c>
      <c r="D933" s="5">
        <v>0</v>
      </c>
      <c r="E933" s="5">
        <f t="shared" si="711"/>
        <v>0</v>
      </c>
      <c r="F933" s="5">
        <f t="shared" si="711"/>
        <v>0</v>
      </c>
      <c r="G933" s="9">
        <f t="shared" si="713"/>
        <v>-1.0974686918126086E-2</v>
      </c>
      <c r="H933" s="9">
        <f t="shared" si="713"/>
        <v>9.0617393794651946E-3</v>
      </c>
      <c r="I933" s="5">
        <f t="shared" si="714"/>
        <v>23458751.338704016</v>
      </c>
      <c r="J933" s="5">
        <f t="shared" si="715"/>
        <v>18921490.445786711</v>
      </c>
      <c r="K933" s="8">
        <f t="shared" ref="K933:L933" si="749">I933/I681-1</f>
        <v>0.68630248474286581</v>
      </c>
      <c r="L933" s="8">
        <f t="shared" si="749"/>
        <v>0.37162876205515527</v>
      </c>
      <c r="M933" s="8">
        <f t="shared" si="707"/>
        <v>-0.31467372268771054</v>
      </c>
    </row>
    <row r="934" spans="1:13" x14ac:dyDescent="0.3">
      <c r="A934" s="1">
        <v>45572</v>
      </c>
      <c r="B934" s="5">
        <v>35251972.089827225</v>
      </c>
      <c r="C934" s="5">
        <v>29261447.876563895</v>
      </c>
      <c r="D934" s="5">
        <v>0</v>
      </c>
      <c r="E934" s="5">
        <f t="shared" si="711"/>
        <v>0</v>
      </c>
      <c r="F934" s="5">
        <f t="shared" si="711"/>
        <v>0</v>
      </c>
      <c r="G934" s="9">
        <f t="shared" si="713"/>
        <v>-2.326391967628838E-2</v>
      </c>
      <c r="H934" s="9">
        <f t="shared" si="713"/>
        <v>-9.9272062512817394E-3</v>
      </c>
      <c r="I934" s="5">
        <f t="shared" si="714"/>
        <v>22913008.831854384</v>
      </c>
      <c r="J934" s="5">
        <f t="shared" si="715"/>
        <v>18733652.907549728</v>
      </c>
      <c r="K934" s="8">
        <f t="shared" ref="K934:L934" si="750">I934/I682-1</f>
        <v>0.62923065751619833</v>
      </c>
      <c r="L934" s="8">
        <f t="shared" si="750"/>
        <v>0.36247549462317541</v>
      </c>
      <c r="M934" s="8">
        <f t="shared" si="707"/>
        <v>-0.26675516289302292</v>
      </c>
    </row>
    <row r="935" spans="1:13" x14ac:dyDescent="0.3">
      <c r="A935" s="1">
        <v>45573</v>
      </c>
      <c r="B935" s="5">
        <v>36080493.834279671</v>
      </c>
      <c r="C935" s="5">
        <v>29541567.562376935</v>
      </c>
      <c r="D935" s="5">
        <v>0</v>
      </c>
      <c r="E935" s="5">
        <f t="shared" si="711"/>
        <v>0</v>
      </c>
      <c r="F935" s="5">
        <f t="shared" si="711"/>
        <v>0</v>
      </c>
      <c r="G935" s="9">
        <f t="shared" si="713"/>
        <v>2.350284807730052E-2</v>
      </c>
      <c r="H935" s="9">
        <f t="shared" si="713"/>
        <v>9.572994712862215E-3</v>
      </c>
      <c r="I935" s="5">
        <f t="shared" si="714"/>
        <v>23451529.797423303</v>
      </c>
      <c r="J935" s="5">
        <f t="shared" si="715"/>
        <v>18912990.067786299</v>
      </c>
      <c r="K935" s="8">
        <f t="shared" ref="K935:L935" si="751">I935/I683-1</f>
        <v>0.66198381156625818</v>
      </c>
      <c r="L935" s="8">
        <f t="shared" si="751"/>
        <v>0.39211376177841362</v>
      </c>
      <c r="M935" s="8">
        <f t="shared" si="707"/>
        <v>-0.26987004978784457</v>
      </c>
    </row>
    <row r="936" spans="1:13" x14ac:dyDescent="0.3">
      <c r="A936" s="1">
        <v>45574</v>
      </c>
      <c r="B936" s="5">
        <v>36472508.323781073</v>
      </c>
      <c r="C936" s="5">
        <v>29745493.069938391</v>
      </c>
      <c r="D936" s="5">
        <v>0</v>
      </c>
      <c r="E936" s="5">
        <f t="shared" si="711"/>
        <v>0</v>
      </c>
      <c r="F936" s="5">
        <f t="shared" si="711"/>
        <v>0</v>
      </c>
      <c r="G936" s="9">
        <f t="shared" si="713"/>
        <v>1.0864997893375694E-2</v>
      </c>
      <c r="H936" s="9">
        <f t="shared" si="713"/>
        <v>6.9030022571032745E-3</v>
      </c>
      <c r="I936" s="5">
        <f t="shared" si="714"/>
        <v>23706330.619268745</v>
      </c>
      <c r="J936" s="5">
        <f t="shared" si="715"/>
        <v>19043546.480912801</v>
      </c>
      <c r="K936" s="8">
        <f t="shared" ref="K936:L936" si="752">I936/I684-1</f>
        <v>0.70363867421745629</v>
      </c>
      <c r="L936" s="8">
        <f t="shared" si="752"/>
        <v>0.38994176333467556</v>
      </c>
      <c r="M936" s="8">
        <f t="shared" si="707"/>
        <v>-0.31369691088278073</v>
      </c>
    </row>
    <row r="937" spans="1:13" x14ac:dyDescent="0.3">
      <c r="A937" s="1">
        <v>45575</v>
      </c>
      <c r="B937" s="5">
        <v>36409780.428136431</v>
      </c>
      <c r="C937" s="5">
        <v>29691966.258541625</v>
      </c>
      <c r="D937" s="5">
        <v>0</v>
      </c>
      <c r="E937" s="5">
        <f t="shared" si="711"/>
        <v>0</v>
      </c>
      <c r="F937" s="5">
        <f t="shared" si="711"/>
        <v>0</v>
      </c>
      <c r="G937" s="9">
        <f t="shared" si="713"/>
        <v>-1.7198678820711244E-3</v>
      </c>
      <c r="H937" s="9">
        <f t="shared" si="713"/>
        <v>-1.7994931625746613E-3</v>
      </c>
      <c r="I937" s="5">
        <f t="shared" si="714"/>
        <v>23665558.862634905</v>
      </c>
      <c r="J937" s="5">
        <f t="shared" si="715"/>
        <v>19009277.749229226</v>
      </c>
      <c r="K937" s="8">
        <f t="shared" ref="K937:L937" si="753">I937/I685-1</f>
        <v>0.69656502430463707</v>
      </c>
      <c r="L937" s="8">
        <f t="shared" si="753"/>
        <v>0.38916788759118259</v>
      </c>
      <c r="M937" s="8">
        <f t="shared" si="707"/>
        <v>-0.30739713671345448</v>
      </c>
    </row>
    <row r="938" spans="1:13" x14ac:dyDescent="0.3">
      <c r="A938" s="1">
        <v>45576</v>
      </c>
      <c r="B938" s="5">
        <v>36458323.555402987</v>
      </c>
      <c r="C938" s="5">
        <v>29921730.512314375</v>
      </c>
      <c r="D938" s="5">
        <v>0</v>
      </c>
      <c r="E938" s="5">
        <f t="shared" si="711"/>
        <v>0</v>
      </c>
      <c r="F938" s="5">
        <f t="shared" si="711"/>
        <v>0</v>
      </c>
      <c r="G938" s="9">
        <f t="shared" si="713"/>
        <v>1.3332441639510861E-3</v>
      </c>
      <c r="H938" s="9">
        <f t="shared" si="713"/>
        <v>7.7382633326499306E-3</v>
      </c>
      <c r="I938" s="5">
        <f t="shared" si="714"/>
        <v>23697110.830875155</v>
      </c>
      <c r="J938" s="5">
        <f t="shared" si="715"/>
        <v>19156376.546216246</v>
      </c>
      <c r="K938" s="8">
        <f t="shared" ref="K938:L938" si="754">I938/I686-1</f>
        <v>0.6882164257525043</v>
      </c>
      <c r="L938" s="8">
        <f t="shared" si="754"/>
        <v>0.38318255004818713</v>
      </c>
      <c r="M938" s="8">
        <f t="shared" si="707"/>
        <v>-0.30503387570431717</v>
      </c>
    </row>
    <row r="939" spans="1:13" x14ac:dyDescent="0.3">
      <c r="A939" s="1">
        <v>45579</v>
      </c>
      <c r="B939" s="5">
        <v>36590485.73922202</v>
      </c>
      <c r="C939" s="5">
        <v>29916469.108974408</v>
      </c>
      <c r="D939" s="5">
        <v>0</v>
      </c>
      <c r="E939" s="5">
        <f t="shared" si="711"/>
        <v>0</v>
      </c>
      <c r="F939" s="5">
        <f t="shared" si="711"/>
        <v>0</v>
      </c>
      <c r="G939" s="9">
        <f t="shared" si="713"/>
        <v>3.6250208712476084E-3</v>
      </c>
      <c r="H939" s="9">
        <f t="shared" si="713"/>
        <v>-1.7583887194627668E-4</v>
      </c>
      <c r="I939" s="5">
        <f t="shared" si="714"/>
        <v>23783013.352225345</v>
      </c>
      <c r="J939" s="5">
        <f t="shared" si="715"/>
        <v>19153008.11057378</v>
      </c>
      <c r="K939" s="8">
        <f t="shared" ref="K939:L939" si="755">I939/I687-1</f>
        <v>0.71506687729041674</v>
      </c>
      <c r="L939" s="8">
        <f t="shared" si="755"/>
        <v>0.37498880205847884</v>
      </c>
      <c r="M939" s="8">
        <f t="shared" si="707"/>
        <v>-0.34007807523193789</v>
      </c>
    </row>
    <row r="940" spans="1:13" x14ac:dyDescent="0.3">
      <c r="A940" s="1">
        <v>45580</v>
      </c>
      <c r="B940" s="5">
        <v>36691153.044127248</v>
      </c>
      <c r="C940" s="5">
        <v>29911207.705634438</v>
      </c>
      <c r="D940" s="5">
        <v>0</v>
      </c>
      <c r="E940" s="5">
        <f t="shared" si="711"/>
        <v>0</v>
      </c>
      <c r="F940" s="5">
        <f t="shared" si="711"/>
        <v>0</v>
      </c>
      <c r="G940" s="9">
        <f t="shared" si="713"/>
        <v>2.751187989759929E-3</v>
      </c>
      <c r="H940" s="9">
        <f t="shared" si="713"/>
        <v>-1.7586979669315106E-4</v>
      </c>
      <c r="I940" s="5">
        <f t="shared" si="714"/>
        <v>23848444.892920285</v>
      </c>
      <c r="J940" s="5">
        <f t="shared" si="715"/>
        <v>19149639.67493131</v>
      </c>
      <c r="K940" s="8">
        <f t="shared" ref="K940:L940" si="756">I940/I688-1</f>
        <v>0.69689199563326665</v>
      </c>
      <c r="L940" s="8">
        <f t="shared" si="756"/>
        <v>0.36688872740250877</v>
      </c>
      <c r="M940" s="8">
        <f t="shared" si="707"/>
        <v>-0.33000326823075787</v>
      </c>
    </row>
    <row r="941" spans="1:13" x14ac:dyDescent="0.3">
      <c r="A941" s="1">
        <v>45581</v>
      </c>
      <c r="B941" s="5">
        <v>36612958.275650308</v>
      </c>
      <c r="C941" s="5">
        <v>30040836.998136383</v>
      </c>
      <c r="D941" s="5">
        <v>0</v>
      </c>
      <c r="E941" s="5">
        <f t="shared" si="711"/>
        <v>0</v>
      </c>
      <c r="F941" s="5">
        <f t="shared" si="711"/>
        <v>0</v>
      </c>
      <c r="G941" s="9">
        <f t="shared" si="713"/>
        <v>-2.1311613833149279E-3</v>
      </c>
      <c r="H941" s="9">
        <f t="shared" si="713"/>
        <v>4.3338033615247795E-3</v>
      </c>
      <c r="I941" s="5">
        <f t="shared" si="714"/>
        <v>23797620.008112378</v>
      </c>
      <c r="J941" s="5">
        <f t="shared" si="715"/>
        <v>19232630.447726514</v>
      </c>
      <c r="K941" s="8">
        <f t="shared" ref="K941:L941" si="757">I941/I689-1</f>
        <v>0.68463423538117696</v>
      </c>
      <c r="L941" s="8">
        <f t="shared" si="757"/>
        <v>0.36802857566438263</v>
      </c>
      <c r="M941" s="8">
        <f t="shared" si="707"/>
        <v>-0.31660565971679433</v>
      </c>
    </row>
    <row r="942" spans="1:13" x14ac:dyDescent="0.3">
      <c r="A942" s="1">
        <v>45582</v>
      </c>
      <c r="B942" s="5">
        <v>35795091.26131738</v>
      </c>
      <c r="C942" s="5">
        <v>30046724.625890885</v>
      </c>
      <c r="D942" s="5">
        <v>0</v>
      </c>
      <c r="E942" s="5">
        <f t="shared" si="711"/>
        <v>0</v>
      </c>
      <c r="F942" s="5">
        <f t="shared" si="711"/>
        <v>0</v>
      </c>
      <c r="G942" s="9">
        <f t="shared" si="713"/>
        <v>-2.2338184425727103E-2</v>
      </c>
      <c r="H942" s="9">
        <f t="shared" si="713"/>
        <v>1.9598747381333048E-4</v>
      </c>
      <c r="I942" s="5">
        <f t="shared" si="714"/>
        <v>23266024.383477792</v>
      </c>
      <c r="J942" s="5">
        <f t="shared" si="715"/>
        <v>19236399.802382749</v>
      </c>
      <c r="K942" s="8">
        <f t="shared" ref="K942:L942" si="758">I942/I690-1</f>
        <v>0.64319020443031438</v>
      </c>
      <c r="L942" s="8">
        <f t="shared" si="758"/>
        <v>0.37509519622487408</v>
      </c>
      <c r="M942" s="8">
        <f t="shared" si="707"/>
        <v>-0.2680950082054403</v>
      </c>
    </row>
    <row r="943" spans="1:13" x14ac:dyDescent="0.3">
      <c r="A943" s="1">
        <v>45583</v>
      </c>
      <c r="B943" s="5">
        <v>35930956.924581088</v>
      </c>
      <c r="C943" s="5">
        <v>30164179.165255085</v>
      </c>
      <c r="D943" s="5">
        <v>0</v>
      </c>
      <c r="E943" s="5">
        <f t="shared" si="711"/>
        <v>0</v>
      </c>
      <c r="F943" s="5">
        <f t="shared" si="711"/>
        <v>0</v>
      </c>
      <c r="G943" s="9">
        <f t="shared" si="713"/>
        <v>3.7956507017076202E-3</v>
      </c>
      <c r="H943" s="9">
        <f t="shared" si="713"/>
        <v>3.9090629952720501E-3</v>
      </c>
      <c r="I943" s="5">
        <f t="shared" si="714"/>
        <v>23354334.085254885</v>
      </c>
      <c r="J943" s="5">
        <f t="shared" si="715"/>
        <v>19311596.101012502</v>
      </c>
      <c r="K943" s="8">
        <f t="shared" ref="K943:L943" si="759">I943/I691-1</f>
        <v>0.65131115001094253</v>
      </c>
      <c r="L943" s="8">
        <f t="shared" si="759"/>
        <v>0.38776226612590259</v>
      </c>
      <c r="M943" s="8">
        <f t="shared" si="707"/>
        <v>-0.26354888388503994</v>
      </c>
    </row>
    <row r="944" spans="1:13" x14ac:dyDescent="0.3">
      <c r="A944" s="1">
        <v>45586</v>
      </c>
      <c r="B944" s="5">
        <v>35445947.352054335</v>
      </c>
      <c r="C944" s="5">
        <v>30124692.640709542</v>
      </c>
      <c r="D944" s="5">
        <v>0</v>
      </c>
      <c r="E944" s="5">
        <f t="shared" si="711"/>
        <v>0</v>
      </c>
      <c r="F944" s="5">
        <f t="shared" si="711"/>
        <v>0</v>
      </c>
      <c r="G944" s="9">
        <f t="shared" si="713"/>
        <v>-1.3498376164731263E-2</v>
      </c>
      <c r="H944" s="9">
        <f t="shared" si="713"/>
        <v>-1.3090535077787679E-3</v>
      </c>
      <c r="I944" s="5">
        <f t="shared" si="714"/>
        <v>23039088.49869531</v>
      </c>
      <c r="J944" s="5">
        <f t="shared" si="715"/>
        <v>19286316.188395664</v>
      </c>
      <c r="K944" s="8">
        <f t="shared" ref="K944:L944" si="760">I944/I692-1</f>
        <v>0.62431715598399351</v>
      </c>
      <c r="L944" s="8">
        <f t="shared" si="760"/>
        <v>0.3710449961280724</v>
      </c>
      <c r="M944" s="8">
        <f t="shared" si="707"/>
        <v>-0.25327215985592111</v>
      </c>
    </row>
    <row r="945" spans="1:13" x14ac:dyDescent="0.3">
      <c r="A945" s="1">
        <v>45587</v>
      </c>
      <c r="B945" s="5">
        <v>34417335.693362355</v>
      </c>
      <c r="C945" s="5">
        <v>30106938.61942856</v>
      </c>
      <c r="D945" s="5">
        <v>0</v>
      </c>
      <c r="E945" s="5">
        <f t="shared" si="711"/>
        <v>0</v>
      </c>
      <c r="F945" s="5">
        <f t="shared" si="711"/>
        <v>0</v>
      </c>
      <c r="G945" s="9">
        <f t="shared" si="713"/>
        <v>-2.9019161160390494E-2</v>
      </c>
      <c r="H945" s="9">
        <f t="shared" si="713"/>
        <v>-5.8935111779334637E-4</v>
      </c>
      <c r="I945" s="5">
        <f t="shared" si="714"/>
        <v>22370513.476563171</v>
      </c>
      <c r="J945" s="5">
        <f t="shared" si="715"/>
        <v>19274949.776391916</v>
      </c>
      <c r="K945" s="8">
        <f t="shared" ref="K945:L945" si="761">I945/I693-1</f>
        <v>0.57146142371146658</v>
      </c>
      <c r="L945" s="8">
        <f t="shared" si="761"/>
        <v>0.37136293485440142</v>
      </c>
      <c r="M945" s="8">
        <f t="shared" si="707"/>
        <v>-0.20009848885706516</v>
      </c>
    </row>
    <row r="946" spans="1:13" x14ac:dyDescent="0.3">
      <c r="A946" s="1">
        <v>45588</v>
      </c>
      <c r="B946" s="5">
        <v>34284833.428786241</v>
      </c>
      <c r="C946" s="5">
        <v>29830717.46016046</v>
      </c>
      <c r="D946" s="5">
        <v>0</v>
      </c>
      <c r="E946" s="5">
        <f t="shared" si="711"/>
        <v>0</v>
      </c>
      <c r="F946" s="5">
        <f t="shared" si="711"/>
        <v>0</v>
      </c>
      <c r="G946" s="9">
        <f t="shared" si="713"/>
        <v>-3.8498698957011301E-3</v>
      </c>
      <c r="H946" s="9">
        <f t="shared" si="713"/>
        <v>-9.1746677654515052E-3</v>
      </c>
      <c r="I946" s="5">
        <f t="shared" si="714"/>
        <v>22284389.910178374</v>
      </c>
      <c r="J946" s="5">
        <f t="shared" si="715"/>
        <v>19098108.515997756</v>
      </c>
      <c r="K946" s="8">
        <f t="shared" ref="K946:L946" si="762">I946/I694-1</f>
        <v>0.58159637788704011</v>
      </c>
      <c r="L946" s="8">
        <f t="shared" si="762"/>
        <v>0.37673873110053058</v>
      </c>
      <c r="M946" s="8">
        <f t="shared" si="707"/>
        <v>-0.20485764678650953</v>
      </c>
    </row>
    <row r="947" spans="1:13" x14ac:dyDescent="0.3">
      <c r="A947" s="1">
        <v>45589</v>
      </c>
      <c r="B947" s="5">
        <v>34256562.515449621</v>
      </c>
      <c r="C947" s="5">
        <v>29891152.030065577</v>
      </c>
      <c r="D947" s="5">
        <v>0</v>
      </c>
      <c r="E947" s="5">
        <f t="shared" si="711"/>
        <v>0</v>
      </c>
      <c r="F947" s="5">
        <f t="shared" si="711"/>
        <v>0</v>
      </c>
      <c r="G947" s="9">
        <f t="shared" si="713"/>
        <v>-8.2458949072461429E-4</v>
      </c>
      <c r="H947" s="9">
        <f t="shared" si="713"/>
        <v>2.0259174116690204E-3</v>
      </c>
      <c r="I947" s="5">
        <f t="shared" si="714"/>
        <v>22266014.43645123</v>
      </c>
      <c r="J947" s="5">
        <f t="shared" si="715"/>
        <v>19136799.70657026</v>
      </c>
      <c r="K947" s="8">
        <f t="shared" ref="K947:L947" si="763">I947/I695-1</f>
        <v>0.58541394248415379</v>
      </c>
      <c r="L947" s="8">
        <f t="shared" si="763"/>
        <v>0.39372329848204712</v>
      </c>
      <c r="M947" s="8">
        <f t="shared" si="707"/>
        <v>-0.19169064400210667</v>
      </c>
    </row>
    <row r="948" spans="1:13" x14ac:dyDescent="0.3">
      <c r="A948" s="1">
        <v>45590</v>
      </c>
      <c r="B948" s="5">
        <v>33723152.649574287</v>
      </c>
      <c r="C948" s="5">
        <v>29885989.872112736</v>
      </c>
      <c r="D948" s="5">
        <v>0</v>
      </c>
      <c r="E948" s="5">
        <f t="shared" si="711"/>
        <v>0</v>
      </c>
      <c r="F948" s="5">
        <f t="shared" si="711"/>
        <v>0</v>
      </c>
      <c r="G948" s="9">
        <f t="shared" si="713"/>
        <v>-1.5571027175735108E-2</v>
      </c>
      <c r="H948" s="9">
        <f t="shared" si="713"/>
        <v>-1.7269852790047224E-4</v>
      </c>
      <c r="I948" s="5">
        <f t="shared" si="714"/>
        <v>21919309.720565937</v>
      </c>
      <c r="J948" s="5">
        <f t="shared" si="715"/>
        <v>19133494.809432209</v>
      </c>
      <c r="K948" s="8">
        <f t="shared" ref="K948:L948" si="764">I948/I696-1</f>
        <v>0.57568199257399355</v>
      </c>
      <c r="L948" s="8">
        <f t="shared" si="764"/>
        <v>0.41051903853079508</v>
      </c>
      <c r="M948" s="8">
        <f t="shared" si="707"/>
        <v>-0.16516295404319847</v>
      </c>
    </row>
    <row r="949" spans="1:13" x14ac:dyDescent="0.3">
      <c r="A949" s="1">
        <v>45593</v>
      </c>
      <c r="B949" s="5">
        <v>33877433.685834236</v>
      </c>
      <c r="C949" s="5">
        <v>29962043.709000003</v>
      </c>
      <c r="D949" s="5">
        <v>0</v>
      </c>
      <c r="E949" s="5">
        <f t="shared" si="711"/>
        <v>0</v>
      </c>
      <c r="F949" s="5">
        <f t="shared" si="711"/>
        <v>0</v>
      </c>
      <c r="G949" s="9">
        <f t="shared" si="713"/>
        <v>4.574929214451684E-3</v>
      </c>
      <c r="H949" s="9">
        <f t="shared" si="713"/>
        <v>2.5447989915245994E-3</v>
      </c>
      <c r="I949" s="5">
        <f t="shared" si="714"/>
        <v>22019589.010967169</v>
      </c>
      <c r="J949" s="5">
        <f t="shared" si="715"/>
        <v>19182185.707727592</v>
      </c>
      <c r="K949" s="8">
        <f t="shared" ref="K949:L949" si="765">I949/I697-1</f>
        <v>0.61415763695107062</v>
      </c>
      <c r="L949" s="8">
        <f t="shared" si="765"/>
        <v>0.41564238413115406</v>
      </c>
      <c r="M949" s="8">
        <f t="shared" si="707"/>
        <v>-0.19851525281991655</v>
      </c>
    </row>
    <row r="950" spans="1:13" x14ac:dyDescent="0.3">
      <c r="A950" s="1">
        <v>45594</v>
      </c>
      <c r="B950" s="5">
        <v>34123104.623946086</v>
      </c>
      <c r="C950" s="5">
        <v>30006830.775911421</v>
      </c>
      <c r="D950" s="5">
        <v>0</v>
      </c>
      <c r="E950" s="5">
        <f t="shared" si="711"/>
        <v>0</v>
      </c>
      <c r="F950" s="5">
        <f t="shared" si="711"/>
        <v>0</v>
      </c>
      <c r="G950" s="9">
        <f t="shared" si="713"/>
        <v>7.2517576269237605E-3</v>
      </c>
      <c r="H950" s="9">
        <f t="shared" si="713"/>
        <v>1.4947934575626487E-3</v>
      </c>
      <c r="I950" s="5">
        <f t="shared" si="714"/>
        <v>22179269.733519178</v>
      </c>
      <c r="J950" s="5">
        <f t="shared" si="715"/>
        <v>19210859.113425255</v>
      </c>
      <c r="K950" s="8">
        <f t="shared" ref="K950:L950" si="766">I950/I698-1</f>
        <v>0.63582643371681158</v>
      </c>
      <c r="L950" s="8">
        <f t="shared" si="766"/>
        <v>0.42814351932529271</v>
      </c>
      <c r="M950" s="8">
        <f t="shared" si="707"/>
        <v>-0.20768291439151887</v>
      </c>
    </row>
    <row r="951" spans="1:13" x14ac:dyDescent="0.3">
      <c r="A951" s="1">
        <v>45595</v>
      </c>
      <c r="B951" s="5">
        <v>33992489.807571799</v>
      </c>
      <c r="C951" s="5">
        <v>29918665.367456805</v>
      </c>
      <c r="D951" s="5">
        <v>0</v>
      </c>
      <c r="E951" s="5">
        <f t="shared" si="711"/>
        <v>0</v>
      </c>
      <c r="F951" s="5">
        <f t="shared" si="711"/>
        <v>0</v>
      </c>
      <c r="G951" s="9">
        <f t="shared" si="713"/>
        <v>-3.8277530082250211E-3</v>
      </c>
      <c r="H951" s="9">
        <f t="shared" si="713"/>
        <v>-2.9381779473156566E-3</v>
      </c>
      <c r="I951" s="5">
        <f t="shared" si="714"/>
        <v>22094372.967076465</v>
      </c>
      <c r="J951" s="5">
        <f t="shared" si="715"/>
        <v>19154414.190829203</v>
      </c>
      <c r="K951" s="8">
        <f t="shared" ref="K951:L951" si="767">I951/I699-1</f>
        <v>0.64564142187365592</v>
      </c>
      <c r="L951" s="8">
        <f t="shared" si="767"/>
        <v>0.4399365054044091</v>
      </c>
      <c r="M951" s="8">
        <f t="shared" si="707"/>
        <v>-0.20570491646924682</v>
      </c>
    </row>
    <row r="952" spans="1:13" x14ac:dyDescent="0.3">
      <c r="A952" s="1">
        <v>45596</v>
      </c>
      <c r="B952" s="5">
        <v>33823401.655148298</v>
      </c>
      <c r="C952" s="5">
        <v>29360525.525006231</v>
      </c>
      <c r="D952" s="5">
        <v>0</v>
      </c>
      <c r="E952" s="5">
        <f t="shared" si="711"/>
        <v>0</v>
      </c>
      <c r="F952" s="5">
        <f t="shared" si="711"/>
        <v>0</v>
      </c>
      <c r="G952" s="9">
        <f t="shared" si="713"/>
        <v>-4.9742797123921711E-3</v>
      </c>
      <c r="H952" s="9">
        <f t="shared" si="713"/>
        <v>-1.865523864769969E-2</v>
      </c>
      <c r="I952" s="5">
        <f t="shared" si="714"/>
        <v>21984469.375868309</v>
      </c>
      <c r="J952" s="5">
        <f t="shared" si="715"/>
        <v>18797084.022942398</v>
      </c>
      <c r="K952" s="8">
        <f t="shared" ref="K952:L952" si="768">I952/I700-1</f>
        <v>0.60581187274594739</v>
      </c>
      <c r="L952" s="8">
        <f t="shared" si="768"/>
        <v>0.41935132923391327</v>
      </c>
      <c r="M952" s="8">
        <f t="shared" si="707"/>
        <v>-0.18646054351203412</v>
      </c>
    </row>
    <row r="953" spans="1:13" x14ac:dyDescent="0.3">
      <c r="A953" s="1">
        <v>45597</v>
      </c>
      <c r="B953" s="5">
        <v>34059975.433008082</v>
      </c>
      <c r="C953" s="5">
        <v>29471405.826275706</v>
      </c>
      <c r="D953" s="5">
        <v>0</v>
      </c>
      <c r="E953" s="5">
        <f t="shared" si="711"/>
        <v>0</v>
      </c>
      <c r="F953" s="5">
        <f t="shared" si="711"/>
        <v>0</v>
      </c>
      <c r="G953" s="9">
        <f t="shared" si="713"/>
        <v>6.9943815903501516E-3</v>
      </c>
      <c r="H953" s="9">
        <f t="shared" si="713"/>
        <v>3.7765094216395401E-3</v>
      </c>
      <c r="I953" s="5">
        <f t="shared" si="714"/>
        <v>22138237.143744498</v>
      </c>
      <c r="J953" s="5">
        <f t="shared" si="715"/>
        <v>18868071.38785439</v>
      </c>
      <c r="K953" s="8">
        <f t="shared" ref="K953:L953" si="769">I953/I701-1</f>
        <v>0.61449753600082668</v>
      </c>
      <c r="L953" s="8">
        <f t="shared" si="769"/>
        <v>0.4080167563870738</v>
      </c>
      <c r="M953" s="8">
        <f t="shared" si="707"/>
        <v>-0.20648077961375289</v>
      </c>
    </row>
    <row r="954" spans="1:13" x14ac:dyDescent="0.3">
      <c r="A954" s="1">
        <v>45600</v>
      </c>
      <c r="B954" s="5">
        <v>33584630.955597728</v>
      </c>
      <c r="C954" s="5">
        <v>29417940.239498045</v>
      </c>
      <c r="D954" s="5">
        <v>0</v>
      </c>
      <c r="E954" s="5">
        <f t="shared" si="711"/>
        <v>0</v>
      </c>
      <c r="F954" s="5">
        <f t="shared" si="711"/>
        <v>0</v>
      </c>
      <c r="G954" s="9">
        <f t="shared" si="713"/>
        <v>-1.3956101593358472E-2</v>
      </c>
      <c r="H954" s="9">
        <f t="shared" si="713"/>
        <v>-1.8141512180593899E-3</v>
      </c>
      <c r="I954" s="5">
        <f t="shared" si="714"/>
        <v>21829273.657068539</v>
      </c>
      <c r="J954" s="5">
        <f t="shared" si="715"/>
        <v>18833841.853163682</v>
      </c>
      <c r="K954" s="8">
        <f t="shared" ref="K954:L954" si="770">I954/I702-1</f>
        <v>0.58789774474970558</v>
      </c>
      <c r="L954" s="8">
        <f t="shared" si="770"/>
        <v>0.39615764900652928</v>
      </c>
      <c r="M954" s="8">
        <f t="shared" si="707"/>
        <v>-0.1917400957431763</v>
      </c>
    </row>
    <row r="955" spans="1:13" x14ac:dyDescent="0.3">
      <c r="A955" s="1">
        <v>45601</v>
      </c>
      <c r="B955" s="5">
        <v>33768087.520008147</v>
      </c>
      <c r="C955" s="5">
        <v>29775553.798787314</v>
      </c>
      <c r="D955" s="5">
        <v>0</v>
      </c>
      <c r="E955" s="5">
        <f t="shared" si="711"/>
        <v>0</v>
      </c>
      <c r="F955" s="5">
        <f t="shared" si="711"/>
        <v>0</v>
      </c>
      <c r="G955" s="9">
        <f t="shared" si="713"/>
        <v>5.4625154182270652E-3</v>
      </c>
      <c r="H955" s="9">
        <f t="shared" si="713"/>
        <v>1.2156308578298081E-2</v>
      </c>
      <c r="I955" s="5">
        <f t="shared" si="714"/>
        <v>21948516.400988974</v>
      </c>
      <c r="J955" s="5">
        <f t="shared" si="715"/>
        <v>19062791.846445605</v>
      </c>
      <c r="K955" s="8">
        <f t="shared" ref="K955:L955" si="771">I955/I703-1</f>
        <v>0.60517591341835852</v>
      </c>
      <c r="L955" s="8">
        <f t="shared" si="771"/>
        <v>0.39876821061278478</v>
      </c>
      <c r="M955" s="8">
        <f t="shared" si="707"/>
        <v>-0.20640770280557375</v>
      </c>
    </row>
    <row r="956" spans="1:13" x14ac:dyDescent="0.3">
      <c r="A956" s="1">
        <v>45602</v>
      </c>
      <c r="B956" s="5">
        <v>34538472.459036626</v>
      </c>
      <c r="C956" s="5">
        <v>30605113.28072045</v>
      </c>
      <c r="D956" s="5">
        <v>0</v>
      </c>
      <c r="E956" s="5">
        <f t="shared" si="711"/>
        <v>0</v>
      </c>
      <c r="F956" s="5">
        <f t="shared" si="711"/>
        <v>0</v>
      </c>
      <c r="G956" s="9">
        <f t="shared" si="713"/>
        <v>2.2813993791386933E-2</v>
      </c>
      <c r="H956" s="9">
        <f t="shared" si="713"/>
        <v>2.786042159077895E-2</v>
      </c>
      <c r="I956" s="5">
        <f t="shared" si="714"/>
        <v>22449249.717891291</v>
      </c>
      <c r="J956" s="5">
        <f t="shared" si="715"/>
        <v>19593889.263984844</v>
      </c>
      <c r="K956" s="8">
        <f t="shared" ref="K956:L956" si="772">I956/I704-1</f>
        <v>0.61712445026161489</v>
      </c>
      <c r="L956" s="8">
        <f t="shared" si="772"/>
        <v>0.4113746024338083</v>
      </c>
      <c r="M956" s="8">
        <f t="shared" si="707"/>
        <v>-0.20574984782780659</v>
      </c>
    </row>
    <row r="957" spans="1:13" x14ac:dyDescent="0.3">
      <c r="A957" s="1">
        <v>45603</v>
      </c>
      <c r="B957" s="5">
        <v>34175674.307376549</v>
      </c>
      <c r="C957" s="5">
        <v>30855214.451919656</v>
      </c>
      <c r="D957" s="5">
        <v>0</v>
      </c>
      <c r="E957" s="5">
        <f t="shared" si="711"/>
        <v>0</v>
      </c>
      <c r="F957" s="5">
        <f t="shared" si="711"/>
        <v>0</v>
      </c>
      <c r="G957" s="9">
        <f t="shared" si="713"/>
        <v>-1.0504174789153331E-2</v>
      </c>
      <c r="H957" s="9">
        <f t="shared" si="713"/>
        <v>8.1718753629562713E-3</v>
      </c>
      <c r="I957" s="5">
        <f t="shared" si="714"/>
        <v>22213438.87496921</v>
      </c>
      <c r="J957" s="5">
        <f t="shared" si="715"/>
        <v>19754008.084925696</v>
      </c>
      <c r="K957" s="8">
        <f t="shared" ref="K957:L957" si="773">I957/I705-1</f>
        <v>0.58467083325580416</v>
      </c>
      <c r="L957" s="8">
        <f t="shared" si="773"/>
        <v>0.41095581020605199</v>
      </c>
      <c r="M957" s="8">
        <f t="shared" si="707"/>
        <v>-0.17371502304975217</v>
      </c>
    </row>
    <row r="958" spans="1:13" x14ac:dyDescent="0.3">
      <c r="A958" s="1">
        <v>45604</v>
      </c>
      <c r="B958" s="5">
        <v>33768839.098481305</v>
      </c>
      <c r="C958" s="5">
        <v>30966709.515460368</v>
      </c>
      <c r="D958" s="5">
        <v>0</v>
      </c>
      <c r="E958" s="5">
        <f t="shared" si="711"/>
        <v>0</v>
      </c>
      <c r="F958" s="5">
        <f t="shared" si="711"/>
        <v>0</v>
      </c>
      <c r="G958" s="9">
        <f t="shared" si="713"/>
        <v>-1.1904233556188526E-2</v>
      </c>
      <c r="H958" s="9">
        <f t="shared" si="713"/>
        <v>3.6134917718511073E-3</v>
      </c>
      <c r="I958" s="5">
        <f t="shared" si="714"/>
        <v>21949004.910515461</v>
      </c>
      <c r="J958" s="5">
        <f t="shared" si="715"/>
        <v>19825389.030601654</v>
      </c>
      <c r="K958" s="8">
        <f t="shared" ref="K958:L958" si="774">I958/I706-1</f>
        <v>0.55297754359788986</v>
      </c>
      <c r="L958" s="8">
        <f t="shared" si="774"/>
        <v>0.41268370580503011</v>
      </c>
      <c r="M958" s="8">
        <f t="shared" si="707"/>
        <v>-0.14029383779285975</v>
      </c>
    </row>
    <row r="959" spans="1:13" x14ac:dyDescent="0.3">
      <c r="A959" s="1">
        <v>45607</v>
      </c>
      <c r="B959" s="5">
        <v>33865435.636724211</v>
      </c>
      <c r="C959" s="5">
        <v>30945131.890912611</v>
      </c>
      <c r="D959" s="5">
        <v>0</v>
      </c>
      <c r="E959" s="5">
        <f t="shared" si="711"/>
        <v>0</v>
      </c>
      <c r="F959" s="5">
        <f t="shared" si="711"/>
        <v>0</v>
      </c>
      <c r="G959" s="9">
        <f t="shared" si="713"/>
        <v>2.860522920589581E-3</v>
      </c>
      <c r="H959" s="9">
        <f t="shared" si="713"/>
        <v>-6.9680068968858144E-4</v>
      </c>
      <c r="I959" s="5">
        <f t="shared" si="714"/>
        <v>22011790.542146124</v>
      </c>
      <c r="J959" s="5">
        <f t="shared" si="715"/>
        <v>19811574.685851786</v>
      </c>
      <c r="K959" s="8">
        <f t="shared" ref="K959:L959" si="775">I959/I707-1</f>
        <v>0.54474699056838083</v>
      </c>
      <c r="L959" s="8">
        <f t="shared" si="775"/>
        <v>0.40716839519994164</v>
      </c>
      <c r="M959" s="8">
        <f t="shared" ref="M959:M1022" si="776">L959-K959</f>
        <v>-0.13757859536843919</v>
      </c>
    </row>
    <row r="960" spans="1:13" x14ac:dyDescent="0.3">
      <c r="A960" s="1">
        <v>45608</v>
      </c>
      <c r="B960" s="5">
        <v>33128052.13436342</v>
      </c>
      <c r="C960" s="5">
        <v>30923554.266364854</v>
      </c>
      <c r="D960" s="5">
        <v>0</v>
      </c>
      <c r="E960" s="5">
        <f t="shared" si="711"/>
        <v>0</v>
      </c>
      <c r="F960" s="5">
        <f t="shared" si="711"/>
        <v>0</v>
      </c>
      <c r="G960" s="9">
        <f t="shared" si="713"/>
        <v>-2.1773926379413222E-2</v>
      </c>
      <c r="H960" s="9">
        <f t="shared" si="713"/>
        <v>-6.972865594440103E-4</v>
      </c>
      <c r="I960" s="5">
        <f t="shared" si="714"/>
        <v>21532507.435402371</v>
      </c>
      <c r="J960" s="5">
        <f t="shared" si="715"/>
        <v>19797760.341101922</v>
      </c>
      <c r="K960" s="8">
        <f t="shared" ref="K960:L960" si="777">I960/I708-1</f>
        <v>0.50118260981057761</v>
      </c>
      <c r="L960" s="8">
        <f t="shared" si="777"/>
        <v>0.40369351299360412</v>
      </c>
      <c r="M960" s="8">
        <f t="shared" si="776"/>
        <v>-9.7489096816973486E-2</v>
      </c>
    </row>
    <row r="961" spans="1:13" x14ac:dyDescent="0.3">
      <c r="A961" s="1">
        <v>45609</v>
      </c>
      <c r="B961" s="5">
        <v>32475896.270536128</v>
      </c>
      <c r="C961" s="5">
        <v>30935759.492029913</v>
      </c>
      <c r="D961" s="5">
        <v>0</v>
      </c>
      <c r="E961" s="5">
        <f t="shared" si="711"/>
        <v>0</v>
      </c>
      <c r="F961" s="5">
        <f t="shared" si="711"/>
        <v>0</v>
      </c>
      <c r="G961" s="9">
        <f t="shared" si="713"/>
        <v>-1.9685910333098522E-2</v>
      </c>
      <c r="H961" s="9">
        <f t="shared" si="713"/>
        <v>3.9469025972649341E-4</v>
      </c>
      <c r="I961" s="5">
        <f t="shared" si="714"/>
        <v>21108620.424782261</v>
      </c>
      <c r="J961" s="5">
        <f t="shared" si="715"/>
        <v>19805574.324272953</v>
      </c>
      <c r="K961" s="8">
        <f t="shared" ref="K961:L961" si="778">I961/I709-1</f>
        <v>0.47898362898140023</v>
      </c>
      <c r="L961" s="8">
        <f t="shared" si="778"/>
        <v>0.41592564726082037</v>
      </c>
      <c r="M961" s="8">
        <f t="shared" si="776"/>
        <v>-6.3057981720579859E-2</v>
      </c>
    </row>
    <row r="962" spans="1:13" x14ac:dyDescent="0.3">
      <c r="A962" s="1">
        <v>45610</v>
      </c>
      <c r="B962" s="5">
        <v>32626783.300840348</v>
      </c>
      <c r="C962" s="5">
        <v>30763189.655946013</v>
      </c>
      <c r="D962" s="5">
        <v>0</v>
      </c>
      <c r="E962" s="5">
        <f t="shared" si="711"/>
        <v>0</v>
      </c>
      <c r="F962" s="5">
        <f t="shared" si="711"/>
        <v>0</v>
      </c>
      <c r="G962" s="9">
        <f t="shared" si="713"/>
        <v>4.6461236680668261E-3</v>
      </c>
      <c r="H962" s="9">
        <f t="shared" si="713"/>
        <v>-5.5783287340451793E-3</v>
      </c>
      <c r="I962" s="5">
        <f t="shared" si="714"/>
        <v>21206693.685738079</v>
      </c>
      <c r="J962" s="5">
        <f t="shared" si="715"/>
        <v>19695092.319925595</v>
      </c>
      <c r="K962" s="8">
        <f t="shared" ref="K962:L962" si="779">I962/I710-1</f>
        <v>0.48360796689922858</v>
      </c>
      <c r="L962" s="8">
        <f t="shared" si="779"/>
        <v>0.39696524587436843</v>
      </c>
      <c r="M962" s="8">
        <f t="shared" si="776"/>
        <v>-8.6642721024860148E-2</v>
      </c>
    </row>
    <row r="963" spans="1:13" x14ac:dyDescent="0.3">
      <c r="A963" s="1">
        <v>45614</v>
      </c>
      <c r="B963" s="5">
        <v>32657424.577053864</v>
      </c>
      <c r="C963" s="5">
        <v>30466668.202197123</v>
      </c>
      <c r="D963" s="5">
        <v>0</v>
      </c>
      <c r="E963" s="5">
        <f t="shared" ref="E963:F1026" si="780">$D963*-1</f>
        <v>0</v>
      </c>
      <c r="F963" s="5">
        <f t="shared" si="780"/>
        <v>0</v>
      </c>
      <c r="G963" s="9">
        <f t="shared" si="713"/>
        <v>9.3914487159163507E-4</v>
      </c>
      <c r="H963" s="9">
        <f t="shared" si="713"/>
        <v>-9.6388396998221548E-3</v>
      </c>
      <c r="I963" s="5">
        <f t="shared" si="714"/>
        <v>21226609.843356457</v>
      </c>
      <c r="J963" s="5">
        <f t="shared" si="715"/>
        <v>19505254.482180633</v>
      </c>
      <c r="K963" s="8">
        <f t="shared" ref="K963:L963" si="781">I963/I711-1</f>
        <v>0.47793018694127642</v>
      </c>
      <c r="L963" s="8">
        <f t="shared" si="781"/>
        <v>0.37271563744062086</v>
      </c>
      <c r="M963" s="8">
        <f t="shared" si="776"/>
        <v>-0.10521454950065556</v>
      </c>
    </row>
    <row r="964" spans="1:13" x14ac:dyDescent="0.3">
      <c r="A964" s="1">
        <v>45615</v>
      </c>
      <c r="B964" s="5">
        <v>32806033.066285603</v>
      </c>
      <c r="C964" s="5">
        <v>30584184.804873835</v>
      </c>
      <c r="D964" s="5">
        <v>0</v>
      </c>
      <c r="E964" s="5">
        <f t="shared" si="780"/>
        <v>0</v>
      </c>
      <c r="F964" s="5">
        <f t="shared" si="780"/>
        <v>0</v>
      </c>
      <c r="G964" s="9">
        <f t="shared" ref="G964:H1027" si="782">((B964-$D964)/B963-1)</f>
        <v>4.5505269064038956E-3</v>
      </c>
      <c r="H964" s="9">
        <f t="shared" si="782"/>
        <v>3.857218711832644E-3</v>
      </c>
      <c r="I964" s="5">
        <f t="shared" ref="I964:I1027" si="783">I963*(1+G964)</f>
        <v>21323202.102580387</v>
      </c>
      <c r="J964" s="5">
        <f t="shared" ref="J964:J1027" si="784">J963*(1+H964)</f>
        <v>19580490.514748357</v>
      </c>
      <c r="K964" s="8">
        <f t="shared" ref="K964:L964" si="785">I964/I712-1</f>
        <v>0.48324386858576607</v>
      </c>
      <c r="L964" s="8">
        <f t="shared" si="785"/>
        <v>0.37801050188338214</v>
      </c>
      <c r="M964" s="8">
        <f t="shared" si="776"/>
        <v>-0.10523336670238392</v>
      </c>
    </row>
    <row r="965" spans="1:13" x14ac:dyDescent="0.3">
      <c r="A965" s="1">
        <v>45617</v>
      </c>
      <c r="B965" s="5">
        <v>32317122.767475061</v>
      </c>
      <c r="C965" s="5">
        <v>30797547.84983968</v>
      </c>
      <c r="D965" s="5">
        <v>0</v>
      </c>
      <c r="E965" s="5">
        <f t="shared" si="780"/>
        <v>0</v>
      </c>
      <c r="F965" s="5">
        <f t="shared" si="780"/>
        <v>0</v>
      </c>
      <c r="G965" s="9">
        <f t="shared" si="782"/>
        <v>-1.4903060599331885E-2</v>
      </c>
      <c r="H965" s="9">
        <f t="shared" si="782"/>
        <v>6.9762541106488385E-3</v>
      </c>
      <c r="I965" s="5">
        <f t="shared" si="783"/>
        <v>21005421.129473832</v>
      </c>
      <c r="J965" s="5">
        <f t="shared" si="784"/>
        <v>19717088.992190391</v>
      </c>
      <c r="K965" s="8">
        <f t="shared" ref="K965:L965" si="786">I965/I713-1</f>
        <v>0.44732684562071912</v>
      </c>
      <c r="L965" s="8">
        <f t="shared" si="786"/>
        <v>0.36238182163446298</v>
      </c>
      <c r="M965" s="8">
        <f t="shared" si="776"/>
        <v>-8.4945023986256141E-2</v>
      </c>
    </row>
    <row r="966" spans="1:13" x14ac:dyDescent="0.3">
      <c r="A966" s="1">
        <v>45618</v>
      </c>
      <c r="B966" s="5">
        <v>32922861.008767594</v>
      </c>
      <c r="C966" s="5">
        <v>30891035.886253361</v>
      </c>
      <c r="D966" s="5">
        <v>0</v>
      </c>
      <c r="E966" s="5">
        <f t="shared" si="780"/>
        <v>0</v>
      </c>
      <c r="F966" s="5">
        <f t="shared" si="780"/>
        <v>0</v>
      </c>
      <c r="G966" s="9">
        <f t="shared" si="782"/>
        <v>1.8743569644206204E-2</v>
      </c>
      <c r="H966" s="9">
        <f t="shared" si="782"/>
        <v>3.0355675351005917E-3</v>
      </c>
      <c r="I966" s="5">
        <f t="shared" si="783"/>
        <v>21399137.703320004</v>
      </c>
      <c r="J966" s="5">
        <f t="shared" si="784"/>
        <v>19776941.547421772</v>
      </c>
      <c r="K966" s="8">
        <f t="shared" ref="K966:L966" si="787">I966/I714-1</f>
        <v>0.4692010773954578</v>
      </c>
      <c r="L966" s="8">
        <f t="shared" si="787"/>
        <v>0.36276281177637149</v>
      </c>
      <c r="M966" s="8">
        <f t="shared" si="776"/>
        <v>-0.10643826561908631</v>
      </c>
    </row>
    <row r="967" spans="1:13" x14ac:dyDescent="0.3">
      <c r="A967" s="1">
        <v>45621</v>
      </c>
      <c r="B967" s="5">
        <v>33573870.8004435</v>
      </c>
      <c r="C967" s="5">
        <v>30911129.023461308</v>
      </c>
      <c r="D967" s="5">
        <v>0</v>
      </c>
      <c r="E967" s="5">
        <f t="shared" si="780"/>
        <v>0</v>
      </c>
      <c r="F967" s="5">
        <f t="shared" si="780"/>
        <v>0</v>
      </c>
      <c r="G967" s="9">
        <f t="shared" si="782"/>
        <v>1.9773791576088717E-2</v>
      </c>
      <c r="H967" s="9">
        <f t="shared" si="782"/>
        <v>6.5045203669877871E-4</v>
      </c>
      <c r="I967" s="5">
        <f t="shared" si="783"/>
        <v>21822279.792173475</v>
      </c>
      <c r="J967" s="5">
        <f t="shared" si="784"/>
        <v>19789805.499330964</v>
      </c>
      <c r="K967" s="8">
        <f t="shared" ref="K967:L967" si="788">I967/I715-1</f>
        <v>0.49002679153181838</v>
      </c>
      <c r="L967" s="8">
        <f t="shared" si="788"/>
        <v>0.36138329819704884</v>
      </c>
      <c r="M967" s="8">
        <f t="shared" si="776"/>
        <v>-0.12864349333476954</v>
      </c>
    </row>
    <row r="968" spans="1:13" x14ac:dyDescent="0.3">
      <c r="A968" s="1">
        <v>45622</v>
      </c>
      <c r="B968" s="5">
        <v>33660809.045185141</v>
      </c>
      <c r="C968" s="5">
        <v>31101208.541478731</v>
      </c>
      <c r="D968" s="5">
        <v>0</v>
      </c>
      <c r="E968" s="5">
        <f t="shared" si="780"/>
        <v>0</v>
      </c>
      <c r="F968" s="5">
        <f t="shared" si="780"/>
        <v>0</v>
      </c>
      <c r="G968" s="9">
        <f t="shared" si="782"/>
        <v>2.5894614671744254E-3</v>
      </c>
      <c r="H968" s="9">
        <f t="shared" si="782"/>
        <v>6.1492259914917025E-3</v>
      </c>
      <c r="I968" s="5">
        <f t="shared" si="783"/>
        <v>21878787.744821206</v>
      </c>
      <c r="J968" s="5">
        <f t="shared" si="784"/>
        <v>19911497.485674016</v>
      </c>
      <c r="K968" s="8">
        <f t="shared" ref="K968:L968" si="789">I968/I716-1</f>
        <v>0.49776633852024288</v>
      </c>
      <c r="L968" s="8">
        <f t="shared" si="789"/>
        <v>0.3582624229194471</v>
      </c>
      <c r="M968" s="8">
        <f t="shared" si="776"/>
        <v>-0.13950391560079578</v>
      </c>
    </row>
    <row r="969" spans="1:13" x14ac:dyDescent="0.3">
      <c r="A969" s="1">
        <v>45623</v>
      </c>
      <c r="B969" s="5">
        <v>33981872.486335546</v>
      </c>
      <c r="C969" s="5">
        <v>31036326.939537015</v>
      </c>
      <c r="D969" s="5">
        <v>0</v>
      </c>
      <c r="E969" s="5">
        <f t="shared" si="780"/>
        <v>0</v>
      </c>
      <c r="F969" s="5">
        <f t="shared" si="780"/>
        <v>0</v>
      </c>
      <c r="G969" s="9">
        <f t="shared" si="782"/>
        <v>9.5381973950601218E-3</v>
      </c>
      <c r="H969" s="9">
        <f t="shared" si="782"/>
        <v>-2.0861440755649552E-3</v>
      </c>
      <c r="I969" s="5">
        <f t="shared" si="783"/>
        <v>22087471.941095933</v>
      </c>
      <c r="J969" s="5">
        <f t="shared" si="784"/>
        <v>19869959.233158652</v>
      </c>
      <c r="K969" s="8">
        <f t="shared" ref="K969:L969" si="790">I969/I717-1</f>
        <v>0.51200794234686708</v>
      </c>
      <c r="L969" s="8">
        <f t="shared" si="790"/>
        <v>0.35928315142556233</v>
      </c>
      <c r="M969" s="8">
        <f t="shared" si="776"/>
        <v>-0.15272479092130475</v>
      </c>
    </row>
    <row r="970" spans="1:13" x14ac:dyDescent="0.3">
      <c r="A970" s="1">
        <v>45624</v>
      </c>
      <c r="B970" s="5">
        <v>34015224.206183039</v>
      </c>
      <c r="C970" s="5">
        <v>31239315.067427956</v>
      </c>
      <c r="D970" s="5">
        <v>0</v>
      </c>
      <c r="E970" s="5">
        <f t="shared" si="780"/>
        <v>0</v>
      </c>
      <c r="F970" s="5">
        <f t="shared" si="780"/>
        <v>0</v>
      </c>
      <c r="G970" s="9">
        <f t="shared" si="782"/>
        <v>9.814562120114001E-4</v>
      </c>
      <c r="H970" s="9">
        <f t="shared" si="782"/>
        <v>6.5403399147840879E-3</v>
      </c>
      <c r="I970" s="5">
        <f t="shared" si="783"/>
        <v>22109149.82764015</v>
      </c>
      <c r="J970" s="5">
        <f t="shared" si="784"/>
        <v>19999915.520636413</v>
      </c>
      <c r="K970" s="8">
        <f t="shared" ref="K970:L970" si="791">I970/I718-1</f>
        <v>0.51925178599881505</v>
      </c>
      <c r="L970" s="8">
        <f t="shared" si="791"/>
        <v>0.36207775365522465</v>
      </c>
      <c r="M970" s="8">
        <f t="shared" si="776"/>
        <v>-0.1571740323435904</v>
      </c>
    </row>
    <row r="971" spans="1:13" x14ac:dyDescent="0.3">
      <c r="A971" s="1">
        <v>45625</v>
      </c>
      <c r="B971" s="5">
        <v>34244044.14278125</v>
      </c>
      <c r="C971" s="5">
        <v>31239315.067427956</v>
      </c>
      <c r="D971" s="5">
        <v>0</v>
      </c>
      <c r="E971" s="5">
        <f t="shared" si="780"/>
        <v>0</v>
      </c>
      <c r="F971" s="5">
        <f t="shared" si="780"/>
        <v>0</v>
      </c>
      <c r="G971" s="9">
        <f t="shared" si="782"/>
        <v>6.7269859875453974E-3</v>
      </c>
      <c r="H971" s="9">
        <f t="shared" si="782"/>
        <v>0</v>
      </c>
      <c r="I971" s="5">
        <f t="shared" si="783"/>
        <v>22257877.768727228</v>
      </c>
      <c r="J971" s="5">
        <f t="shared" si="784"/>
        <v>19999915.520636413</v>
      </c>
      <c r="K971" s="8">
        <f t="shared" ref="K971:L971" si="792">I971/I719-1</f>
        <v>0.52506630353638628</v>
      </c>
      <c r="L971" s="8">
        <f t="shared" si="792"/>
        <v>0.36041804282180756</v>
      </c>
      <c r="M971" s="8">
        <f t="shared" si="776"/>
        <v>-0.16464826071457872</v>
      </c>
    </row>
    <row r="972" spans="1:13" x14ac:dyDescent="0.3">
      <c r="A972" s="1">
        <v>45628</v>
      </c>
      <c r="B972" s="5">
        <v>34455860.041525126</v>
      </c>
      <c r="C972" s="5">
        <v>31415887.428039923</v>
      </c>
      <c r="D972" s="5">
        <v>0</v>
      </c>
      <c r="E972" s="5">
        <f t="shared" si="780"/>
        <v>0</v>
      </c>
      <c r="F972" s="5">
        <f t="shared" si="780"/>
        <v>0</v>
      </c>
      <c r="G972" s="9">
        <f t="shared" si="782"/>
        <v>6.1854814186286244E-3</v>
      </c>
      <c r="H972" s="9">
        <f t="shared" si="782"/>
        <v>5.6522481440726136E-3</v>
      </c>
      <c r="I972" s="5">
        <f t="shared" si="783"/>
        <v>22395553.458083797</v>
      </c>
      <c r="J972" s="5">
        <f t="shared" si="784"/>
        <v>20112960.00601954</v>
      </c>
      <c r="K972" s="8">
        <f t="shared" ref="K972:L972" si="793">I972/I720-1</f>
        <v>0.53673231411030797</v>
      </c>
      <c r="L972" s="8">
        <f t="shared" si="793"/>
        <v>0.36810746317951004</v>
      </c>
      <c r="M972" s="8">
        <f t="shared" si="776"/>
        <v>-0.16862485093079793</v>
      </c>
    </row>
    <row r="973" spans="1:13" x14ac:dyDescent="0.3">
      <c r="A973" s="1">
        <v>45629</v>
      </c>
      <c r="B973" s="5">
        <v>34807557.957273901</v>
      </c>
      <c r="C973" s="5">
        <v>31408439.271409564</v>
      </c>
      <c r="D973" s="5">
        <v>0</v>
      </c>
      <c r="E973" s="5">
        <f t="shared" si="780"/>
        <v>0</v>
      </c>
      <c r="F973" s="5">
        <f t="shared" si="780"/>
        <v>0</v>
      </c>
      <c r="G973" s="9">
        <f t="shared" si="782"/>
        <v>1.0207201774238728E-2</v>
      </c>
      <c r="H973" s="9">
        <f t="shared" si="782"/>
        <v>-2.3708248405907018E-4</v>
      </c>
      <c r="I973" s="5">
        <f t="shared" si="783"/>
        <v>22624149.391076207</v>
      </c>
      <c r="J973" s="5">
        <f t="shared" si="784"/>
        <v>20108191.575499531</v>
      </c>
      <c r="K973" s="8">
        <f t="shared" ref="K973:L973" si="794">I973/I721-1</f>
        <v>0.53417593634909788</v>
      </c>
      <c r="L973" s="8">
        <f t="shared" si="794"/>
        <v>0.36925457470290168</v>
      </c>
      <c r="M973" s="8">
        <f t="shared" si="776"/>
        <v>-0.1649213616461962</v>
      </c>
    </row>
    <row r="974" spans="1:13" x14ac:dyDescent="0.3">
      <c r="A974" s="1">
        <v>45630</v>
      </c>
      <c r="B974" s="5">
        <v>34979013.071766727</v>
      </c>
      <c r="C974" s="5">
        <v>31602861.264351517</v>
      </c>
      <c r="D974" s="5">
        <v>0</v>
      </c>
      <c r="E974" s="5">
        <f t="shared" si="780"/>
        <v>0</v>
      </c>
      <c r="F974" s="5">
        <f t="shared" si="780"/>
        <v>0</v>
      </c>
      <c r="G974" s="9">
        <f t="shared" si="782"/>
        <v>4.9258013073851803E-3</v>
      </c>
      <c r="H974" s="9">
        <f t="shared" si="782"/>
        <v>6.190119517302195E-3</v>
      </c>
      <c r="I974" s="5">
        <f t="shared" si="783"/>
        <v>22735591.455725249</v>
      </c>
      <c r="J974" s="5">
        <f t="shared" si="784"/>
        <v>20232663.68462868</v>
      </c>
      <c r="K974" s="8">
        <f t="shared" ref="K974:L974" si="795">I974/I722-1</f>
        <v>0.5311628156240964</v>
      </c>
      <c r="L974" s="8">
        <f t="shared" si="795"/>
        <v>0.37912706043217925</v>
      </c>
      <c r="M974" s="8">
        <f t="shared" si="776"/>
        <v>-0.15203575519191714</v>
      </c>
    </row>
    <row r="975" spans="1:13" x14ac:dyDescent="0.3">
      <c r="A975" s="1">
        <v>45631</v>
      </c>
      <c r="B975" s="5">
        <v>35096279.718425356</v>
      </c>
      <c r="C975" s="5">
        <v>31541981.627808928</v>
      </c>
      <c r="D975" s="5">
        <v>0</v>
      </c>
      <c r="E975" s="5">
        <f t="shared" si="780"/>
        <v>0</v>
      </c>
      <c r="F975" s="5">
        <f t="shared" si="780"/>
        <v>0</v>
      </c>
      <c r="G975" s="9">
        <f t="shared" si="782"/>
        <v>3.3524858582496542E-3</v>
      </c>
      <c r="H975" s="9">
        <f t="shared" si="782"/>
        <v>-1.9263963485249835E-3</v>
      </c>
      <c r="I975" s="5">
        <f t="shared" si="783"/>
        <v>22811812.204559509</v>
      </c>
      <c r="J975" s="5">
        <f t="shared" si="784"/>
        <v>20193687.555185679</v>
      </c>
      <c r="K975" s="8">
        <f t="shared" ref="K975:L975" si="796">I975/I723-1</f>
        <v>0.51924818297194064</v>
      </c>
      <c r="L975" s="8">
        <f t="shared" si="796"/>
        <v>0.37004687139256109</v>
      </c>
      <c r="M975" s="8">
        <f t="shared" si="776"/>
        <v>-0.14920131157937955</v>
      </c>
    </row>
    <row r="976" spans="1:13" x14ac:dyDescent="0.3">
      <c r="A976" s="1">
        <v>45632</v>
      </c>
      <c r="B976" s="5">
        <v>35364202.140473396</v>
      </c>
      <c r="C976" s="5">
        <v>31620536.448451739</v>
      </c>
      <c r="D976" s="5">
        <v>0</v>
      </c>
      <c r="E976" s="5">
        <f t="shared" si="780"/>
        <v>0</v>
      </c>
      <c r="F976" s="5">
        <f t="shared" si="780"/>
        <v>0</v>
      </c>
      <c r="G976" s="9">
        <f t="shared" si="782"/>
        <v>7.6339265642273446E-3</v>
      </c>
      <c r="H976" s="9">
        <f t="shared" si="782"/>
        <v>2.4904846363094091E-3</v>
      </c>
      <c r="I976" s="5">
        <f t="shared" si="783"/>
        <v>22985955.90372606</v>
      </c>
      <c r="J976" s="5">
        <f t="shared" si="784"/>
        <v>20243979.623792302</v>
      </c>
      <c r="K976" s="8">
        <f t="shared" ref="K976:L976" si="797">I976/I724-1</f>
        <v>0.51613313345217038</v>
      </c>
      <c r="L976" s="8">
        <f t="shared" si="797"/>
        <v>0.36679854134258494</v>
      </c>
      <c r="M976" s="8">
        <f t="shared" si="776"/>
        <v>-0.14933459210958544</v>
      </c>
    </row>
    <row r="977" spans="1:13" x14ac:dyDescent="0.3">
      <c r="A977" s="1">
        <v>45635</v>
      </c>
      <c r="B977" s="5">
        <v>35203309.934295677</v>
      </c>
      <c r="C977" s="5">
        <v>31449234.157678328</v>
      </c>
      <c r="D977" s="5">
        <v>0</v>
      </c>
      <c r="E977" s="5">
        <f t="shared" si="780"/>
        <v>0</v>
      </c>
      <c r="F977" s="5">
        <f t="shared" si="780"/>
        <v>0</v>
      </c>
      <c r="G977" s="9">
        <f t="shared" si="782"/>
        <v>-4.5495782865007106E-3</v>
      </c>
      <c r="H977" s="9">
        <f t="shared" si="782"/>
        <v>-5.4174378430508208E-3</v>
      </c>
      <c r="I977" s="5">
        <f t="shared" si="783"/>
        <v>22881379.497852005</v>
      </c>
      <c r="J977" s="5">
        <f t="shared" si="784"/>
        <v>20134309.122484419</v>
      </c>
      <c r="K977" s="8">
        <f t="shared" ref="K977:L977" si="798">I977/I725-1</f>
        <v>0.48058044893180818</v>
      </c>
      <c r="L977" s="8">
        <f t="shared" si="798"/>
        <v>0.36465175804084149</v>
      </c>
      <c r="M977" s="8">
        <f t="shared" si="776"/>
        <v>-0.11592869089096669</v>
      </c>
    </row>
    <row r="978" spans="1:13" x14ac:dyDescent="0.3">
      <c r="A978" s="1">
        <v>45636</v>
      </c>
      <c r="B978" s="5">
        <v>35391333.783273771</v>
      </c>
      <c r="C978" s="5">
        <v>31401088.962343972</v>
      </c>
      <c r="D978" s="5">
        <v>0</v>
      </c>
      <c r="E978" s="5">
        <f t="shared" si="780"/>
        <v>0</v>
      </c>
      <c r="F978" s="5">
        <f t="shared" si="780"/>
        <v>0</v>
      </c>
      <c r="G978" s="9">
        <f t="shared" si="782"/>
        <v>5.3410843846508627E-3</v>
      </c>
      <c r="H978" s="9">
        <f t="shared" si="782"/>
        <v>-1.530886097034001E-3</v>
      </c>
      <c r="I978" s="5">
        <f t="shared" si="783"/>
        <v>23003590.876587253</v>
      </c>
      <c r="J978" s="5">
        <f t="shared" si="784"/>
        <v>20103485.788575422</v>
      </c>
      <c r="K978" s="8">
        <f t="shared" ref="K978:L978" si="799">I978/I726-1</f>
        <v>0.47321004893550334</v>
      </c>
      <c r="L978" s="8">
        <f t="shared" si="799"/>
        <v>0.36442504898813999</v>
      </c>
      <c r="M978" s="8">
        <f t="shared" si="776"/>
        <v>-0.10878499994736335</v>
      </c>
    </row>
    <row r="979" spans="1:13" x14ac:dyDescent="0.3">
      <c r="A979" s="1">
        <v>45637</v>
      </c>
      <c r="B979" s="5">
        <v>35486087.083813258</v>
      </c>
      <c r="C979" s="5">
        <v>31643031.603592578</v>
      </c>
      <c r="D979" s="5">
        <v>0</v>
      </c>
      <c r="E979" s="5">
        <f t="shared" si="780"/>
        <v>0</v>
      </c>
      <c r="F979" s="5">
        <f t="shared" si="780"/>
        <v>0</v>
      </c>
      <c r="G979" s="9">
        <f t="shared" si="782"/>
        <v>2.6773023339479174E-3</v>
      </c>
      <c r="H979" s="9">
        <f t="shared" si="782"/>
        <v>7.7049124486969767E-3</v>
      </c>
      <c r="I979" s="5">
        <f t="shared" si="783"/>
        <v>23065178.444130324</v>
      </c>
      <c r="J979" s="5">
        <f t="shared" si="784"/>
        <v>20258381.386490021</v>
      </c>
      <c r="K979" s="8">
        <f t="shared" ref="K979:L979" si="800">I979/I727-1</f>
        <v>0.46019519915589568</v>
      </c>
      <c r="L979" s="8">
        <f t="shared" si="800"/>
        <v>0.38045897578662791</v>
      </c>
      <c r="M979" s="8">
        <f t="shared" si="776"/>
        <v>-7.9736223369267778E-2</v>
      </c>
    </row>
    <row r="980" spans="1:13" x14ac:dyDescent="0.3">
      <c r="A980" s="1">
        <v>45638</v>
      </c>
      <c r="B980" s="5">
        <v>35384623.989936449</v>
      </c>
      <c r="C980" s="5">
        <v>31486545.670641255</v>
      </c>
      <c r="D980" s="5">
        <v>0</v>
      </c>
      <c r="E980" s="5">
        <f t="shared" si="780"/>
        <v>0</v>
      </c>
      <c r="F980" s="5">
        <f t="shared" si="780"/>
        <v>0</v>
      </c>
      <c r="G980" s="9">
        <f t="shared" si="782"/>
        <v>-2.8592358925673134E-3</v>
      </c>
      <c r="H980" s="9">
        <f t="shared" si="782"/>
        <v>-4.9453521050605298E-3</v>
      </c>
      <c r="I980" s="5">
        <f t="shared" si="783"/>
        <v>22999229.658054397</v>
      </c>
      <c r="J980" s="5">
        <f t="shared" si="784"/>
        <v>20158196.557455223</v>
      </c>
      <c r="K980" s="8">
        <f t="shared" ref="K980:L980" si="801">I980/I728-1</f>
        <v>0.44449016565841748</v>
      </c>
      <c r="L980" s="8">
        <f t="shared" si="801"/>
        <v>0.36255515627548984</v>
      </c>
      <c r="M980" s="8">
        <f t="shared" si="776"/>
        <v>-8.1935009382927637E-2</v>
      </c>
    </row>
    <row r="981" spans="1:13" x14ac:dyDescent="0.3">
      <c r="A981" s="1">
        <v>45639</v>
      </c>
      <c r="B981" s="5">
        <v>35328139.976991914</v>
      </c>
      <c r="C981" s="5">
        <v>31467406.686972056</v>
      </c>
      <c r="D981" s="5">
        <v>0</v>
      </c>
      <c r="E981" s="5">
        <f t="shared" si="780"/>
        <v>0</v>
      </c>
      <c r="F981" s="5">
        <f t="shared" si="780"/>
        <v>0</v>
      </c>
      <c r="G981" s="9">
        <f t="shared" si="782"/>
        <v>-1.5962869341383801E-3</v>
      </c>
      <c r="H981" s="9">
        <f t="shared" si="782"/>
        <v>-6.0784640745914498E-4</v>
      </c>
      <c r="I981" s="5">
        <f t="shared" si="783"/>
        <v>22962516.288255997</v>
      </c>
      <c r="J981" s="5">
        <f t="shared" si="784"/>
        <v>20145943.47009692</v>
      </c>
      <c r="K981" s="8">
        <f t="shared" ref="K981:L981" si="802">I981/I729-1</f>
        <v>0.45107077659152628</v>
      </c>
      <c r="L981" s="8">
        <f t="shared" si="802"/>
        <v>0.35516552832506942</v>
      </c>
      <c r="M981" s="8">
        <f t="shared" si="776"/>
        <v>-9.5905248266456855E-2</v>
      </c>
    </row>
    <row r="982" spans="1:13" x14ac:dyDescent="0.3">
      <c r="A982" s="1">
        <v>45642</v>
      </c>
      <c r="B982" s="5">
        <v>35419958.380597755</v>
      </c>
      <c r="C982" s="5">
        <v>31632164.373484638</v>
      </c>
      <c r="D982" s="5">
        <v>0</v>
      </c>
      <c r="E982" s="5">
        <f t="shared" si="780"/>
        <v>0</v>
      </c>
      <c r="F982" s="5">
        <f t="shared" si="780"/>
        <v>0</v>
      </c>
      <c r="G982" s="9">
        <f t="shared" si="782"/>
        <v>2.59901607233326E-3</v>
      </c>
      <c r="H982" s="9">
        <f t="shared" si="782"/>
        <v>5.2358202934084108E-3</v>
      </c>
      <c r="I982" s="5">
        <f t="shared" si="783"/>
        <v>23022196.23715039</v>
      </c>
      <c r="J982" s="5">
        <f t="shared" si="784"/>
        <v>20251424.009747513</v>
      </c>
      <c r="K982" s="8">
        <f t="shared" ref="K982:L982" si="803">I982/I730-1</f>
        <v>0.43973817767214252</v>
      </c>
      <c r="L982" s="8">
        <f t="shared" si="803"/>
        <v>0.3569293886397491</v>
      </c>
      <c r="M982" s="8">
        <f t="shared" si="776"/>
        <v>-8.2808789032393415E-2</v>
      </c>
    </row>
    <row r="983" spans="1:13" x14ac:dyDescent="0.3">
      <c r="A983" s="1">
        <v>45643</v>
      </c>
      <c r="B983" s="5">
        <v>34951493.736903265</v>
      </c>
      <c r="C983" s="5">
        <v>31518008.135746632</v>
      </c>
      <c r="D983" s="5">
        <v>0</v>
      </c>
      <c r="E983" s="5">
        <f t="shared" si="780"/>
        <v>0</v>
      </c>
      <c r="F983" s="5">
        <f t="shared" si="780"/>
        <v>0</v>
      </c>
      <c r="G983" s="9">
        <f t="shared" si="782"/>
        <v>-1.3226007740062884E-2</v>
      </c>
      <c r="H983" s="9">
        <f t="shared" si="782"/>
        <v>-3.6088658490184278E-3</v>
      </c>
      <c r="I983" s="5">
        <f t="shared" si="783"/>
        <v>22717704.491524592</v>
      </c>
      <c r="J983" s="5">
        <f t="shared" si="784"/>
        <v>20178339.337244742</v>
      </c>
      <c r="K983" s="8">
        <f t="shared" ref="K983:L983" si="804">I983/I731-1</f>
        <v>0.42982413183073143</v>
      </c>
      <c r="L983" s="8">
        <f t="shared" si="804"/>
        <v>0.34594978028984325</v>
      </c>
      <c r="M983" s="8">
        <f t="shared" si="776"/>
        <v>-8.3874351540888181E-2</v>
      </c>
    </row>
    <row r="984" spans="1:13" x14ac:dyDescent="0.3">
      <c r="A984" s="1">
        <v>45644</v>
      </c>
      <c r="B984" s="5">
        <v>34497339.691466987</v>
      </c>
      <c r="C984" s="5">
        <v>30603462.452520531</v>
      </c>
      <c r="D984" s="5">
        <v>0</v>
      </c>
      <c r="E984" s="5">
        <f t="shared" si="780"/>
        <v>0</v>
      </c>
      <c r="F984" s="5">
        <f t="shared" si="780"/>
        <v>0</v>
      </c>
      <c r="G984" s="9">
        <f t="shared" si="782"/>
        <v>-1.2993837941660313E-2</v>
      </c>
      <c r="H984" s="9">
        <f t="shared" si="782"/>
        <v>-2.9016607879761791E-2</v>
      </c>
      <c r="I984" s="5">
        <f t="shared" si="783"/>
        <v>22422514.320955195</v>
      </c>
      <c r="J984" s="5">
        <f t="shared" si="784"/>
        <v>19592832.37703114</v>
      </c>
      <c r="K984" s="8">
        <f t="shared" ref="K984:L984" si="805">I984/I732-1</f>
        <v>0.39857592661350982</v>
      </c>
      <c r="L984" s="8">
        <f t="shared" si="805"/>
        <v>0.28880716836684028</v>
      </c>
      <c r="M984" s="8">
        <f t="shared" si="776"/>
        <v>-0.10976875824666954</v>
      </c>
    </row>
    <row r="985" spans="1:13" x14ac:dyDescent="0.3">
      <c r="A985" s="1">
        <v>45645</v>
      </c>
      <c r="B985" s="5">
        <v>34195048.708107769</v>
      </c>
      <c r="C985" s="5">
        <v>30627445.449774824</v>
      </c>
      <c r="D985" s="5">
        <v>0</v>
      </c>
      <c r="E985" s="5">
        <f t="shared" si="780"/>
        <v>0</v>
      </c>
      <c r="F985" s="5">
        <f t="shared" si="780"/>
        <v>0</v>
      </c>
      <c r="G985" s="9">
        <f t="shared" si="782"/>
        <v>-8.7627331864662539E-3</v>
      </c>
      <c r="H985" s="9">
        <f t="shared" si="782"/>
        <v>7.8366940641116933E-4</v>
      </c>
      <c r="I985" s="5">
        <f t="shared" si="783"/>
        <v>22226031.810590945</v>
      </c>
      <c r="J985" s="5">
        <f t="shared" si="784"/>
        <v>19608186.680349961</v>
      </c>
      <c r="K985" s="8">
        <f t="shared" ref="K985:L985" si="806">I985/I733-1</f>
        <v>0.36891442748965719</v>
      </c>
      <c r="L985" s="8">
        <f t="shared" si="806"/>
        <v>0.28796900197402797</v>
      </c>
      <c r="M985" s="8">
        <f t="shared" si="776"/>
        <v>-8.0945425515629221E-2</v>
      </c>
    </row>
    <row r="986" spans="1:13" x14ac:dyDescent="0.3">
      <c r="A986" s="1">
        <v>45646</v>
      </c>
      <c r="B986" s="5">
        <v>33263979.012163397</v>
      </c>
      <c r="C986" s="5">
        <v>30936364.18998019</v>
      </c>
      <c r="D986" s="5">
        <v>0</v>
      </c>
      <c r="E986" s="5">
        <f t="shared" si="780"/>
        <v>0</v>
      </c>
      <c r="F986" s="5">
        <f t="shared" si="780"/>
        <v>0</v>
      </c>
      <c r="G986" s="9">
        <f t="shared" si="782"/>
        <v>-2.7228202067851148E-2</v>
      </c>
      <c r="H986" s="9">
        <f t="shared" si="782"/>
        <v>1.0086337128963452E-2</v>
      </c>
      <c r="I986" s="5">
        <f t="shared" si="783"/>
        <v>21620856.925285686</v>
      </c>
      <c r="J986" s="5">
        <f t="shared" si="784"/>
        <v>19805961.461695623</v>
      </c>
      <c r="K986" s="8">
        <f t="shared" ref="K986:L986" si="807">I986/I734-1</f>
        <v>0.33082331120464836</v>
      </c>
      <c r="L986" s="8">
        <f t="shared" si="807"/>
        <v>0.30506103318731403</v>
      </c>
      <c r="M986" s="8">
        <f t="shared" si="776"/>
        <v>-2.5762278017334328E-2</v>
      </c>
    </row>
    <row r="987" spans="1:13" x14ac:dyDescent="0.3">
      <c r="A987" s="1">
        <v>45649</v>
      </c>
      <c r="B987" s="5">
        <v>33354178.631365497</v>
      </c>
      <c r="C987" s="5">
        <v>31193010.524569158</v>
      </c>
      <c r="D987" s="5">
        <v>0</v>
      </c>
      <c r="E987" s="5">
        <f t="shared" si="780"/>
        <v>0</v>
      </c>
      <c r="F987" s="5">
        <f t="shared" si="780"/>
        <v>0</v>
      </c>
      <c r="G987" s="9">
        <f t="shared" si="782"/>
        <v>2.7116304747882847E-3</v>
      </c>
      <c r="H987" s="9">
        <f t="shared" si="782"/>
        <v>8.2959436672294107E-3</v>
      </c>
      <c r="I987" s="5">
        <f t="shared" si="783"/>
        <v>21679484.699815329</v>
      </c>
      <c r="J987" s="5">
        <f t="shared" si="784"/>
        <v>19970270.602257166</v>
      </c>
      <c r="K987" s="8">
        <f t="shared" ref="K987:L987" si="808">I987/I735-1</f>
        <v>0.32566391848558718</v>
      </c>
      <c r="L987" s="8">
        <f t="shared" si="808"/>
        <v>0.30962502385918644</v>
      </c>
      <c r="M987" s="8">
        <f t="shared" si="776"/>
        <v>-1.6038894626400735E-2</v>
      </c>
    </row>
    <row r="988" spans="1:13" x14ac:dyDescent="0.3">
      <c r="A988" s="1">
        <v>45650</v>
      </c>
      <c r="B988" s="5">
        <v>33365017.005093854</v>
      </c>
      <c r="C988" s="5">
        <v>31552255.622109868</v>
      </c>
      <c r="D988" s="5">
        <v>0</v>
      </c>
      <c r="E988" s="5">
        <f t="shared" si="780"/>
        <v>0</v>
      </c>
      <c r="F988" s="5">
        <f t="shared" si="780"/>
        <v>0</v>
      </c>
      <c r="G988" s="9">
        <f t="shared" si="782"/>
        <v>3.2494800271187785E-4</v>
      </c>
      <c r="H988" s="9">
        <f t="shared" si="782"/>
        <v>1.1516845969636424E-2</v>
      </c>
      <c r="I988" s="5">
        <f t="shared" si="783"/>
        <v>21686529.405068357</v>
      </c>
      <c r="J988" s="5">
        <f t="shared" si="784"/>
        <v>20200265.132755321</v>
      </c>
      <c r="K988" s="8">
        <f t="shared" ref="K988:L988" si="809">I988/I736-1</f>
        <v>0.32391350316448175</v>
      </c>
      <c r="L988" s="8">
        <f t="shared" si="809"/>
        <v>0.31466055953440031</v>
      </c>
      <c r="M988" s="8">
        <f t="shared" si="776"/>
        <v>-9.2529436300814449E-3</v>
      </c>
    </row>
    <row r="989" spans="1:13" x14ac:dyDescent="0.3">
      <c r="A989" s="1">
        <v>45652</v>
      </c>
      <c r="B989" s="5">
        <v>33514543.712369725</v>
      </c>
      <c r="C989" s="5">
        <v>31582748.837195083</v>
      </c>
      <c r="D989" s="5">
        <v>0</v>
      </c>
      <c r="E989" s="5">
        <f t="shared" si="780"/>
        <v>0</v>
      </c>
      <c r="F989" s="5">
        <f t="shared" si="780"/>
        <v>0</v>
      </c>
      <c r="G989" s="9">
        <f t="shared" si="782"/>
        <v>4.4815414676109278E-3</v>
      </c>
      <c r="H989" s="9">
        <f t="shared" si="782"/>
        <v>9.6643534618956473E-4</v>
      </c>
      <c r="I989" s="5">
        <f t="shared" si="783"/>
        <v>21783718.485885736</v>
      </c>
      <c r="J989" s="5">
        <f t="shared" si="784"/>
        <v>20219787.382982016</v>
      </c>
      <c r="K989" s="8">
        <f t="shared" ref="K989:L989" si="810">I989/I737-1</f>
        <v>0.37019269138095834</v>
      </c>
      <c r="L989" s="8">
        <f t="shared" si="810"/>
        <v>0.33602688912010592</v>
      </c>
      <c r="M989" s="8">
        <f t="shared" si="776"/>
        <v>-3.4165802260852418E-2</v>
      </c>
    </row>
    <row r="990" spans="1:13" x14ac:dyDescent="0.3">
      <c r="A990" s="1">
        <v>45653</v>
      </c>
      <c r="B990" s="5">
        <v>33219591.671748437</v>
      </c>
      <c r="C990" s="5">
        <v>31338884.749338847</v>
      </c>
      <c r="D990" s="5">
        <v>0</v>
      </c>
      <c r="E990" s="5">
        <f t="shared" si="780"/>
        <v>0</v>
      </c>
      <c r="F990" s="5">
        <f t="shared" si="780"/>
        <v>0</v>
      </c>
      <c r="G990" s="9">
        <f t="shared" si="782"/>
        <v>-8.8007177765163647E-3</v>
      </c>
      <c r="H990" s="9">
        <f t="shared" si="782"/>
        <v>-7.7214332771768923E-3</v>
      </c>
      <c r="I990" s="5">
        <f t="shared" si="783"/>
        <v>21592006.127368372</v>
      </c>
      <c r="J990" s="5">
        <f t="shared" si="784"/>
        <v>20063661.643825617</v>
      </c>
      <c r="K990" s="8">
        <f t="shared" ref="K990:L990" si="811">I990/I738-1</f>
        <v>0.34031288037902607</v>
      </c>
      <c r="L990" s="8">
        <f t="shared" si="811"/>
        <v>0.31014235069056006</v>
      </c>
      <c r="M990" s="8">
        <f t="shared" si="776"/>
        <v>-3.0170529688466008E-2</v>
      </c>
    </row>
    <row r="991" spans="1:13" x14ac:dyDescent="0.3">
      <c r="A991" s="1">
        <v>45656</v>
      </c>
      <c r="B991" s="5">
        <v>32980538.705169491</v>
      </c>
      <c r="C991" s="5">
        <v>30981972.61730675</v>
      </c>
      <c r="D991" s="5">
        <v>0</v>
      </c>
      <c r="E991" s="5">
        <f t="shared" si="780"/>
        <v>0</v>
      </c>
      <c r="F991" s="5">
        <f t="shared" si="780"/>
        <v>0</v>
      </c>
      <c r="G991" s="9">
        <f t="shared" si="782"/>
        <v>-7.1961440387675601E-3</v>
      </c>
      <c r="H991" s="9">
        <f t="shared" si="782"/>
        <v>-1.138879493915701E-2</v>
      </c>
      <c r="I991" s="5">
        <f t="shared" si="783"/>
        <v>21436626.941189878</v>
      </c>
      <c r="J991" s="5">
        <f t="shared" si="784"/>
        <v>19835160.715635456</v>
      </c>
      <c r="K991" s="8">
        <f t="shared" ref="K991:L991" si="812">I991/I739-1</f>
        <v>0.3198226636999939</v>
      </c>
      <c r="L991" s="8">
        <f t="shared" si="812"/>
        <v>0.29540678108926022</v>
      </c>
      <c r="M991" s="8">
        <f t="shared" si="776"/>
        <v>-2.4415882610733686E-2</v>
      </c>
    </row>
    <row r="992" spans="1:13" x14ac:dyDescent="0.3">
      <c r="A992" s="1">
        <v>45657</v>
      </c>
      <c r="B992" s="5">
        <v>32943990.226205386</v>
      </c>
      <c r="C992" s="5">
        <v>30880864.771677647</v>
      </c>
      <c r="D992" s="5">
        <v>0</v>
      </c>
      <c r="E992" s="5">
        <f t="shared" si="780"/>
        <v>0</v>
      </c>
      <c r="F992" s="5">
        <f t="shared" si="780"/>
        <v>0</v>
      </c>
      <c r="G992" s="9">
        <f t="shared" si="782"/>
        <v>-1.1081832013367654E-3</v>
      </c>
      <c r="H992" s="9">
        <f t="shared" si="782"/>
        <v>-3.2634411913663453E-3</v>
      </c>
      <c r="I992" s="5">
        <f t="shared" si="783"/>
        <v>21412871.231320329</v>
      </c>
      <c r="J992" s="5">
        <f t="shared" si="784"/>
        <v>19770429.835118681</v>
      </c>
      <c r="K992" s="8">
        <f t="shared" ref="K992:L992" si="813">I992/I740-1</f>
        <v>0.30601944621995503</v>
      </c>
      <c r="L992" s="8">
        <f t="shared" si="813"/>
        <v>0.28495853385541992</v>
      </c>
      <c r="M992" s="8">
        <f t="shared" si="776"/>
        <v>-2.1060912364535112E-2</v>
      </c>
    </row>
    <row r="993" spans="1:13" x14ac:dyDescent="0.3">
      <c r="A993" s="1">
        <v>45658</v>
      </c>
      <c r="B993" s="5">
        <v>33569772.495021462</v>
      </c>
      <c r="C993" s="5">
        <v>31385359.888803225</v>
      </c>
      <c r="D993" s="5">
        <v>500000</v>
      </c>
      <c r="E993" s="5">
        <f t="shared" si="780"/>
        <v>-500000</v>
      </c>
      <c r="F993" s="5">
        <f t="shared" si="780"/>
        <v>-500000</v>
      </c>
      <c r="G993" s="9">
        <f t="shared" si="782"/>
        <v>3.8180641735383603E-3</v>
      </c>
      <c r="H993" s="9">
        <f t="shared" si="782"/>
        <v>1.4556318803937707E-4</v>
      </c>
      <c r="I993" s="5">
        <f t="shared" si="783"/>
        <v>21494626.947821222</v>
      </c>
      <c r="J993" s="5">
        <f t="shared" si="784"/>
        <v>19773307.681914389</v>
      </c>
      <c r="K993" s="8">
        <f t="shared" ref="K993:L993" si="814">I993/I741-1</f>
        <v>0.30489913498262089</v>
      </c>
      <c r="L993" s="8">
        <f t="shared" si="814"/>
        <v>0.28043519546795892</v>
      </c>
      <c r="M993" s="8">
        <f t="shared" si="776"/>
        <v>-2.446393951466197E-2</v>
      </c>
    </row>
    <row r="994" spans="1:13" x14ac:dyDescent="0.3">
      <c r="A994" s="1">
        <v>45659</v>
      </c>
      <c r="B994" s="5">
        <v>33990654.109648295</v>
      </c>
      <c r="C994" s="5">
        <v>31385359.888803225</v>
      </c>
      <c r="D994" s="5">
        <v>0</v>
      </c>
      <c r="E994" s="5">
        <f t="shared" si="780"/>
        <v>0</v>
      </c>
      <c r="F994" s="5">
        <f t="shared" si="780"/>
        <v>0</v>
      </c>
      <c r="G994" s="9">
        <f t="shared" si="782"/>
        <v>1.2537517634033657E-2</v>
      </c>
      <c r="H994" s="9">
        <f t="shared" si="782"/>
        <v>0</v>
      </c>
      <c r="I994" s="5">
        <f t="shared" si="783"/>
        <v>21764116.212216508</v>
      </c>
      <c r="J994" s="5">
        <f t="shared" si="784"/>
        <v>19773307.681914389</v>
      </c>
      <c r="K994" s="8">
        <f t="shared" ref="K994:L994" si="815">I994/I742-1</f>
        <v>0.31417806627556466</v>
      </c>
      <c r="L994" s="8">
        <f t="shared" si="815"/>
        <v>0.28289659161303837</v>
      </c>
      <c r="M994" s="8">
        <f t="shared" si="776"/>
        <v>-3.1281474662526287E-2</v>
      </c>
    </row>
    <row r="995" spans="1:13" x14ac:dyDescent="0.3">
      <c r="A995" s="1">
        <v>45660</v>
      </c>
      <c r="B995" s="5">
        <v>34034338.580525681</v>
      </c>
      <c r="C995" s="5">
        <v>31783170.70044063</v>
      </c>
      <c r="D995" s="5">
        <v>0</v>
      </c>
      <c r="E995" s="5">
        <f t="shared" si="780"/>
        <v>0</v>
      </c>
      <c r="F995" s="5">
        <f t="shared" si="780"/>
        <v>0</v>
      </c>
      <c r="G995" s="9">
        <f t="shared" si="782"/>
        <v>1.285190650831991E-3</v>
      </c>
      <c r="H995" s="9">
        <f t="shared" si="782"/>
        <v>1.2675043811727127E-2</v>
      </c>
      <c r="I995" s="5">
        <f t="shared" si="783"/>
        <v>21792087.25089607</v>
      </c>
      <c r="J995" s="5">
        <f t="shared" si="784"/>
        <v>20023935.223085415</v>
      </c>
      <c r="K995" s="8">
        <f t="shared" ref="K995:L995" si="816">I995/I743-1</f>
        <v>0.30647582996974121</v>
      </c>
      <c r="L995" s="8">
        <f t="shared" si="816"/>
        <v>0.30214872646365243</v>
      </c>
      <c r="M995" s="8">
        <f t="shared" si="776"/>
        <v>-4.3271035060887808E-3</v>
      </c>
    </row>
    <row r="996" spans="1:13" x14ac:dyDescent="0.3">
      <c r="A996" s="1">
        <v>45663</v>
      </c>
      <c r="B996" s="5">
        <v>32954354.479382169</v>
      </c>
      <c r="C996" s="5">
        <v>31943001.046338998</v>
      </c>
      <c r="D996" s="5">
        <v>0</v>
      </c>
      <c r="E996" s="5">
        <f t="shared" si="780"/>
        <v>0</v>
      </c>
      <c r="F996" s="5">
        <f t="shared" si="780"/>
        <v>0</v>
      </c>
      <c r="G996" s="9">
        <f t="shared" si="782"/>
        <v>-3.173219008173922E-2</v>
      </c>
      <c r="H996" s="9">
        <f t="shared" si="782"/>
        <v>5.0287728497822037E-3</v>
      </c>
      <c r="I996" s="5">
        <f t="shared" si="783"/>
        <v>21100576.595972791</v>
      </c>
      <c r="J996" s="5">
        <f t="shared" si="784"/>
        <v>20124631.044881064</v>
      </c>
      <c r="K996" s="8">
        <f t="shared" ref="K996:L996" si="817">I996/I744-1</f>
        <v>0.26347924228520569</v>
      </c>
      <c r="L996" s="8">
        <f t="shared" si="817"/>
        <v>0.3142101748164059</v>
      </c>
      <c r="M996" s="8">
        <f t="shared" si="776"/>
        <v>5.0730932531200201E-2</v>
      </c>
    </row>
    <row r="997" spans="1:13" x14ac:dyDescent="0.3">
      <c r="A997" s="1">
        <v>45664</v>
      </c>
      <c r="B997" s="5">
        <v>32925870.160652168</v>
      </c>
      <c r="C997" s="5">
        <v>31603381.021491334</v>
      </c>
      <c r="D997" s="5">
        <v>0</v>
      </c>
      <c r="E997" s="5">
        <f t="shared" si="780"/>
        <v>0</v>
      </c>
      <c r="F997" s="5">
        <f t="shared" si="780"/>
        <v>0</v>
      </c>
      <c r="G997" s="9">
        <f t="shared" si="782"/>
        <v>-8.6435674981344413E-4</v>
      </c>
      <c r="H997" s="9">
        <f t="shared" si="782"/>
        <v>-1.0632063792471613E-2</v>
      </c>
      <c r="I997" s="5">
        <f t="shared" si="783"/>
        <v>21082338.170167107</v>
      </c>
      <c r="J997" s="5">
        <f t="shared" si="784"/>
        <v>19910664.683811933</v>
      </c>
      <c r="K997" s="8">
        <f t="shared" ref="K997:L997" si="818">I997/I745-1</f>
        <v>0.26552214397314455</v>
      </c>
      <c r="L997" s="8">
        <f t="shared" si="818"/>
        <v>0.30023740840104263</v>
      </c>
      <c r="M997" s="8">
        <f t="shared" si="776"/>
        <v>3.4715264427898074E-2</v>
      </c>
    </row>
    <row r="998" spans="1:13" x14ac:dyDescent="0.3">
      <c r="A998" s="1">
        <v>45665</v>
      </c>
      <c r="B998" s="5">
        <v>32662075.196755067</v>
      </c>
      <c r="C998" s="5">
        <v>31708789.038588785</v>
      </c>
      <c r="D998" s="5">
        <v>0</v>
      </c>
      <c r="E998" s="5">
        <f t="shared" si="780"/>
        <v>0</v>
      </c>
      <c r="F998" s="5">
        <f t="shared" si="780"/>
        <v>0</v>
      </c>
      <c r="G998" s="9">
        <f t="shared" si="782"/>
        <v>-8.0117841262810074E-3</v>
      </c>
      <c r="H998" s="9">
        <f t="shared" si="782"/>
        <v>3.3353398810642698E-3</v>
      </c>
      <c r="I998" s="5">
        <f t="shared" si="783"/>
        <v>20913431.027870473</v>
      </c>
      <c r="J998" s="5">
        <f t="shared" si="784"/>
        <v>19977073.517790347</v>
      </c>
      <c r="K998" s="8">
        <f t="shared" ref="K998:L998" si="819">I998/I746-1</f>
        <v>0.24596155930436536</v>
      </c>
      <c r="L998" s="8">
        <f t="shared" si="819"/>
        <v>0.31521951912613044</v>
      </c>
      <c r="M998" s="8">
        <f t="shared" si="776"/>
        <v>6.925795982176508E-2</v>
      </c>
    </row>
    <row r="999" spans="1:13" x14ac:dyDescent="0.3">
      <c r="A999" s="1">
        <v>45666</v>
      </c>
      <c r="B999" s="5">
        <v>32246240.736895327</v>
      </c>
      <c r="C999" s="5">
        <v>31251742.271903746</v>
      </c>
      <c r="D999" s="5">
        <v>0</v>
      </c>
      <c r="E999" s="5">
        <f t="shared" si="780"/>
        <v>0</v>
      </c>
      <c r="F999" s="5">
        <f t="shared" si="780"/>
        <v>0</v>
      </c>
      <c r="G999" s="9">
        <f t="shared" si="782"/>
        <v>-1.2731415788946987E-2</v>
      </c>
      <c r="H999" s="9">
        <f t="shared" si="782"/>
        <v>-1.4413882729133021E-2</v>
      </c>
      <c r="I999" s="5">
        <f t="shared" si="783"/>
        <v>20647173.441881187</v>
      </c>
      <c r="J999" s="5">
        <f t="shared" si="784"/>
        <v>19689126.32283365</v>
      </c>
      <c r="K999" s="8">
        <f t="shared" ref="K999:L999" si="820">I999/I747-1</f>
        <v>0.21471975135247656</v>
      </c>
      <c r="L999" s="8">
        <f t="shared" si="820"/>
        <v>0.30195680598668528</v>
      </c>
      <c r="M999" s="8">
        <f t="shared" si="776"/>
        <v>8.7237054634208722E-2</v>
      </c>
    </row>
    <row r="1000" spans="1:13" x14ac:dyDescent="0.3">
      <c r="A1000" s="1">
        <v>45667</v>
      </c>
      <c r="B1000" s="5">
        <v>31606760.704343166</v>
      </c>
      <c r="C1000" s="5">
        <v>31251742.271903746</v>
      </c>
      <c r="D1000" s="5">
        <v>0</v>
      </c>
      <c r="E1000" s="5">
        <f t="shared" si="780"/>
        <v>0</v>
      </c>
      <c r="F1000" s="5">
        <f t="shared" si="780"/>
        <v>0</v>
      </c>
      <c r="G1000" s="9">
        <f t="shared" si="782"/>
        <v>-1.983114986239265E-2</v>
      </c>
      <c r="H1000" s="9">
        <f t="shared" si="782"/>
        <v>0</v>
      </c>
      <c r="I1000" s="5">
        <f t="shared" si="783"/>
        <v>20237716.251120429</v>
      </c>
      <c r="J1000" s="5">
        <f t="shared" si="784"/>
        <v>19689126.32283365</v>
      </c>
      <c r="K1000" s="8">
        <f t="shared" ref="K1000:L1000" si="821">I1000/I748-1</f>
        <v>0.19204905859019505</v>
      </c>
      <c r="L1000" s="8">
        <f t="shared" si="821"/>
        <v>0.30036406077791145</v>
      </c>
      <c r="M1000" s="8">
        <f t="shared" si="776"/>
        <v>0.10831500218771639</v>
      </c>
    </row>
    <row r="1001" spans="1:13" x14ac:dyDescent="0.3">
      <c r="A1001" s="1">
        <v>45670</v>
      </c>
      <c r="B1001" s="5">
        <v>30241526.053203057</v>
      </c>
      <c r="C1001" s="5">
        <v>31566816.609703392</v>
      </c>
      <c r="D1001" s="5">
        <v>0</v>
      </c>
      <c r="E1001" s="5">
        <f t="shared" si="780"/>
        <v>0</v>
      </c>
      <c r="F1001" s="5">
        <f t="shared" si="780"/>
        <v>0</v>
      </c>
      <c r="G1001" s="9">
        <f t="shared" si="782"/>
        <v>-4.3194386919647498E-2</v>
      </c>
      <c r="H1001" s="9">
        <f t="shared" si="782"/>
        <v>1.0081816721076331E-2</v>
      </c>
      <c r="I1001" s="5">
        <f t="shared" si="783"/>
        <v>19363560.504999496</v>
      </c>
      <c r="J1001" s="5">
        <f t="shared" si="784"/>
        <v>19887628.48581858</v>
      </c>
      <c r="K1001" s="8">
        <f t="shared" ref="K1001:L1001" si="822">I1001/I749-1</f>
        <v>0.15258169541211086</v>
      </c>
      <c r="L1001" s="8">
        <f t="shared" si="822"/>
        <v>0.29563704606805374</v>
      </c>
      <c r="M1001" s="8">
        <f t="shared" si="776"/>
        <v>0.14305535065594288</v>
      </c>
    </row>
    <row r="1002" spans="1:13" x14ac:dyDescent="0.3">
      <c r="A1002" s="1">
        <v>45671</v>
      </c>
      <c r="B1002" s="5">
        <v>31029783.227918323</v>
      </c>
      <c r="C1002" s="5">
        <v>31581219.988522325</v>
      </c>
      <c r="D1002" s="5">
        <v>0</v>
      </c>
      <c r="E1002" s="5">
        <f t="shared" si="780"/>
        <v>0</v>
      </c>
      <c r="F1002" s="5">
        <f t="shared" si="780"/>
        <v>0</v>
      </c>
      <c r="G1002" s="9">
        <f t="shared" si="782"/>
        <v>2.6065390130395771E-2</v>
      </c>
      <c r="H1002" s="9">
        <f t="shared" si="782"/>
        <v>4.5628227252114684E-4</v>
      </c>
      <c r="I1002" s="5">
        <f t="shared" si="783"/>
        <v>19868279.263875831</v>
      </c>
      <c r="J1002" s="5">
        <f t="shared" si="784"/>
        <v>19896702.858139146</v>
      </c>
      <c r="K1002" s="8">
        <f t="shared" ref="K1002:L1002" si="823">I1002/I750-1</f>
        <v>0.17754593408298014</v>
      </c>
      <c r="L1002" s="8">
        <f t="shared" si="823"/>
        <v>0.29858804207922307</v>
      </c>
      <c r="M1002" s="8">
        <f t="shared" si="776"/>
        <v>0.12104210799624293</v>
      </c>
    </row>
    <row r="1003" spans="1:13" x14ac:dyDescent="0.3">
      <c r="A1003" s="1">
        <v>45672</v>
      </c>
      <c r="B1003" s="5">
        <v>31302995.865006007</v>
      </c>
      <c r="C1003" s="5">
        <v>32066169.253382098</v>
      </c>
      <c r="D1003" s="5">
        <v>0</v>
      </c>
      <c r="E1003" s="5">
        <f t="shared" si="780"/>
        <v>0</v>
      </c>
      <c r="F1003" s="5">
        <f t="shared" si="780"/>
        <v>0</v>
      </c>
      <c r="G1003" s="9">
        <f t="shared" si="782"/>
        <v>8.8048516188752313E-3</v>
      </c>
      <c r="H1003" s="9">
        <f t="shared" si="782"/>
        <v>1.5355621633237115E-2</v>
      </c>
      <c r="I1003" s="5">
        <f t="shared" si="783"/>
        <v>20043216.514716633</v>
      </c>
      <c r="J1003" s="5">
        <f t="shared" si="784"/>
        <v>20202229.098977678</v>
      </c>
      <c r="K1003" s="8">
        <f t="shared" ref="K1003:L1003" si="824">I1003/I751-1</f>
        <v>0.18534338623411828</v>
      </c>
      <c r="L1003" s="8">
        <f t="shared" si="824"/>
        <v>0.31234268052858094</v>
      </c>
      <c r="M1003" s="8">
        <f t="shared" si="776"/>
        <v>0.12699929429446266</v>
      </c>
    </row>
    <row r="1004" spans="1:13" x14ac:dyDescent="0.3">
      <c r="A1004" s="1">
        <v>45673</v>
      </c>
      <c r="B1004" s="5">
        <v>31757950.952650044</v>
      </c>
      <c r="C1004" s="5">
        <v>32073109.295614205</v>
      </c>
      <c r="D1004" s="5">
        <v>0</v>
      </c>
      <c r="E1004" s="5">
        <f t="shared" si="780"/>
        <v>0</v>
      </c>
      <c r="F1004" s="5">
        <f t="shared" si="780"/>
        <v>0</v>
      </c>
      <c r="G1004" s="9">
        <f t="shared" si="782"/>
        <v>1.4533915207542103E-2</v>
      </c>
      <c r="H1004" s="9">
        <f t="shared" si="782"/>
        <v>2.1642879064431852E-4</v>
      </c>
      <c r="I1004" s="5">
        <f t="shared" si="783"/>
        <v>20334522.924027931</v>
      </c>
      <c r="J1004" s="5">
        <f t="shared" si="784"/>
        <v>20206601.44298989</v>
      </c>
      <c r="K1004" s="8">
        <f t="shared" ref="K1004:L1004" si="825">I1004/I752-1</f>
        <v>0.19116280996979151</v>
      </c>
      <c r="L1004" s="8">
        <f t="shared" si="825"/>
        <v>0.31314444685431875</v>
      </c>
      <c r="M1004" s="8">
        <f t="shared" si="776"/>
        <v>0.12198163688452723</v>
      </c>
    </row>
    <row r="1005" spans="1:13" x14ac:dyDescent="0.3">
      <c r="A1005" s="1">
        <v>45674</v>
      </c>
      <c r="B1005" s="5">
        <v>31998522.790611304</v>
      </c>
      <c r="C1005" s="5">
        <v>32386720.568306994</v>
      </c>
      <c r="D1005" s="5">
        <v>0</v>
      </c>
      <c r="E1005" s="5">
        <f t="shared" si="780"/>
        <v>0</v>
      </c>
      <c r="F1005" s="5">
        <f t="shared" si="780"/>
        <v>0</v>
      </c>
      <c r="G1005" s="9">
        <f t="shared" si="782"/>
        <v>7.5751687607283902E-3</v>
      </c>
      <c r="H1005" s="9">
        <f t="shared" si="782"/>
        <v>9.7780127833029251E-3</v>
      </c>
      <c r="I1005" s="5">
        <f t="shared" si="783"/>
        <v>20488560.366846342</v>
      </c>
      <c r="J1005" s="5">
        <f t="shared" si="784"/>
        <v>20404181.85020655</v>
      </c>
      <c r="K1005" s="8">
        <f t="shared" ref="K1005:L1005" si="826">I1005/I753-1</f>
        <v>0.19695597919928187</v>
      </c>
      <c r="L1005" s="8">
        <f t="shared" si="826"/>
        <v>0.32663390451466001</v>
      </c>
      <c r="M1005" s="8">
        <f t="shared" si="776"/>
        <v>0.12967792531537814</v>
      </c>
    </row>
    <row r="1006" spans="1:13" x14ac:dyDescent="0.3">
      <c r="A1006" s="1">
        <v>45677</v>
      </c>
      <c r="B1006" s="5">
        <v>32024386.869622953</v>
      </c>
      <c r="C1006" s="5">
        <v>32682848.355018031</v>
      </c>
      <c r="D1006" s="5">
        <v>0</v>
      </c>
      <c r="E1006" s="5">
        <f t="shared" si="780"/>
        <v>0</v>
      </c>
      <c r="F1006" s="5">
        <f t="shared" si="780"/>
        <v>0</v>
      </c>
      <c r="G1006" s="9">
        <f t="shared" si="782"/>
        <v>8.0828978202829305E-4</v>
      </c>
      <c r="H1006" s="9">
        <f t="shared" si="782"/>
        <v>9.143494046779832E-3</v>
      </c>
      <c r="I1006" s="5">
        <f t="shared" si="783"/>
        <v>20505121.060839333</v>
      </c>
      <c r="J1006" s="5">
        <f t="shared" si="784"/>
        <v>20590747.365483329</v>
      </c>
      <c r="K1006" s="8">
        <f t="shared" ref="K1006:L1006" si="827">I1006/I754-1</f>
        <v>0.19369884381735258</v>
      </c>
      <c r="L1006" s="8">
        <f t="shared" si="827"/>
        <v>0.34165523458334124</v>
      </c>
      <c r="M1006" s="8">
        <f t="shared" si="776"/>
        <v>0.14795639076598865</v>
      </c>
    </row>
    <row r="1007" spans="1:13" x14ac:dyDescent="0.3">
      <c r="A1007" s="1">
        <v>45678</v>
      </c>
      <c r="B1007" s="5">
        <v>31188192.081299063</v>
      </c>
      <c r="C1007" s="5">
        <v>32682848.355018031</v>
      </c>
      <c r="D1007" s="5">
        <v>0</v>
      </c>
      <c r="E1007" s="5">
        <f t="shared" si="780"/>
        <v>0</v>
      </c>
      <c r="F1007" s="5">
        <f t="shared" si="780"/>
        <v>0</v>
      </c>
      <c r="G1007" s="9">
        <f t="shared" si="782"/>
        <v>-2.611118806827406E-2</v>
      </c>
      <c r="H1007" s="9">
        <f t="shared" si="782"/>
        <v>0</v>
      </c>
      <c r="I1007" s="5">
        <f t="shared" si="783"/>
        <v>19969707.988457028</v>
      </c>
      <c r="J1007" s="5">
        <f t="shared" si="784"/>
        <v>20590747.365483329</v>
      </c>
      <c r="K1007" s="8">
        <f t="shared" ref="K1007:L1007" si="828">I1007/I755-1</f>
        <v>0.16506917505777507</v>
      </c>
      <c r="L1007" s="8">
        <f t="shared" si="828"/>
        <v>0.34165523458334124</v>
      </c>
      <c r="M1007" s="8">
        <f t="shared" si="776"/>
        <v>0.17658605952556616</v>
      </c>
    </row>
    <row r="1008" spans="1:13" x14ac:dyDescent="0.3">
      <c r="A1008" s="1">
        <v>45679</v>
      </c>
      <c r="B1008" s="5">
        <v>30923682.50656968</v>
      </c>
      <c r="C1008" s="5">
        <v>32792844.146564145</v>
      </c>
      <c r="D1008" s="5">
        <v>0</v>
      </c>
      <c r="E1008" s="5">
        <f t="shared" si="780"/>
        <v>0</v>
      </c>
      <c r="F1008" s="5">
        <f t="shared" si="780"/>
        <v>0</v>
      </c>
      <c r="G1008" s="9">
        <f t="shared" si="782"/>
        <v>-8.4810807256758824E-3</v>
      </c>
      <c r="H1008" s="9">
        <f t="shared" si="782"/>
        <v>3.3655509566143937E-3</v>
      </c>
      <c r="I1008" s="5">
        <f t="shared" si="783"/>
        <v>19800343.282938749</v>
      </c>
      <c r="J1008" s="5">
        <f t="shared" si="784"/>
        <v>20660046.574976638</v>
      </c>
      <c r="K1008" s="8">
        <f t="shared" ref="K1008:L1008" si="829">I1008/I756-1</f>
        <v>0.16820231994475665</v>
      </c>
      <c r="L1008" s="8">
        <f t="shared" si="829"/>
        <v>0.35228105108497054</v>
      </c>
      <c r="M1008" s="8">
        <f t="shared" si="776"/>
        <v>0.18407873114021389</v>
      </c>
    </row>
    <row r="1009" spans="1:13" x14ac:dyDescent="0.3">
      <c r="A1009" s="1">
        <v>45680</v>
      </c>
      <c r="B1009" s="5">
        <v>31235622.217649974</v>
      </c>
      <c r="C1009" s="5">
        <v>32998155.646873526</v>
      </c>
      <c r="D1009" s="5">
        <v>0</v>
      </c>
      <c r="E1009" s="5">
        <f t="shared" si="780"/>
        <v>0</v>
      </c>
      <c r="F1009" s="5">
        <f t="shared" si="780"/>
        <v>0</v>
      </c>
      <c r="G1009" s="9">
        <f t="shared" si="782"/>
        <v>1.0087405049965303E-2</v>
      </c>
      <c r="H1009" s="9">
        <f t="shared" si="782"/>
        <v>6.2608628697091717E-3</v>
      </c>
      <c r="I1009" s="5">
        <f t="shared" si="783"/>
        <v>20000077.365762111</v>
      </c>
      <c r="J1009" s="5">
        <f t="shared" si="784"/>
        <v>20789396.29346437</v>
      </c>
      <c r="K1009" s="8">
        <f t="shared" ref="K1009:L1009" si="830">I1009/I757-1</f>
        <v>0.18562647720680658</v>
      </c>
      <c r="L1009" s="8">
        <f t="shared" si="830"/>
        <v>0.3485992859957654</v>
      </c>
      <c r="M1009" s="8">
        <f t="shared" si="776"/>
        <v>0.16297280878895881</v>
      </c>
    </row>
    <row r="1010" spans="1:13" x14ac:dyDescent="0.3">
      <c r="A1010" s="1">
        <v>45681</v>
      </c>
      <c r="B1010" s="5">
        <v>30740897.483687971</v>
      </c>
      <c r="C1010" s="5">
        <v>32823299.196192294</v>
      </c>
      <c r="D1010" s="5">
        <v>0</v>
      </c>
      <c r="E1010" s="5">
        <f t="shared" si="780"/>
        <v>0</v>
      </c>
      <c r="F1010" s="5">
        <f t="shared" si="780"/>
        <v>0</v>
      </c>
      <c r="G1010" s="9">
        <f t="shared" si="782"/>
        <v>-1.5838478597120953E-2</v>
      </c>
      <c r="H1010" s="9">
        <f t="shared" si="782"/>
        <v>-5.2989764807597206E-3</v>
      </c>
      <c r="I1010" s="5">
        <f t="shared" si="783"/>
        <v>19683306.568463724</v>
      </c>
      <c r="J1010" s="5">
        <f t="shared" si="784"/>
        <v>20679233.771456107</v>
      </c>
      <c r="K1010" s="8">
        <f t="shared" ref="K1010:L1010" si="831">I1010/I758-1</f>
        <v>0.15062556112103787</v>
      </c>
      <c r="L1010" s="8">
        <f t="shared" si="831"/>
        <v>0.32601663479350806</v>
      </c>
      <c r="M1010" s="8">
        <f t="shared" si="776"/>
        <v>0.1753910736724702</v>
      </c>
    </row>
    <row r="1011" spans="1:13" x14ac:dyDescent="0.3">
      <c r="A1011" s="1">
        <v>45684</v>
      </c>
      <c r="B1011" s="5">
        <v>29873636.111404415</v>
      </c>
      <c r="C1011" s="5">
        <v>32397520.54560839</v>
      </c>
      <c r="D1011" s="5">
        <v>0</v>
      </c>
      <c r="E1011" s="5">
        <f t="shared" si="780"/>
        <v>0</v>
      </c>
      <c r="F1011" s="5">
        <f t="shared" si="780"/>
        <v>0</v>
      </c>
      <c r="G1011" s="9">
        <f t="shared" si="782"/>
        <v>-2.8211973080608632E-2</v>
      </c>
      <c r="H1011" s="9">
        <f t="shared" si="782"/>
        <v>-1.2971841984528387E-2</v>
      </c>
      <c r="I1011" s="5">
        <f t="shared" si="783"/>
        <v>19128001.653416857</v>
      </c>
      <c r="J1011" s="5">
        <f t="shared" si="784"/>
        <v>20410986.018611655</v>
      </c>
      <c r="K1011" s="8">
        <f t="shared" ref="K1011:L1011" si="832">I1011/I759-1</f>
        <v>0.11779178588267225</v>
      </c>
      <c r="L1011" s="8">
        <f t="shared" si="832"/>
        <v>0.30610858742812708</v>
      </c>
      <c r="M1011" s="8">
        <f t="shared" si="776"/>
        <v>0.18831680154545483</v>
      </c>
    </row>
    <row r="1012" spans="1:13" x14ac:dyDescent="0.3">
      <c r="A1012" s="1">
        <v>45685</v>
      </c>
      <c r="B1012" s="5">
        <v>29962762.236316822</v>
      </c>
      <c r="C1012" s="5">
        <v>32764342.21783106</v>
      </c>
      <c r="D1012" s="5">
        <v>0</v>
      </c>
      <c r="E1012" s="5">
        <f t="shared" si="780"/>
        <v>0</v>
      </c>
      <c r="F1012" s="5">
        <f t="shared" si="780"/>
        <v>0</v>
      </c>
      <c r="G1012" s="9">
        <f t="shared" si="782"/>
        <v>2.9834374556896304E-3</v>
      </c>
      <c r="H1012" s="9">
        <f t="shared" si="782"/>
        <v>1.1322523021669806E-2</v>
      </c>
      <c r="I1012" s="5">
        <f t="shared" si="783"/>
        <v>19185068.850002155</v>
      </c>
      <c r="J1012" s="5">
        <f t="shared" si="784"/>
        <v>20642089.877702367</v>
      </c>
      <c r="K1012" s="8">
        <f t="shared" ref="K1012:L1012" si="833">I1012/I760-1</f>
        <v>0.15126104369939775</v>
      </c>
      <c r="L1012" s="8">
        <f t="shared" si="833"/>
        <v>0.31591096679881647</v>
      </c>
      <c r="M1012" s="8">
        <f t="shared" si="776"/>
        <v>0.16464992309941873</v>
      </c>
    </row>
    <row r="1013" spans="1:13" x14ac:dyDescent="0.3">
      <c r="A1013" s="1">
        <v>45686</v>
      </c>
      <c r="B1013" s="5">
        <v>30567816.668774992</v>
      </c>
      <c r="C1013" s="5">
        <v>32645135.082008321</v>
      </c>
      <c r="D1013" s="5">
        <v>0</v>
      </c>
      <c r="E1013" s="5">
        <f t="shared" si="780"/>
        <v>0</v>
      </c>
      <c r="F1013" s="5">
        <f t="shared" si="780"/>
        <v>0</v>
      </c>
      <c r="G1013" s="9">
        <f t="shared" si="782"/>
        <v>2.0193546499020831E-2</v>
      </c>
      <c r="H1013" s="9">
        <f t="shared" si="782"/>
        <v>-3.6383192139247678E-3</v>
      </c>
      <c r="I1013" s="5">
        <f t="shared" si="783"/>
        <v>19572483.429911591</v>
      </c>
      <c r="J1013" s="5">
        <f t="shared" si="784"/>
        <v>20566987.365484759</v>
      </c>
      <c r="K1013" s="8">
        <f t="shared" ref="K1013:L1013" si="834">I1013/I761-1</f>
        <v>0.1547145210662968</v>
      </c>
      <c r="L1013" s="8">
        <f t="shared" si="834"/>
        <v>0.31099293110036474</v>
      </c>
      <c r="M1013" s="8">
        <f t="shared" si="776"/>
        <v>0.15627841003406795</v>
      </c>
    </row>
    <row r="1014" spans="1:13" x14ac:dyDescent="0.3">
      <c r="A1014" s="1">
        <v>45687</v>
      </c>
      <c r="B1014" s="5">
        <v>30594350.479677763</v>
      </c>
      <c r="C1014" s="5">
        <v>32795127.664492082</v>
      </c>
      <c r="D1014" s="5">
        <v>0</v>
      </c>
      <c r="E1014" s="5">
        <f t="shared" si="780"/>
        <v>0</v>
      </c>
      <c r="F1014" s="5">
        <f t="shared" si="780"/>
        <v>0</v>
      </c>
      <c r="G1014" s="9">
        <f t="shared" si="782"/>
        <v>8.6803094870280262E-4</v>
      </c>
      <c r="H1014" s="9">
        <f t="shared" si="782"/>
        <v>4.5946381323576091E-3</v>
      </c>
      <c r="I1014" s="5">
        <f t="shared" si="783"/>
        <v>19589472.951271728</v>
      </c>
      <c r="J1014" s="5">
        <f t="shared" si="784"/>
        <v>20661485.229901932</v>
      </c>
      <c r="K1014" s="8">
        <f t="shared" ref="K1014:L1014" si="835">I1014/I762-1</f>
        <v>0.15394127668572821</v>
      </c>
      <c r="L1014" s="8">
        <f t="shared" si="835"/>
        <v>0.31020851592294996</v>
      </c>
      <c r="M1014" s="8">
        <f t="shared" si="776"/>
        <v>0.15626723923722174</v>
      </c>
    </row>
    <row r="1015" spans="1:13" x14ac:dyDescent="0.3">
      <c r="A1015" s="1">
        <v>45688</v>
      </c>
      <c r="B1015" s="5">
        <v>31057259.496585403</v>
      </c>
      <c r="C1015" s="5">
        <v>32627920.913642362</v>
      </c>
      <c r="D1015" s="5">
        <v>0</v>
      </c>
      <c r="E1015" s="5">
        <f t="shared" si="780"/>
        <v>0</v>
      </c>
      <c r="F1015" s="5">
        <f t="shared" si="780"/>
        <v>0</v>
      </c>
      <c r="G1015" s="9">
        <f t="shared" si="782"/>
        <v>1.5130539124049269E-2</v>
      </c>
      <c r="H1015" s="9">
        <f t="shared" si="782"/>
        <v>-5.0985241637208079E-3</v>
      </c>
      <c r="I1015" s="5">
        <f t="shared" si="783"/>
        <v>19885872.238180451</v>
      </c>
      <c r="J1015" s="5">
        <f t="shared" si="784"/>
        <v>20556142.148198918</v>
      </c>
      <c r="K1015" s="8">
        <f t="shared" ref="K1015:L1015" si="836">I1015/I763-1</f>
        <v>0.15605103726303149</v>
      </c>
      <c r="L1015" s="8">
        <f t="shared" si="836"/>
        <v>0.29394909346913978</v>
      </c>
      <c r="M1015" s="8">
        <f t="shared" si="776"/>
        <v>0.13789805620610829</v>
      </c>
    </row>
    <row r="1016" spans="1:13" x14ac:dyDescent="0.3">
      <c r="A1016" s="1">
        <v>45689</v>
      </c>
      <c r="B1016" s="5">
        <v>31242119.307439081</v>
      </c>
      <c r="C1016" s="5">
        <v>32624868.931420434</v>
      </c>
      <c r="D1016" s="5">
        <v>0</v>
      </c>
      <c r="E1016" s="5">
        <f t="shared" si="780"/>
        <v>0</v>
      </c>
      <c r="F1016" s="5">
        <f t="shared" si="780"/>
        <v>0</v>
      </c>
      <c r="G1016" s="9">
        <f t="shared" si="782"/>
        <v>5.9522254651607209E-3</v>
      </c>
      <c r="H1016" s="9">
        <f t="shared" si="782"/>
        <v>-9.3538973261697578E-5</v>
      </c>
      <c r="I1016" s="5">
        <f t="shared" si="783"/>
        <v>20004237.433313482</v>
      </c>
      <c r="J1016" s="5">
        <f t="shared" si="784"/>
        <v>20554219.347768154</v>
      </c>
      <c r="K1016" s="8">
        <f t="shared" ref="K1016:L1016" si="837">I1016/I764-1</f>
        <v>0.16682366404812465</v>
      </c>
      <c r="L1016" s="8">
        <f t="shared" si="837"/>
        <v>0.29465662149192573</v>
      </c>
      <c r="M1016" s="8">
        <f t="shared" si="776"/>
        <v>0.12783295744380108</v>
      </c>
    </row>
    <row r="1017" spans="1:13" x14ac:dyDescent="0.3">
      <c r="A1017" s="1">
        <v>45691</v>
      </c>
      <c r="B1017" s="5">
        <v>30817229.658144269</v>
      </c>
      <c r="C1017" s="5">
        <v>32624868.931420434</v>
      </c>
      <c r="D1017" s="5">
        <v>0</v>
      </c>
      <c r="E1017" s="5">
        <f t="shared" si="780"/>
        <v>0</v>
      </c>
      <c r="F1017" s="5">
        <f t="shared" si="780"/>
        <v>0</v>
      </c>
      <c r="G1017" s="9">
        <f t="shared" si="782"/>
        <v>-1.3599898429222157E-2</v>
      </c>
      <c r="H1017" s="9">
        <f t="shared" si="782"/>
        <v>0</v>
      </c>
      <c r="I1017" s="5">
        <f t="shared" si="783"/>
        <v>19732181.836066373</v>
      </c>
      <c r="J1017" s="5">
        <f t="shared" si="784"/>
        <v>20554219.347768154</v>
      </c>
      <c r="K1017" s="8">
        <f t="shared" ref="K1017:L1017" si="838">I1017/I765-1</f>
        <v>0.14110868461433501</v>
      </c>
      <c r="L1017" s="8">
        <f t="shared" si="838"/>
        <v>0.31723495702811033</v>
      </c>
      <c r="M1017" s="8">
        <f t="shared" si="776"/>
        <v>0.17612627241377532</v>
      </c>
    </row>
    <row r="1018" spans="1:13" x14ac:dyDescent="0.3">
      <c r="A1018" s="1">
        <v>45692</v>
      </c>
      <c r="B1018" s="5">
        <v>31291603.518404502</v>
      </c>
      <c r="C1018" s="5">
        <v>32811781.606762767</v>
      </c>
      <c r="D1018" s="5">
        <v>0</v>
      </c>
      <c r="E1018" s="5">
        <f t="shared" si="780"/>
        <v>0</v>
      </c>
      <c r="F1018" s="5">
        <f t="shared" si="780"/>
        <v>0</v>
      </c>
      <c r="G1018" s="9">
        <f t="shared" si="782"/>
        <v>1.5393137719466266E-2</v>
      </c>
      <c r="H1018" s="9">
        <f t="shared" si="782"/>
        <v>5.7291471648586167E-3</v>
      </c>
      <c r="I1018" s="5">
        <f t="shared" si="783"/>
        <v>20035922.028574493</v>
      </c>
      <c r="J1018" s="5">
        <f t="shared" si="784"/>
        <v>20671977.495270301</v>
      </c>
      <c r="K1018" s="8">
        <f t="shared" ref="K1018:L1018" si="839">I1018/I766-1</f>
        <v>0.15424750525029562</v>
      </c>
      <c r="L1018" s="8">
        <f t="shared" si="839"/>
        <v>0.30946974201098865</v>
      </c>
      <c r="M1018" s="8">
        <f t="shared" si="776"/>
        <v>0.15522223676069302</v>
      </c>
    </row>
    <row r="1019" spans="1:13" x14ac:dyDescent="0.3">
      <c r="A1019" s="1">
        <v>45693</v>
      </c>
      <c r="B1019" s="5">
        <v>31496448.266978212</v>
      </c>
      <c r="C1019" s="5">
        <v>32947910.297930099</v>
      </c>
      <c r="D1019" s="5">
        <v>0</v>
      </c>
      <c r="E1019" s="5">
        <f t="shared" si="780"/>
        <v>0</v>
      </c>
      <c r="F1019" s="5">
        <f t="shared" si="780"/>
        <v>0</v>
      </c>
      <c r="G1019" s="9">
        <f t="shared" si="782"/>
        <v>6.5463167604442596E-3</v>
      </c>
      <c r="H1019" s="9">
        <f t="shared" si="782"/>
        <v>4.1487747541046893E-3</v>
      </c>
      <c r="I1019" s="5">
        <f t="shared" si="783"/>
        <v>20167083.520761106</v>
      </c>
      <c r="J1019" s="5">
        <f t="shared" si="784"/>
        <v>20757740.873620097</v>
      </c>
      <c r="K1019" s="8">
        <f t="shared" ref="K1019:L1019" si="840">I1019/I767-1</f>
        <v>0.15284202449956719</v>
      </c>
      <c r="L1019" s="8">
        <f t="shared" si="840"/>
        <v>0.30141199809053854</v>
      </c>
      <c r="M1019" s="8">
        <f t="shared" si="776"/>
        <v>0.14856997359097135</v>
      </c>
    </row>
    <row r="1020" spans="1:13" x14ac:dyDescent="0.3">
      <c r="A1020" s="1">
        <v>45694</v>
      </c>
      <c r="B1020" s="5">
        <v>31262187.09858894</v>
      </c>
      <c r="C1020" s="5">
        <v>33254040.620436721</v>
      </c>
      <c r="D1020" s="5">
        <v>0</v>
      </c>
      <c r="E1020" s="5">
        <f t="shared" si="780"/>
        <v>0</v>
      </c>
      <c r="F1020" s="5">
        <f t="shared" si="780"/>
        <v>0</v>
      </c>
      <c r="G1020" s="9">
        <f t="shared" si="782"/>
        <v>-7.4377011148548666E-3</v>
      </c>
      <c r="H1020" s="9">
        <f t="shared" si="782"/>
        <v>9.2913425992255938E-3</v>
      </c>
      <c r="I1020" s="5">
        <f t="shared" si="783"/>
        <v>20017086.781175371</v>
      </c>
      <c r="J1020" s="5">
        <f t="shared" si="784"/>
        <v>20950608.15566285</v>
      </c>
      <c r="K1020" s="8">
        <f t="shared" ref="K1020:L1020" si="841">I1020/I768-1</f>
        <v>0.14982652280598274</v>
      </c>
      <c r="L1020" s="8">
        <f t="shared" si="841"/>
        <v>0.3157855015415918</v>
      </c>
      <c r="M1020" s="8">
        <f t="shared" si="776"/>
        <v>0.16595897873560905</v>
      </c>
    </row>
    <row r="1021" spans="1:13" x14ac:dyDescent="0.3">
      <c r="A1021" s="1">
        <v>45695</v>
      </c>
      <c r="B1021" s="5">
        <v>31270569.10390665</v>
      </c>
      <c r="C1021" s="5">
        <v>32888861.558398094</v>
      </c>
      <c r="D1021" s="5">
        <v>0</v>
      </c>
      <c r="E1021" s="5">
        <f t="shared" si="780"/>
        <v>0</v>
      </c>
      <c r="F1021" s="5">
        <f t="shared" si="780"/>
        <v>0</v>
      </c>
      <c r="G1021" s="9">
        <f t="shared" si="782"/>
        <v>2.6811960696404569E-4</v>
      </c>
      <c r="H1021" s="9">
        <f t="shared" si="782"/>
        <v>-1.0981494435722827E-2</v>
      </c>
      <c r="I1021" s="5">
        <f t="shared" si="783"/>
        <v>20022453.754615705</v>
      </c>
      <c r="J1021" s="5">
        <f t="shared" si="784"/>
        <v>20720539.16877643</v>
      </c>
      <c r="K1021" s="8">
        <f t="shared" ref="K1021:L1021" si="842">I1021/I769-1</f>
        <v>0.13374422087696347</v>
      </c>
      <c r="L1021" s="8">
        <f t="shared" si="842"/>
        <v>0.29845559326769777</v>
      </c>
      <c r="M1021" s="8">
        <f t="shared" si="776"/>
        <v>0.1647113723907343</v>
      </c>
    </row>
    <row r="1022" spans="1:13" x14ac:dyDescent="0.3">
      <c r="A1022" s="1">
        <v>45698</v>
      </c>
      <c r="B1022" s="5">
        <v>30698856.272502199</v>
      </c>
      <c r="C1022" s="5">
        <v>33121990.613878921</v>
      </c>
      <c r="D1022" s="5">
        <v>0</v>
      </c>
      <c r="E1022" s="5">
        <f t="shared" si="780"/>
        <v>0</v>
      </c>
      <c r="F1022" s="5">
        <f t="shared" si="780"/>
        <v>0</v>
      </c>
      <c r="G1022" s="9">
        <f t="shared" si="782"/>
        <v>-1.8282776674282797E-2</v>
      </c>
      <c r="H1022" s="9">
        <f t="shared" si="782"/>
        <v>7.0883893340873971E-3</v>
      </c>
      <c r="I1022" s="5">
        <f t="shared" si="783"/>
        <v>19656387.704148911</v>
      </c>
      <c r="J1022" s="5">
        <f t="shared" si="784"/>
        <v>20867414.417616926</v>
      </c>
      <c r="K1022" s="8">
        <f t="shared" ref="K1022:L1022" si="843">I1022/I770-1</f>
        <v>9.508417296123417E-2</v>
      </c>
      <c r="L1022" s="8">
        <f t="shared" si="843"/>
        <v>0.29789153056511464</v>
      </c>
      <c r="M1022" s="8">
        <f t="shared" si="776"/>
        <v>0.20280735760388047</v>
      </c>
    </row>
    <row r="1023" spans="1:13" x14ac:dyDescent="0.3">
      <c r="A1023" s="1">
        <v>45699</v>
      </c>
      <c r="B1023" s="5">
        <v>29930021.322629366</v>
      </c>
      <c r="C1023" s="5">
        <v>32872604.774383601</v>
      </c>
      <c r="D1023" s="5">
        <v>0</v>
      </c>
      <c r="E1023" s="5">
        <f t="shared" si="780"/>
        <v>0</v>
      </c>
      <c r="F1023" s="5">
        <f t="shared" si="780"/>
        <v>0</v>
      </c>
      <c r="G1023" s="9">
        <f t="shared" si="782"/>
        <v>-2.504441673814084E-2</v>
      </c>
      <c r="H1023" s="9">
        <f t="shared" si="782"/>
        <v>-7.529313150364203E-3</v>
      </c>
      <c r="I1023" s="5">
        <f t="shared" si="783"/>
        <v>19164104.938919738</v>
      </c>
      <c r="J1023" s="5">
        <f t="shared" si="784"/>
        <v>20710297.119828265</v>
      </c>
      <c r="K1023" s="8">
        <f t="shared" ref="K1023:L1023" si="844">I1023/I771-1</f>
        <v>6.2542489019802527E-2</v>
      </c>
      <c r="L1023" s="8">
        <f t="shared" si="844"/>
        <v>0.28722166881543365</v>
      </c>
      <c r="M1023" s="8">
        <f t="shared" ref="M1023:M1086" si="845">L1023-K1023</f>
        <v>0.22467917979563112</v>
      </c>
    </row>
    <row r="1024" spans="1:13" x14ac:dyDescent="0.3">
      <c r="A1024" s="1">
        <v>45700</v>
      </c>
      <c r="B1024" s="5">
        <v>29929399.921905648</v>
      </c>
      <c r="C1024" s="5">
        <v>32839490.355344716</v>
      </c>
      <c r="D1024" s="5">
        <v>0</v>
      </c>
      <c r="E1024" s="5">
        <f t="shared" si="780"/>
        <v>0</v>
      </c>
      <c r="F1024" s="5">
        <f t="shared" si="780"/>
        <v>0</v>
      </c>
      <c r="G1024" s="9">
        <f t="shared" si="782"/>
        <v>-2.076178687004937E-5</v>
      </c>
      <c r="H1024" s="9">
        <f t="shared" si="782"/>
        <v>-1.0073561029362299E-3</v>
      </c>
      <c r="I1024" s="5">
        <f t="shared" si="783"/>
        <v>19163707.057857443</v>
      </c>
      <c r="J1024" s="5">
        <f t="shared" si="784"/>
        <v>20689434.475630984</v>
      </c>
      <c r="K1024" s="8">
        <f t="shared" ref="K1024:L1024" si="846">I1024/I772-1</f>
        <v>6.6541136154474101E-2</v>
      </c>
      <c r="L1024" s="8">
        <f t="shared" si="846"/>
        <v>0.27799934423556638</v>
      </c>
      <c r="M1024" s="8">
        <f t="shared" si="845"/>
        <v>0.21145820808109228</v>
      </c>
    </row>
    <row r="1025" spans="1:13" x14ac:dyDescent="0.3">
      <c r="A1025" s="1">
        <v>45701</v>
      </c>
      <c r="B1025" s="5">
        <v>29995113.048438847</v>
      </c>
      <c r="C1025" s="5">
        <v>33178407.824850779</v>
      </c>
      <c r="D1025" s="5">
        <v>0</v>
      </c>
      <c r="E1025" s="5">
        <f t="shared" si="780"/>
        <v>0</v>
      </c>
      <c r="F1025" s="5">
        <f t="shared" si="780"/>
        <v>0</v>
      </c>
      <c r="G1025" s="9">
        <f t="shared" si="782"/>
        <v>2.1956045461875018E-3</v>
      </c>
      <c r="H1025" s="9">
        <f t="shared" si="782"/>
        <v>1.0320424155148444E-2</v>
      </c>
      <c r="I1025" s="5">
        <f t="shared" si="783"/>
        <v>19205782.980195481</v>
      </c>
      <c r="J1025" s="5">
        <f t="shared" si="784"/>
        <v>20902958.214949645</v>
      </c>
      <c r="K1025" s="8">
        <f t="shared" ref="K1025:L1025" si="847">I1025/I773-1</f>
        <v>8.9803026844241352E-2</v>
      </c>
      <c r="L1025" s="8">
        <f t="shared" si="847"/>
        <v>0.29317752710393274</v>
      </c>
      <c r="M1025" s="8">
        <f t="shared" si="845"/>
        <v>0.20337450025969139</v>
      </c>
    </row>
    <row r="1026" spans="1:13" x14ac:dyDescent="0.3">
      <c r="A1026" s="1">
        <v>45702</v>
      </c>
      <c r="B1026" s="5">
        <v>29318497.41819204</v>
      </c>
      <c r="C1026" s="5">
        <v>33157030.881142922</v>
      </c>
      <c r="D1026" s="5">
        <v>0</v>
      </c>
      <c r="E1026" s="5">
        <f t="shared" si="780"/>
        <v>0</v>
      </c>
      <c r="F1026" s="5">
        <f t="shared" si="780"/>
        <v>0</v>
      </c>
      <c r="G1026" s="9">
        <f t="shared" si="782"/>
        <v>-2.2557528926600345E-2</v>
      </c>
      <c r="H1026" s="9">
        <f t="shared" si="782"/>
        <v>-6.4430287977368383E-4</v>
      </c>
      <c r="I1026" s="5">
        <f t="shared" si="783"/>
        <v>18772547.975061715</v>
      </c>
      <c r="J1026" s="5">
        <f t="shared" si="784"/>
        <v>20889490.378775965</v>
      </c>
      <c r="K1026" s="8">
        <f t="shared" ref="K1026:L1026" si="848">I1026/I774-1</f>
        <v>5.4560484058230996E-2</v>
      </c>
      <c r="L1026" s="8">
        <f t="shared" si="848"/>
        <v>0.30837032178806645</v>
      </c>
      <c r="M1026" s="8">
        <f t="shared" si="845"/>
        <v>0.25380983772983545</v>
      </c>
    </row>
    <row r="1027" spans="1:13" x14ac:dyDescent="0.3">
      <c r="A1027" s="1">
        <v>45705</v>
      </c>
      <c r="B1027" s="5">
        <v>29263651.899871416</v>
      </c>
      <c r="C1027" s="5">
        <v>33296765.814730924</v>
      </c>
      <c r="D1027" s="5">
        <v>0</v>
      </c>
      <c r="E1027" s="5">
        <f t="shared" ref="E1027:F1090" si="849">$D1027*-1</f>
        <v>0</v>
      </c>
      <c r="F1027" s="5">
        <f t="shared" si="849"/>
        <v>0</v>
      </c>
      <c r="G1027" s="9">
        <f t="shared" si="782"/>
        <v>-1.8706797124804497E-3</v>
      </c>
      <c r="H1027" s="9">
        <f t="shared" si="782"/>
        <v>4.2143379510941603E-3</v>
      </c>
      <c r="I1027" s="5">
        <f t="shared" si="783"/>
        <v>18737430.550413202</v>
      </c>
      <c r="J1027" s="5">
        <f t="shared" si="784"/>
        <v>20977525.750858258</v>
      </c>
      <c r="K1027" s="8">
        <f t="shared" ref="K1027:L1027" si="850">I1027/I775-1</f>
        <v>3.8363636274550306E-2</v>
      </c>
      <c r="L1027" s="8">
        <f t="shared" si="850"/>
        <v>0.30180087016002521</v>
      </c>
      <c r="M1027" s="8">
        <f t="shared" si="845"/>
        <v>0.26343723388547491</v>
      </c>
    </row>
    <row r="1028" spans="1:13" x14ac:dyDescent="0.3">
      <c r="A1028" s="1">
        <v>45706</v>
      </c>
      <c r="B1028" s="5">
        <v>29271578.211325072</v>
      </c>
      <c r="C1028" s="5">
        <v>33296765.814730924</v>
      </c>
      <c r="D1028" s="5">
        <v>0</v>
      </c>
      <c r="E1028" s="5">
        <f t="shared" si="849"/>
        <v>0</v>
      </c>
      <c r="F1028" s="5">
        <f t="shared" si="849"/>
        <v>0</v>
      </c>
      <c r="G1028" s="9">
        <f t="shared" ref="G1028:H1091" si="851">((B1028-$D1028)/B1027-1)</f>
        <v>2.7085858869480006E-4</v>
      </c>
      <c r="H1028" s="9">
        <f t="shared" si="851"/>
        <v>0</v>
      </c>
      <c r="I1028" s="5">
        <f t="shared" ref="I1028:I1091" si="852">I1027*(1+G1028)</f>
        <v>18742505.744407855</v>
      </c>
      <c r="J1028" s="5">
        <f t="shared" ref="J1028:J1091" si="853">J1027*(1+H1028)</f>
        <v>20977525.750858258</v>
      </c>
      <c r="K1028" s="8">
        <f t="shared" ref="K1028:L1028" si="854">I1028/I776-1</f>
        <v>2.9477956974627073E-2</v>
      </c>
      <c r="L1028" s="8">
        <f t="shared" si="854"/>
        <v>0.29428657030307881</v>
      </c>
      <c r="M1028" s="8">
        <f t="shared" si="845"/>
        <v>0.26480861332845174</v>
      </c>
    </row>
    <row r="1029" spans="1:13" x14ac:dyDescent="0.3">
      <c r="A1029" s="1">
        <v>45707</v>
      </c>
      <c r="B1029" s="5">
        <v>29619686.896752011</v>
      </c>
      <c r="C1029" s="5">
        <v>33376487.238087315</v>
      </c>
      <c r="D1029" s="5">
        <v>0</v>
      </c>
      <c r="E1029" s="5">
        <f t="shared" si="849"/>
        <v>0</v>
      </c>
      <c r="F1029" s="5">
        <f t="shared" si="849"/>
        <v>0</v>
      </c>
      <c r="G1029" s="9">
        <f t="shared" si="851"/>
        <v>1.1892378433228989E-2</v>
      </c>
      <c r="H1029" s="9">
        <f t="shared" si="851"/>
        <v>2.3942692752796368E-3</v>
      </c>
      <c r="I1029" s="5">
        <f t="shared" si="852"/>
        <v>18965398.715507321</v>
      </c>
      <c r="J1029" s="5">
        <f t="shared" si="853"/>
        <v>21027751.596234925</v>
      </c>
      <c r="K1029" s="8">
        <f t="shared" ref="K1029:L1029" si="855">I1029/I777-1</f>
        <v>3.4604507851770938E-2</v>
      </c>
      <c r="L1029" s="8">
        <f t="shared" si="855"/>
        <v>0.30312611001243162</v>
      </c>
      <c r="M1029" s="8">
        <f t="shared" si="845"/>
        <v>0.26852160216066068</v>
      </c>
    </row>
    <row r="1030" spans="1:13" x14ac:dyDescent="0.3">
      <c r="A1030" s="1">
        <v>45708</v>
      </c>
      <c r="B1030" s="5">
        <v>30055564.982177902</v>
      </c>
      <c r="C1030" s="5">
        <v>33117806.531763632</v>
      </c>
      <c r="D1030" s="5">
        <v>0</v>
      </c>
      <c r="E1030" s="5">
        <f t="shared" si="849"/>
        <v>0</v>
      </c>
      <c r="F1030" s="5">
        <f t="shared" si="849"/>
        <v>0</v>
      </c>
      <c r="G1030" s="9">
        <f t="shared" si="851"/>
        <v>1.4715823531331385E-2</v>
      </c>
      <c r="H1030" s="9">
        <f t="shared" si="851"/>
        <v>-7.7503874053136412E-3</v>
      </c>
      <c r="I1030" s="5">
        <f t="shared" si="852"/>
        <v>19244490.176206067</v>
      </c>
      <c r="J1030" s="5">
        <f t="shared" si="853"/>
        <v>20864778.375101402</v>
      </c>
      <c r="K1030" s="8">
        <f t="shared" ref="K1030:L1030" si="856">I1030/I778-1</f>
        <v>4.8680846717271464E-2</v>
      </c>
      <c r="L1030" s="8">
        <f t="shared" si="856"/>
        <v>0.30298915239446989</v>
      </c>
      <c r="M1030" s="8">
        <f t="shared" si="845"/>
        <v>0.25430830567719842</v>
      </c>
    </row>
    <row r="1031" spans="1:13" x14ac:dyDescent="0.3">
      <c r="A1031" s="1">
        <v>45709</v>
      </c>
      <c r="B1031" s="5">
        <v>29773749.397292972</v>
      </c>
      <c r="C1031" s="5">
        <v>32572653.700253528</v>
      </c>
      <c r="D1031" s="5">
        <v>0</v>
      </c>
      <c r="E1031" s="5">
        <f t="shared" si="849"/>
        <v>0</v>
      </c>
      <c r="F1031" s="5">
        <f t="shared" si="849"/>
        <v>0</v>
      </c>
      <c r="G1031" s="9">
        <f t="shared" si="851"/>
        <v>-9.3764860202109057E-3</v>
      </c>
      <c r="H1031" s="9">
        <f t="shared" si="851"/>
        <v>-1.6461018666415694E-2</v>
      </c>
      <c r="I1031" s="5">
        <f t="shared" si="852"/>
        <v>19064044.483102784</v>
      </c>
      <c r="J1031" s="5">
        <f t="shared" si="853"/>
        <v>20521322.86879823</v>
      </c>
      <c r="K1031" s="8">
        <f t="shared" ref="K1031:L1031" si="857">I1031/I779-1</f>
        <v>3.7613566529210329E-2</v>
      </c>
      <c r="L1031" s="8">
        <f t="shared" si="857"/>
        <v>0.28154062363476728</v>
      </c>
      <c r="M1031" s="8">
        <f t="shared" si="845"/>
        <v>0.24392705710555695</v>
      </c>
    </row>
    <row r="1032" spans="1:13" x14ac:dyDescent="0.3">
      <c r="A1032" s="1">
        <v>45712</v>
      </c>
      <c r="B1032" s="5">
        <v>29422088.371062107</v>
      </c>
      <c r="C1032" s="5">
        <v>32419440.101812191</v>
      </c>
      <c r="D1032" s="5">
        <v>0</v>
      </c>
      <c r="E1032" s="5">
        <f t="shared" si="849"/>
        <v>0</v>
      </c>
      <c r="F1032" s="5">
        <f t="shared" si="849"/>
        <v>0</v>
      </c>
      <c r="G1032" s="9">
        <f t="shared" si="851"/>
        <v>-1.1811109898803629E-2</v>
      </c>
      <c r="H1032" s="9">
        <f t="shared" si="851"/>
        <v>-4.7037493429693544E-3</v>
      </c>
      <c r="I1032" s="5">
        <f t="shared" si="852"/>
        <v>18838876.958597176</v>
      </c>
      <c r="J1032" s="5">
        <f t="shared" si="853"/>
        <v>20424795.709837258</v>
      </c>
      <c r="K1032" s="8">
        <f t="shared" ref="K1032:L1032" si="858">I1032/I780-1</f>
        <v>3.0923313284543896E-2</v>
      </c>
      <c r="L1032" s="8">
        <f t="shared" si="858"/>
        <v>0.272616764574517</v>
      </c>
      <c r="M1032" s="8">
        <f t="shared" si="845"/>
        <v>0.2416934512899731</v>
      </c>
    </row>
    <row r="1033" spans="1:13" x14ac:dyDescent="0.3">
      <c r="A1033" s="1">
        <v>45713</v>
      </c>
      <c r="B1033" s="5">
        <v>29205392.129796598</v>
      </c>
      <c r="C1033" s="5">
        <v>32446878.396417107</v>
      </c>
      <c r="D1033" s="5">
        <v>0</v>
      </c>
      <c r="E1033" s="5">
        <f t="shared" si="849"/>
        <v>0</v>
      </c>
      <c r="F1033" s="5">
        <f t="shared" si="849"/>
        <v>0</v>
      </c>
      <c r="G1033" s="9">
        <f t="shared" si="851"/>
        <v>-7.3650870234840404E-3</v>
      </c>
      <c r="H1033" s="9">
        <f t="shared" si="851"/>
        <v>8.4635313005865243E-4</v>
      </c>
      <c r="I1033" s="5">
        <f t="shared" si="852"/>
        <v>18700126.990372401</v>
      </c>
      <c r="J1033" s="5">
        <f t="shared" si="853"/>
        <v>20442082.299617086</v>
      </c>
      <c r="K1033" s="8">
        <f t="shared" ref="K1033:L1033" si="859">I1033/I781-1</f>
        <v>1.2706910763849999E-2</v>
      </c>
      <c r="L1033" s="8">
        <f t="shared" si="859"/>
        <v>0.24878668263834824</v>
      </c>
      <c r="M1033" s="8">
        <f t="shared" si="845"/>
        <v>0.23607977187449825</v>
      </c>
    </row>
    <row r="1034" spans="1:13" x14ac:dyDescent="0.3">
      <c r="A1034" s="1">
        <v>45715</v>
      </c>
      <c r="B1034" s="5">
        <v>28936874.520399235</v>
      </c>
      <c r="C1034" s="5">
        <v>31926440.569780983</v>
      </c>
      <c r="D1034" s="5">
        <v>0</v>
      </c>
      <c r="E1034" s="5">
        <f t="shared" si="849"/>
        <v>0</v>
      </c>
      <c r="F1034" s="5">
        <f t="shared" si="849"/>
        <v>0</v>
      </c>
      <c r="G1034" s="9">
        <f t="shared" si="851"/>
        <v>-9.1941107383184395E-3</v>
      </c>
      <c r="H1034" s="9">
        <f t="shared" si="851"/>
        <v>-1.60396886343801E-2</v>
      </c>
      <c r="I1034" s="5">
        <f t="shared" si="852"/>
        <v>18528195.952002298</v>
      </c>
      <c r="J1034" s="5">
        <f t="shared" si="853"/>
        <v>20114197.664492853</v>
      </c>
      <c r="K1034" s="8">
        <f t="shared" ref="K1034:L1034" si="860">I1034/I782-1</f>
        <v>6.7176316880379616E-4</v>
      </c>
      <c r="L1034" s="8">
        <f t="shared" si="860"/>
        <v>0.22830251735804241</v>
      </c>
      <c r="M1034" s="8">
        <f t="shared" si="845"/>
        <v>0.22763075418923862</v>
      </c>
    </row>
    <row r="1035" spans="1:13" x14ac:dyDescent="0.3">
      <c r="A1035" s="1">
        <v>45716</v>
      </c>
      <c r="B1035" s="5">
        <v>28104756.811268181</v>
      </c>
      <c r="C1035" s="5">
        <v>32559427.307597257</v>
      </c>
      <c r="D1035" s="5">
        <v>0</v>
      </c>
      <c r="E1035" s="5">
        <f t="shared" si="849"/>
        <v>0</v>
      </c>
      <c r="F1035" s="5">
        <f t="shared" si="849"/>
        <v>0</v>
      </c>
      <c r="G1035" s="9">
        <f t="shared" si="851"/>
        <v>-2.8756309135751668E-2</v>
      </c>
      <c r="H1035" s="9">
        <f t="shared" si="851"/>
        <v>1.9826411166405045E-2</v>
      </c>
      <c r="I1035" s="5">
        <f t="shared" si="852"/>
        <v>17995393.421478737</v>
      </c>
      <c r="J1035" s="5">
        <f t="shared" si="853"/>
        <v>20512990.017671432</v>
      </c>
      <c r="K1035" s="8">
        <f t="shared" ref="K1035:L1035" si="861">I1035/I783-1</f>
        <v>-2.8839265892676824E-2</v>
      </c>
      <c r="L1035" s="8">
        <f t="shared" si="861"/>
        <v>0.25752142523438071</v>
      </c>
      <c r="M1035" s="8">
        <f t="shared" si="845"/>
        <v>0.28636069112705753</v>
      </c>
    </row>
    <row r="1036" spans="1:13" x14ac:dyDescent="0.3">
      <c r="A1036" s="1">
        <v>45719</v>
      </c>
      <c r="B1036" s="5">
        <v>28392251.308322653</v>
      </c>
      <c r="C1036" s="5">
        <v>31934670.95021024</v>
      </c>
      <c r="D1036" s="5">
        <v>0</v>
      </c>
      <c r="E1036" s="5">
        <f t="shared" si="849"/>
        <v>0</v>
      </c>
      <c r="F1036" s="5">
        <f t="shared" si="849"/>
        <v>0</v>
      </c>
      <c r="G1036" s="9">
        <f t="shared" si="851"/>
        <v>1.0229389244855724E-2</v>
      </c>
      <c r="H1036" s="9">
        <f t="shared" si="851"/>
        <v>-1.9188186311902333E-2</v>
      </c>
      <c r="I1036" s="5">
        <f t="shared" si="852"/>
        <v>18179475.305401359</v>
      </c>
      <c r="J1036" s="5">
        <f t="shared" si="853"/>
        <v>20119382.943398159</v>
      </c>
      <c r="K1036" s="8">
        <f t="shared" ref="K1036:L1036" si="862">I1036/I784-1</f>
        <v>-1.8110499908965405E-2</v>
      </c>
      <c r="L1036" s="8">
        <f t="shared" si="862"/>
        <v>0.23082626035186027</v>
      </c>
      <c r="M1036" s="8">
        <f t="shared" si="845"/>
        <v>0.24893676026082567</v>
      </c>
    </row>
    <row r="1037" spans="1:13" x14ac:dyDescent="0.3">
      <c r="A1037" s="1">
        <v>45720</v>
      </c>
      <c r="B1037" s="5">
        <v>28549876.506346263</v>
      </c>
      <c r="C1037" s="5">
        <v>31512345.701459128</v>
      </c>
      <c r="D1037" s="5">
        <v>0</v>
      </c>
      <c r="E1037" s="5">
        <f t="shared" si="849"/>
        <v>0</v>
      </c>
      <c r="F1037" s="5">
        <f t="shared" si="849"/>
        <v>0</v>
      </c>
      <c r="G1037" s="9">
        <f t="shared" si="851"/>
        <v>5.5516977611917984E-3</v>
      </c>
      <c r="H1037" s="9">
        <f t="shared" si="851"/>
        <v>-1.3224662606029836E-2</v>
      </c>
      <c r="I1037" s="5">
        <f t="shared" si="852"/>
        <v>18280402.257753998</v>
      </c>
      <c r="J1037" s="5">
        <f t="shared" si="853"/>
        <v>19853310.892130207</v>
      </c>
      <c r="K1037" s="8">
        <f t="shared" ref="K1037:L1037" si="863">I1037/I785-1</f>
        <v>2.4903449242730247E-4</v>
      </c>
      <c r="L1037" s="8">
        <f t="shared" si="863"/>
        <v>0.21645214561662907</v>
      </c>
      <c r="M1037" s="8">
        <f t="shared" si="845"/>
        <v>0.21620311112420176</v>
      </c>
    </row>
    <row r="1038" spans="1:13" x14ac:dyDescent="0.3">
      <c r="A1038" s="1">
        <v>45721</v>
      </c>
      <c r="B1038" s="5">
        <v>29276266.334562909</v>
      </c>
      <c r="C1038" s="5">
        <v>31751479.573864929</v>
      </c>
      <c r="D1038" s="5">
        <v>0</v>
      </c>
      <c r="E1038" s="5">
        <f t="shared" si="849"/>
        <v>0</v>
      </c>
      <c r="F1038" s="5">
        <f t="shared" si="849"/>
        <v>0</v>
      </c>
      <c r="G1038" s="9">
        <f t="shared" si="851"/>
        <v>2.5442836085654452E-2</v>
      </c>
      <c r="H1038" s="9">
        <f t="shared" si="851"/>
        <v>7.5885773363653097E-3</v>
      </c>
      <c r="I1038" s="5">
        <f t="shared" si="852"/>
        <v>18745507.535977859</v>
      </c>
      <c r="J1038" s="5">
        <f t="shared" si="853"/>
        <v>20003969.27721804</v>
      </c>
      <c r="K1038" s="8">
        <f t="shared" ref="K1038:L1038" si="864">I1038/I786-1</f>
        <v>1.5195973214942038E-2</v>
      </c>
      <c r="L1038" s="8">
        <f t="shared" si="864"/>
        <v>0.21919235363635536</v>
      </c>
      <c r="M1038" s="8">
        <f t="shared" si="845"/>
        <v>0.20399638042141333</v>
      </c>
    </row>
    <row r="1039" spans="1:13" x14ac:dyDescent="0.3">
      <c r="A1039" s="1">
        <v>45722</v>
      </c>
      <c r="B1039" s="5">
        <v>29607583.391544484</v>
      </c>
      <c r="C1039" s="5">
        <v>31243989.731379308</v>
      </c>
      <c r="D1039" s="5">
        <v>0</v>
      </c>
      <c r="E1039" s="5">
        <f t="shared" si="849"/>
        <v>0</v>
      </c>
      <c r="F1039" s="5">
        <f t="shared" si="849"/>
        <v>0</v>
      </c>
      <c r="G1039" s="9">
        <f t="shared" si="851"/>
        <v>1.131691634429588E-2</v>
      </c>
      <c r="H1039" s="9">
        <f t="shared" si="851"/>
        <v>-1.5983187218253092E-2</v>
      </c>
      <c r="I1039" s="5">
        <f t="shared" si="852"/>
        <v>18957648.876593888</v>
      </c>
      <c r="J1039" s="5">
        <f t="shared" si="853"/>
        <v>19684242.091152079</v>
      </c>
      <c r="K1039" s="8">
        <f t="shared" ref="K1039:L1039" si="865">I1039/I787-1</f>
        <v>1.7792675321563145E-2</v>
      </c>
      <c r="L1039" s="8">
        <f t="shared" si="865"/>
        <v>0.18953189071183885</v>
      </c>
      <c r="M1039" s="8">
        <f t="shared" si="845"/>
        <v>0.1717392153902757</v>
      </c>
    </row>
    <row r="1040" spans="1:13" x14ac:dyDescent="0.3">
      <c r="A1040" s="1">
        <v>45723</v>
      </c>
      <c r="B1040" s="5">
        <v>29478628.932467982</v>
      </c>
      <c r="C1040" s="5">
        <v>31338191.806119498</v>
      </c>
      <c r="D1040" s="5">
        <v>0</v>
      </c>
      <c r="E1040" s="5">
        <f t="shared" si="849"/>
        <v>0</v>
      </c>
      <c r="F1040" s="5">
        <f t="shared" si="849"/>
        <v>0</v>
      </c>
      <c r="G1040" s="9">
        <f t="shared" si="851"/>
        <v>-4.3554537150549688E-3</v>
      </c>
      <c r="H1040" s="9">
        <f t="shared" si="851"/>
        <v>3.0150462713018911E-3</v>
      </c>
      <c r="I1040" s="5">
        <f t="shared" si="852"/>
        <v>18875079.71436562</v>
      </c>
      <c r="J1040" s="5">
        <f t="shared" si="853"/>
        <v>19743590.991872411</v>
      </c>
      <c r="K1040" s="8">
        <f t="shared" ref="K1040:L1040" si="866">I1040/I788-1</f>
        <v>8.6653589524372521E-3</v>
      </c>
      <c r="L1040" s="8">
        <f t="shared" si="866"/>
        <v>0.1949336398249355</v>
      </c>
      <c r="M1040" s="8">
        <f t="shared" si="845"/>
        <v>0.18626828087249825</v>
      </c>
    </row>
    <row r="1041" spans="1:13" x14ac:dyDescent="0.3">
      <c r="A1041" s="1">
        <v>45726</v>
      </c>
      <c r="B1041" s="5">
        <v>29044949.915158805</v>
      </c>
      <c r="C1041" s="5">
        <v>30635399.817287561</v>
      </c>
      <c r="D1041" s="5">
        <v>0</v>
      </c>
      <c r="E1041" s="5">
        <f t="shared" si="849"/>
        <v>0</v>
      </c>
      <c r="F1041" s="5">
        <f t="shared" si="849"/>
        <v>0</v>
      </c>
      <c r="G1041" s="9">
        <f t="shared" si="851"/>
        <v>-1.471164138273473E-2</v>
      </c>
      <c r="H1041" s="9">
        <f t="shared" si="851"/>
        <v>-2.2426054227375758E-2</v>
      </c>
      <c r="I1041" s="5">
        <f t="shared" si="852"/>
        <v>18597396.310537342</v>
      </c>
      <c r="J1041" s="5">
        <f t="shared" si="853"/>
        <v>19300820.149645552</v>
      </c>
      <c r="K1041" s="8">
        <f t="shared" ref="K1041:L1041" si="867">I1041/I789-1</f>
        <v>-8.8352402115160489E-3</v>
      </c>
      <c r="L1041" s="8">
        <f t="shared" si="867"/>
        <v>0.16813599322010608</v>
      </c>
      <c r="M1041" s="8">
        <f t="shared" si="845"/>
        <v>0.17697123343162213</v>
      </c>
    </row>
    <row r="1042" spans="1:13" x14ac:dyDescent="0.3">
      <c r="A1042" s="1">
        <v>45727</v>
      </c>
      <c r="B1042" s="5">
        <v>29193744.318453126</v>
      </c>
      <c r="C1042" s="5">
        <v>30365564.020772472</v>
      </c>
      <c r="D1042" s="5">
        <v>0</v>
      </c>
      <c r="E1042" s="5">
        <f t="shared" si="849"/>
        <v>0</v>
      </c>
      <c r="F1042" s="5">
        <f t="shared" si="849"/>
        <v>0</v>
      </c>
      <c r="G1042" s="9">
        <f t="shared" si="851"/>
        <v>5.1229010113273965E-3</v>
      </c>
      <c r="H1042" s="9">
        <f t="shared" si="851"/>
        <v>-8.8079737207418241E-3</v>
      </c>
      <c r="I1042" s="5">
        <f t="shared" si="852"/>
        <v>18692668.930904649</v>
      </c>
      <c r="J1042" s="5">
        <f t="shared" si="853"/>
        <v>19130819.03297871</v>
      </c>
      <c r="K1042" s="8">
        <f t="shared" ref="K1042:L1042" si="868">I1042/I790-1</f>
        <v>-4.3743256728663305E-3</v>
      </c>
      <c r="L1042" s="8">
        <f t="shared" si="868"/>
        <v>0.17002488197732091</v>
      </c>
      <c r="M1042" s="8">
        <f t="shared" si="845"/>
        <v>0.17439920765018724</v>
      </c>
    </row>
    <row r="1043" spans="1:13" x14ac:dyDescent="0.3">
      <c r="A1043" s="1">
        <v>45728</v>
      </c>
      <c r="B1043" s="5">
        <v>29195432.457085896</v>
      </c>
      <c r="C1043" s="5">
        <v>30514602.343898181</v>
      </c>
      <c r="D1043" s="5">
        <v>0</v>
      </c>
      <c r="E1043" s="5">
        <f t="shared" si="849"/>
        <v>0</v>
      </c>
      <c r="F1043" s="5">
        <f t="shared" si="849"/>
        <v>0</v>
      </c>
      <c r="G1043" s="9">
        <f t="shared" si="851"/>
        <v>5.7825355129326184E-5</v>
      </c>
      <c r="H1043" s="9">
        <f t="shared" si="851"/>
        <v>4.9081361710836546E-3</v>
      </c>
      <c r="I1043" s="5">
        <f t="shared" si="852"/>
        <v>18693749.841123894</v>
      </c>
      <c r="J1043" s="5">
        <f t="shared" si="853"/>
        <v>19224715.697856929</v>
      </c>
      <c r="K1043" s="8">
        <f t="shared" ref="K1043:L1043" si="869">I1043/I791-1</f>
        <v>-1.5856360335453346E-3</v>
      </c>
      <c r="L1043" s="8">
        <f t="shared" si="869"/>
        <v>0.17079874832270403</v>
      </c>
      <c r="M1043" s="8">
        <f t="shared" si="845"/>
        <v>0.17238438435624936</v>
      </c>
    </row>
    <row r="1044" spans="1:13" x14ac:dyDescent="0.3">
      <c r="A1044" s="1">
        <v>45729</v>
      </c>
      <c r="B1044" s="5">
        <v>29046969.467510894</v>
      </c>
      <c r="C1044" s="5">
        <v>30037996.811502159</v>
      </c>
      <c r="D1044" s="5">
        <v>0</v>
      </c>
      <c r="E1044" s="5">
        <f t="shared" si="849"/>
        <v>0</v>
      </c>
      <c r="F1044" s="5">
        <f t="shared" si="849"/>
        <v>0</v>
      </c>
      <c r="G1044" s="9">
        <f t="shared" si="851"/>
        <v>-5.085144390076346E-3</v>
      </c>
      <c r="H1044" s="9">
        <f t="shared" si="851"/>
        <v>-1.5618933093890619E-2</v>
      </c>
      <c r="I1044" s="5">
        <f t="shared" si="852"/>
        <v>18598689.423989814</v>
      </c>
      <c r="J1044" s="5">
        <f t="shared" si="853"/>
        <v>18924446.149623033</v>
      </c>
      <c r="K1044" s="8">
        <f t="shared" ref="K1044:L1044" si="870">I1044/I792-1</f>
        <v>-1.5189338272299624E-2</v>
      </c>
      <c r="L1044" s="8">
        <f t="shared" si="870"/>
        <v>0.14060043966214009</v>
      </c>
      <c r="M1044" s="8">
        <f t="shared" si="845"/>
        <v>0.15578977793443971</v>
      </c>
    </row>
    <row r="1045" spans="1:13" x14ac:dyDescent="0.3">
      <c r="A1045" s="1">
        <v>45733</v>
      </c>
      <c r="B1045" s="5">
        <v>29258987.942217302</v>
      </c>
      <c r="C1045" s="5">
        <v>30807475.876085136</v>
      </c>
      <c r="D1045" s="5">
        <v>0</v>
      </c>
      <c r="E1045" s="5">
        <f t="shared" si="849"/>
        <v>0</v>
      </c>
      <c r="F1045" s="5">
        <f t="shared" si="849"/>
        <v>0</v>
      </c>
      <c r="G1045" s="9">
        <f t="shared" si="851"/>
        <v>7.2991598983691564E-3</v>
      </c>
      <c r="H1045" s="9">
        <f t="shared" si="851"/>
        <v>2.561685685672388E-2</v>
      </c>
      <c r="I1045" s="5">
        <f t="shared" si="852"/>
        <v>18734444.231995624</v>
      </c>
      <c r="J1045" s="5">
        <f t="shared" si="853"/>
        <v>19409230.977730706</v>
      </c>
      <c r="K1045" s="8">
        <f t="shared" ref="K1045:L1045" si="871">I1045/I793-1</f>
        <v>-7.7916607595465148E-3</v>
      </c>
      <c r="L1045" s="8">
        <f t="shared" si="871"/>
        <v>0.17959796536958206</v>
      </c>
      <c r="M1045" s="8">
        <f t="shared" si="845"/>
        <v>0.18738962612912857</v>
      </c>
    </row>
    <row r="1046" spans="1:13" x14ac:dyDescent="0.3">
      <c r="A1046" s="1">
        <v>45734</v>
      </c>
      <c r="B1046" s="5">
        <v>30029693.99871378</v>
      </c>
      <c r="C1046" s="5">
        <v>30378539.561683238</v>
      </c>
      <c r="D1046" s="5">
        <v>0</v>
      </c>
      <c r="E1046" s="5">
        <f t="shared" si="849"/>
        <v>0</v>
      </c>
      <c r="F1046" s="5">
        <f t="shared" si="849"/>
        <v>0</v>
      </c>
      <c r="G1046" s="9">
        <f t="shared" si="851"/>
        <v>2.634083099588147E-2</v>
      </c>
      <c r="H1046" s="9">
        <f t="shared" si="851"/>
        <v>-1.3923124248386376E-2</v>
      </c>
      <c r="I1046" s="5">
        <f t="shared" si="852"/>
        <v>19227925.061312385</v>
      </c>
      <c r="J1046" s="5">
        <f t="shared" si="853"/>
        <v>19138993.843262132</v>
      </c>
      <c r="K1046" s="8">
        <f t="shared" ref="K1046:L1046" si="872">I1046/I794-1</f>
        <v>3.4361363181801829E-2</v>
      </c>
      <c r="L1046" s="8">
        <f t="shared" si="872"/>
        <v>0.14955752928758348</v>
      </c>
      <c r="M1046" s="8">
        <f t="shared" si="845"/>
        <v>0.11519616610578165</v>
      </c>
    </row>
    <row r="1047" spans="1:13" x14ac:dyDescent="0.3">
      <c r="A1047" s="1">
        <v>45735</v>
      </c>
      <c r="B1047" s="5">
        <v>30520365.819066644</v>
      </c>
      <c r="C1047" s="5">
        <v>30681947.162639543</v>
      </c>
      <c r="D1047" s="5">
        <v>0</v>
      </c>
      <c r="E1047" s="5">
        <f t="shared" si="849"/>
        <v>0</v>
      </c>
      <c r="F1047" s="5">
        <f t="shared" si="849"/>
        <v>0</v>
      </c>
      <c r="G1047" s="9">
        <f t="shared" si="851"/>
        <v>1.6339554454796623E-2</v>
      </c>
      <c r="H1047" s="9">
        <f t="shared" si="851"/>
        <v>9.9875637648820792E-3</v>
      </c>
      <c r="I1047" s="5">
        <f t="shared" si="852"/>
        <v>19542100.789904449</v>
      </c>
      <c r="J1047" s="5">
        <f t="shared" si="853"/>
        <v>19330145.764667399</v>
      </c>
      <c r="K1047" s="8">
        <f t="shared" ref="K1047:L1047" si="873">I1047/I795-1</f>
        <v>9.2240622166556374E-2</v>
      </c>
      <c r="L1047" s="8">
        <f t="shared" si="873"/>
        <v>0.16266707945393843</v>
      </c>
      <c r="M1047" s="8">
        <f t="shared" si="845"/>
        <v>7.042645728738206E-2</v>
      </c>
    </row>
    <row r="1048" spans="1:13" x14ac:dyDescent="0.3">
      <c r="A1048" s="1">
        <v>45736</v>
      </c>
      <c r="B1048" s="5">
        <v>30695694.033263735</v>
      </c>
      <c r="C1048" s="5">
        <v>30576160.453156184</v>
      </c>
      <c r="D1048" s="5">
        <v>0</v>
      </c>
      <c r="E1048" s="5">
        <f t="shared" si="849"/>
        <v>0</v>
      </c>
      <c r="F1048" s="5">
        <f t="shared" si="849"/>
        <v>0</v>
      </c>
      <c r="G1048" s="9">
        <f t="shared" si="851"/>
        <v>5.7446301671639777E-3</v>
      </c>
      <c r="H1048" s="9">
        <f t="shared" si="851"/>
        <v>-3.4478486297692124E-3</v>
      </c>
      <c r="I1048" s="5">
        <f t="shared" si="852"/>
        <v>19654362.931631893</v>
      </c>
      <c r="J1048" s="5">
        <f t="shared" si="853"/>
        <v>19263498.34807945</v>
      </c>
      <c r="K1048" s="8">
        <f t="shared" ref="K1048:L1048" si="874">I1048/I796-1</f>
        <v>7.2785519148264921E-2</v>
      </c>
      <c r="L1048" s="8">
        <f t="shared" si="874"/>
        <v>0.16156806227613418</v>
      </c>
      <c r="M1048" s="8">
        <f t="shared" si="845"/>
        <v>8.8782543127869262E-2</v>
      </c>
    </row>
    <row r="1049" spans="1:13" x14ac:dyDescent="0.3">
      <c r="A1049" s="1">
        <v>45737</v>
      </c>
      <c r="B1049" s="5">
        <v>30966880.21354685</v>
      </c>
      <c r="C1049" s="5">
        <v>30495832.212893333</v>
      </c>
      <c r="D1049" s="5">
        <v>0</v>
      </c>
      <c r="E1049" s="5">
        <f t="shared" si="849"/>
        <v>0</v>
      </c>
      <c r="F1049" s="5">
        <f t="shared" si="849"/>
        <v>0</v>
      </c>
      <c r="G1049" s="9">
        <f t="shared" si="851"/>
        <v>8.8346652136042092E-3</v>
      </c>
      <c r="H1049" s="9">
        <f t="shared" si="851"/>
        <v>-2.6271526271559598E-3</v>
      </c>
      <c r="I1049" s="5">
        <f t="shared" si="852"/>
        <v>19828002.648119532</v>
      </c>
      <c r="J1049" s="5">
        <f t="shared" si="853"/>
        <v>19212890.197786078</v>
      </c>
      <c r="K1049" s="8">
        <f t="shared" ref="K1049:L1049" si="875">I1049/I797-1</f>
        <v>9.0864260708479083E-2</v>
      </c>
      <c r="L1049" s="8">
        <f t="shared" si="875"/>
        <v>0.16547432855340194</v>
      </c>
      <c r="M1049" s="8">
        <f t="shared" si="845"/>
        <v>7.4610067844922856E-2</v>
      </c>
    </row>
    <row r="1050" spans="1:13" x14ac:dyDescent="0.3">
      <c r="A1050" s="1">
        <v>45740</v>
      </c>
      <c r="B1050" s="5">
        <v>31352404.126994103</v>
      </c>
      <c r="C1050" s="5">
        <v>30871806.13860774</v>
      </c>
      <c r="D1050" s="5">
        <v>0</v>
      </c>
      <c r="E1050" s="5">
        <f t="shared" si="849"/>
        <v>0</v>
      </c>
      <c r="F1050" s="5">
        <f t="shared" si="849"/>
        <v>0</v>
      </c>
      <c r="G1050" s="9">
        <f t="shared" si="851"/>
        <v>1.2449556131863826E-2</v>
      </c>
      <c r="H1050" s="9">
        <f t="shared" si="851"/>
        <v>1.232869865920394E-2</v>
      </c>
      <c r="I1050" s="5">
        <f t="shared" si="852"/>
        <v>20074852.48007004</v>
      </c>
      <c r="J1050" s="5">
        <f t="shared" si="853"/>
        <v>19449760.131406955</v>
      </c>
      <c r="K1050" s="8">
        <f t="shared" ref="K1050:L1050" si="876">I1050/I798-1</f>
        <v>9.7578552618380998E-2</v>
      </c>
      <c r="L1050" s="8">
        <f t="shared" si="876"/>
        <v>0.17199863254405767</v>
      </c>
      <c r="M1050" s="8">
        <f t="shared" si="845"/>
        <v>7.4420079925676674E-2</v>
      </c>
    </row>
    <row r="1051" spans="1:13" x14ac:dyDescent="0.3">
      <c r="A1051" s="1">
        <v>45741</v>
      </c>
      <c r="B1051" s="5">
        <v>30891949.642945159</v>
      </c>
      <c r="C1051" s="5">
        <v>30997529.738007374</v>
      </c>
      <c r="D1051" s="5">
        <v>0</v>
      </c>
      <c r="E1051" s="5">
        <f t="shared" si="849"/>
        <v>0</v>
      </c>
      <c r="F1051" s="5">
        <f t="shared" si="849"/>
        <v>0</v>
      </c>
      <c r="G1051" s="9">
        <f t="shared" si="851"/>
        <v>-1.4686417098473736E-2</v>
      </c>
      <c r="H1051" s="9">
        <f t="shared" si="851"/>
        <v>4.0724406869867558E-3</v>
      </c>
      <c r="I1051" s="5">
        <f t="shared" si="852"/>
        <v>19780024.8233574</v>
      </c>
      <c r="J1051" s="5">
        <f t="shared" si="853"/>
        <v>19528968.125918228</v>
      </c>
      <c r="K1051" s="8">
        <f t="shared" ref="K1051:L1051" si="877">I1051/I799-1</f>
        <v>0.10054369114967976</v>
      </c>
      <c r="L1051" s="8">
        <f t="shared" si="877"/>
        <v>0.16846969289672664</v>
      </c>
      <c r="M1051" s="8">
        <f t="shared" si="845"/>
        <v>6.7926001747046882E-2</v>
      </c>
    </row>
    <row r="1052" spans="1:13" x14ac:dyDescent="0.3">
      <c r="A1052" s="1">
        <v>45742</v>
      </c>
      <c r="B1052" s="5">
        <v>30781644.110032689</v>
      </c>
      <c r="C1052" s="5">
        <v>30630254.657646727</v>
      </c>
      <c r="D1052" s="5">
        <v>0</v>
      </c>
      <c r="E1052" s="5">
        <f t="shared" si="849"/>
        <v>0</v>
      </c>
      <c r="F1052" s="5">
        <f t="shared" si="849"/>
        <v>0</v>
      </c>
      <c r="G1052" s="9">
        <f t="shared" si="851"/>
        <v>-3.5706886158821671E-3</v>
      </c>
      <c r="H1052" s="9">
        <f t="shared" si="851"/>
        <v>-1.1848527397662734E-2</v>
      </c>
      <c r="I1052" s="5">
        <f t="shared" si="852"/>
        <v>19709396.513898771</v>
      </c>
      <c r="J1052" s="5">
        <f t="shared" si="853"/>
        <v>19297578.612030204</v>
      </c>
      <c r="K1052" s="8">
        <f t="shared" ref="K1052:L1052" si="878">I1052/I800-1</f>
        <v>9.3210492070037398E-2</v>
      </c>
      <c r="L1052" s="8">
        <f t="shared" si="878"/>
        <v>0.14194543522664538</v>
      </c>
      <c r="M1052" s="8">
        <f t="shared" si="845"/>
        <v>4.8734943156607979E-2</v>
      </c>
    </row>
    <row r="1053" spans="1:13" x14ac:dyDescent="0.3">
      <c r="A1053" s="1">
        <v>45743</v>
      </c>
      <c r="B1053" s="5">
        <v>31265459.809067201</v>
      </c>
      <c r="C1053" s="5">
        <v>30557578.105847567</v>
      </c>
      <c r="D1053" s="5">
        <v>0</v>
      </c>
      <c r="E1053" s="5">
        <f t="shared" si="849"/>
        <v>0</v>
      </c>
      <c r="F1053" s="5">
        <f t="shared" si="849"/>
        <v>0</v>
      </c>
      <c r="G1053" s="9">
        <f t="shared" si="851"/>
        <v>1.5717669183135774E-2</v>
      </c>
      <c r="H1053" s="9">
        <f t="shared" si="851"/>
        <v>-2.3727047852347694E-3</v>
      </c>
      <c r="I1053" s="5">
        <f t="shared" si="852"/>
        <v>20019182.28810348</v>
      </c>
      <c r="J1053" s="5">
        <f t="shared" si="853"/>
        <v>19251791.154913995</v>
      </c>
      <c r="K1053" s="8">
        <f t="shared" ref="K1053:L1053" si="879">I1053/I801-1</f>
        <v>8.5197762696746615E-2</v>
      </c>
      <c r="L1053" s="8">
        <f t="shared" si="879"/>
        <v>0.1359441814027309</v>
      </c>
      <c r="M1053" s="8">
        <f t="shared" si="845"/>
        <v>5.0746418705984286E-2</v>
      </c>
    </row>
    <row r="1054" spans="1:13" x14ac:dyDescent="0.3">
      <c r="A1054" s="1">
        <v>45744</v>
      </c>
      <c r="B1054" s="5">
        <v>31070730.083385129</v>
      </c>
      <c r="C1054" s="5">
        <v>29857648.610999443</v>
      </c>
      <c r="D1054" s="5">
        <v>0</v>
      </c>
      <c r="E1054" s="5">
        <f t="shared" si="849"/>
        <v>0</v>
      </c>
      <c r="F1054" s="5">
        <f t="shared" si="849"/>
        <v>0</v>
      </c>
      <c r="G1054" s="9">
        <f t="shared" si="851"/>
        <v>-6.2282700101407018E-3</v>
      </c>
      <c r="H1054" s="9">
        <f t="shared" si="851"/>
        <v>-2.2905267309590416E-2</v>
      </c>
      <c r="I1054" s="5">
        <f t="shared" si="852"/>
        <v>19894497.415430944</v>
      </c>
      <c r="J1054" s="5">
        <f t="shared" si="853"/>
        <v>18810823.732322283</v>
      </c>
      <c r="K1054" s="8">
        <f t="shared" ref="K1054:L1054" si="880">I1054/I802-1</f>
        <v>7.3357325911591387E-2</v>
      </c>
      <c r="L1054" s="8">
        <f t="shared" si="880"/>
        <v>0.10637189184470763</v>
      </c>
      <c r="M1054" s="8">
        <f t="shared" si="845"/>
        <v>3.3014565933116247E-2</v>
      </c>
    </row>
    <row r="1055" spans="1:13" x14ac:dyDescent="0.3">
      <c r="A1055" s="1">
        <v>45748</v>
      </c>
      <c r="B1055" s="5">
        <v>31239975.739281144</v>
      </c>
      <c r="C1055" s="5">
        <v>30622790.099198867</v>
      </c>
      <c r="D1055" s="5">
        <v>500000</v>
      </c>
      <c r="E1055" s="5">
        <f t="shared" si="849"/>
        <v>-500000</v>
      </c>
      <c r="F1055" s="5">
        <f t="shared" si="849"/>
        <v>-500000</v>
      </c>
      <c r="G1055" s="9">
        <f t="shared" si="851"/>
        <v>-1.0645206701494714E-2</v>
      </c>
      <c r="H1055" s="9">
        <f t="shared" si="851"/>
        <v>8.8801865027559046E-3</v>
      </c>
      <c r="I1055" s="5">
        <f t="shared" si="852"/>
        <v>19682716.378221329</v>
      </c>
      <c r="J1055" s="5">
        <f t="shared" si="853"/>
        <v>18977867.355335772</v>
      </c>
      <c r="K1055" s="8">
        <f t="shared" ref="K1055:L1055" si="881">I1055/I803-1</f>
        <v>5.105290704139076E-2</v>
      </c>
      <c r="L1055" s="8">
        <f t="shared" si="881"/>
        <v>0.12558979444898322</v>
      </c>
      <c r="M1055" s="8">
        <f t="shared" si="845"/>
        <v>7.4536887407592456E-2</v>
      </c>
    </row>
    <row r="1056" spans="1:13" x14ac:dyDescent="0.3">
      <c r="A1056" s="1">
        <v>45749</v>
      </c>
      <c r="B1056" s="5">
        <v>31598089.946698271</v>
      </c>
      <c r="C1056" s="5">
        <v>30851363.467407573</v>
      </c>
      <c r="D1056" s="5">
        <v>0</v>
      </c>
      <c r="E1056" s="5">
        <f t="shared" si="849"/>
        <v>0</v>
      </c>
      <c r="F1056" s="5">
        <f t="shared" si="849"/>
        <v>0</v>
      </c>
      <c r="G1056" s="9">
        <f t="shared" si="851"/>
        <v>1.1463331803002408E-2</v>
      </c>
      <c r="H1056" s="9">
        <f t="shared" si="851"/>
        <v>7.4641588003010462E-3</v>
      </c>
      <c r="I1056" s="5">
        <f t="shared" si="852"/>
        <v>19908345.886849269</v>
      </c>
      <c r="J1056" s="5">
        <f t="shared" si="853"/>
        <v>19119521.170967046</v>
      </c>
      <c r="K1056" s="8">
        <f t="shared" ref="K1056:L1056" si="882">I1056/I804-1</f>
        <v>6.1146117538414924E-2</v>
      </c>
      <c r="L1056" s="8">
        <f t="shared" si="882"/>
        <v>0.12388401993656828</v>
      </c>
      <c r="M1056" s="8">
        <f t="shared" si="845"/>
        <v>6.2737902398153356E-2</v>
      </c>
    </row>
    <row r="1057" spans="1:13" x14ac:dyDescent="0.3">
      <c r="A1057" s="1">
        <v>45750</v>
      </c>
      <c r="B1057" s="5">
        <v>31608401.070545662</v>
      </c>
      <c r="C1057" s="5">
        <v>29332222.459240071</v>
      </c>
      <c r="D1057" s="5">
        <v>0</v>
      </c>
      <c r="E1057" s="5">
        <f t="shared" si="849"/>
        <v>0</v>
      </c>
      <c r="F1057" s="5">
        <f t="shared" si="849"/>
        <v>0</v>
      </c>
      <c r="G1057" s="9">
        <f t="shared" si="851"/>
        <v>3.2632111196551072E-4</v>
      </c>
      <c r="H1057" s="9">
        <f t="shared" si="851"/>
        <v>-4.9240644089275754E-2</v>
      </c>
      <c r="I1057" s="5">
        <f t="shared" si="852"/>
        <v>19914842.40041646</v>
      </c>
      <c r="J1057" s="5">
        <f t="shared" si="853"/>
        <v>18178063.633830085</v>
      </c>
      <c r="K1057" s="8">
        <f t="shared" ref="K1057:L1057" si="883">I1057/I805-1</f>
        <v>4.8651323221153175E-2</v>
      </c>
      <c r="L1057" s="8">
        <f t="shared" si="883"/>
        <v>6.7191114611773184E-2</v>
      </c>
      <c r="M1057" s="8">
        <f t="shared" si="845"/>
        <v>1.8539791390620008E-2</v>
      </c>
    </row>
    <row r="1058" spans="1:13" x14ac:dyDescent="0.3">
      <c r="A1058" s="1">
        <v>45751</v>
      </c>
      <c r="B1058" s="5">
        <v>30790110.42235158</v>
      </c>
      <c r="C1058" s="5">
        <v>27518970.526584867</v>
      </c>
      <c r="D1058" s="5">
        <v>0</v>
      </c>
      <c r="E1058" s="5">
        <f t="shared" si="849"/>
        <v>0</v>
      </c>
      <c r="F1058" s="5">
        <f t="shared" si="849"/>
        <v>0</v>
      </c>
      <c r="G1058" s="9">
        <f t="shared" si="851"/>
        <v>-2.5888391075770234E-2</v>
      </c>
      <c r="H1058" s="9">
        <f t="shared" si="851"/>
        <v>-6.1817747876925844E-2</v>
      </c>
      <c r="I1058" s="5">
        <f t="shared" si="852"/>
        <v>19399279.172142148</v>
      </c>
      <c r="J1058" s="5">
        <f t="shared" si="853"/>
        <v>17054336.679223262</v>
      </c>
      <c r="K1058" s="8">
        <f t="shared" ref="K1058:L1058" si="884">I1058/I806-1</f>
        <v>4.7590055088975181E-3</v>
      </c>
      <c r="L1058" s="8">
        <f t="shared" si="884"/>
        <v>3.1158954631418379E-3</v>
      </c>
      <c r="M1058" s="8">
        <f t="shared" si="845"/>
        <v>-1.6431100457556802E-3</v>
      </c>
    </row>
    <row r="1059" spans="1:13" x14ac:dyDescent="0.3">
      <c r="A1059" s="1">
        <v>45754</v>
      </c>
      <c r="B1059" s="5">
        <v>29827102.677328248</v>
      </c>
      <c r="C1059" s="5">
        <v>27651637.536987159</v>
      </c>
      <c r="D1059" s="5">
        <v>0</v>
      </c>
      <c r="E1059" s="5">
        <f t="shared" si="849"/>
        <v>0</v>
      </c>
      <c r="F1059" s="5">
        <f t="shared" si="849"/>
        <v>0</v>
      </c>
      <c r="G1059" s="9">
        <f t="shared" si="851"/>
        <v>-3.1276527814081856E-2</v>
      </c>
      <c r="H1059" s="9">
        <f t="shared" si="851"/>
        <v>4.8209292667444892E-3</v>
      </c>
      <c r="I1059" s="5">
        <f t="shared" si="852"/>
        <v>18792537.077541504</v>
      </c>
      <c r="J1059" s="5">
        <f t="shared" si="853"/>
        <v>17136554.430045042</v>
      </c>
      <c r="K1059" s="8">
        <f t="shared" ref="K1059:L1059" si="885">I1059/I807-1</f>
        <v>-3.6352163489466238E-2</v>
      </c>
      <c r="L1059" s="8">
        <f t="shared" si="885"/>
        <v>1.5761292733984522E-2</v>
      </c>
      <c r="M1059" s="8">
        <f t="shared" si="845"/>
        <v>5.211345622345076E-2</v>
      </c>
    </row>
    <row r="1060" spans="1:13" x14ac:dyDescent="0.3">
      <c r="A1060" s="1">
        <v>45755</v>
      </c>
      <c r="B1060" s="5">
        <v>30458923.01844883</v>
      </c>
      <c r="C1060" s="5">
        <v>27341238.251374766</v>
      </c>
      <c r="D1060" s="5">
        <v>0</v>
      </c>
      <c r="E1060" s="5">
        <f t="shared" si="849"/>
        <v>0</v>
      </c>
      <c r="F1060" s="5">
        <f t="shared" si="849"/>
        <v>0</v>
      </c>
      <c r="G1060" s="9">
        <f t="shared" si="851"/>
        <v>2.118275945054604E-2</v>
      </c>
      <c r="H1060" s="9">
        <f t="shared" si="851"/>
        <v>-1.1225349138805907E-2</v>
      </c>
      <c r="I1060" s="5">
        <f t="shared" si="852"/>
        <v>19190614.869920533</v>
      </c>
      <c r="J1060" s="5">
        <f t="shared" si="853"/>
        <v>16944190.623531636</v>
      </c>
      <c r="K1060" s="8">
        <f t="shared" ref="K1060:L1060" si="886">I1060/I808-1</f>
        <v>-1.861383000357264E-2</v>
      </c>
      <c r="L1060" s="8">
        <f t="shared" si="886"/>
        <v>1.8941172407946905E-3</v>
      </c>
      <c r="M1060" s="8">
        <f t="shared" si="845"/>
        <v>2.0507947244367331E-2</v>
      </c>
    </row>
    <row r="1061" spans="1:13" x14ac:dyDescent="0.3">
      <c r="A1061" s="1">
        <v>45756</v>
      </c>
      <c r="B1061" s="5">
        <v>30387331.050694518</v>
      </c>
      <c r="C1061" s="5">
        <v>30082140.638613652</v>
      </c>
      <c r="D1061" s="5">
        <v>0</v>
      </c>
      <c r="E1061" s="5">
        <f t="shared" si="849"/>
        <v>0</v>
      </c>
      <c r="F1061" s="5">
        <f t="shared" si="849"/>
        <v>0</v>
      </c>
      <c r="G1061" s="9">
        <f t="shared" si="851"/>
        <v>-2.3504431759110433E-3</v>
      </c>
      <c r="H1061" s="9">
        <f t="shared" si="851"/>
        <v>0.10024792447361341</v>
      </c>
      <c r="I1061" s="5">
        <f t="shared" si="852"/>
        <v>19145508.420157991</v>
      </c>
      <c r="J1061" s="5">
        <f t="shared" si="853"/>
        <v>18642810.565425944</v>
      </c>
      <c r="K1061" s="8">
        <f t="shared" ref="K1061:L1061" si="887">I1061/I809-1</f>
        <v>-1.6758790367429666E-2</v>
      </c>
      <c r="L1061" s="8">
        <f t="shared" si="887"/>
        <v>0.11582424584661077</v>
      </c>
      <c r="M1061" s="8">
        <f t="shared" si="845"/>
        <v>0.13258303621404044</v>
      </c>
    </row>
    <row r="1062" spans="1:13" x14ac:dyDescent="0.3">
      <c r="A1062" s="1">
        <v>45758</v>
      </c>
      <c r="B1062" s="5">
        <v>30792534.711762458</v>
      </c>
      <c r="C1062" s="5">
        <v>29374520.67520063</v>
      </c>
      <c r="D1062" s="5">
        <v>0</v>
      </c>
      <c r="E1062" s="5">
        <f t="shared" si="849"/>
        <v>0</v>
      </c>
      <c r="F1062" s="5">
        <f t="shared" si="849"/>
        <v>0</v>
      </c>
      <c r="G1062" s="9">
        <f t="shared" si="851"/>
        <v>1.3334624893247327E-2</v>
      </c>
      <c r="H1062" s="9">
        <f t="shared" si="851"/>
        <v>-2.3522925842076381E-2</v>
      </c>
      <c r="I1062" s="5">
        <f t="shared" si="852"/>
        <v>19400806.593331307</v>
      </c>
      <c r="J1062" s="5">
        <f t="shared" si="853"/>
        <v>18204277.11500755</v>
      </c>
      <c r="K1062" s="8">
        <f t="shared" ref="K1062:L1062" si="888">I1062/I810-1</f>
        <v>-1.2184531482867467E-2</v>
      </c>
      <c r="L1062" s="8">
        <f t="shared" si="888"/>
        <v>7.9553236178609765E-2</v>
      </c>
      <c r="M1062" s="8">
        <f t="shared" si="845"/>
        <v>9.1737767661477232E-2</v>
      </c>
    </row>
    <row r="1063" spans="1:13" x14ac:dyDescent="0.3">
      <c r="A1063" s="1">
        <v>45762</v>
      </c>
      <c r="B1063" s="5">
        <v>31744645.433760948</v>
      </c>
      <c r="C1063" s="5">
        <v>29456545.291029003</v>
      </c>
      <c r="D1063" s="5">
        <v>0</v>
      </c>
      <c r="E1063" s="5">
        <f t="shared" si="849"/>
        <v>0</v>
      </c>
      <c r="F1063" s="5">
        <f t="shared" si="849"/>
        <v>0</v>
      </c>
      <c r="G1063" s="9">
        <f t="shared" si="851"/>
        <v>3.0920180196623903E-2</v>
      </c>
      <c r="H1063" s="9">
        <f t="shared" si="851"/>
        <v>2.792372911726293E-3</v>
      </c>
      <c r="I1063" s="5">
        <f t="shared" si="852"/>
        <v>20000683.029156961</v>
      </c>
      <c r="J1063" s="5">
        <f t="shared" si="853"/>
        <v>18255110.245301057</v>
      </c>
      <c r="K1063" s="8">
        <f t="shared" ref="K1063:L1063" si="889">I1063/I811-1</f>
        <v>1.3550048984718899E-2</v>
      </c>
      <c r="L1063" s="8">
        <f t="shared" si="889"/>
        <v>8.3474860433708775E-2</v>
      </c>
      <c r="M1063" s="8">
        <f t="shared" si="845"/>
        <v>6.9924811448989876E-2</v>
      </c>
    </row>
    <row r="1064" spans="1:13" x14ac:dyDescent="0.3">
      <c r="A1064" s="1">
        <v>45763</v>
      </c>
      <c r="B1064" s="5">
        <v>31957133.874367036</v>
      </c>
      <c r="C1064" s="5">
        <v>28767000.530533582</v>
      </c>
      <c r="D1064" s="5">
        <v>0</v>
      </c>
      <c r="E1064" s="5">
        <f t="shared" si="849"/>
        <v>0</v>
      </c>
      <c r="F1064" s="5">
        <f t="shared" si="849"/>
        <v>0</v>
      </c>
      <c r="G1064" s="9">
        <f t="shared" si="851"/>
        <v>6.6936781842301674E-3</v>
      </c>
      <c r="H1064" s="9">
        <f t="shared" si="851"/>
        <v>-2.3408880901774398E-2</v>
      </c>
      <c r="I1064" s="5">
        <f t="shared" si="852"/>
        <v>20134561.164818931</v>
      </c>
      <c r="J1064" s="5">
        <f t="shared" si="853"/>
        <v>17827778.543720044</v>
      </c>
      <c r="K1064" s="8">
        <f t="shared" ref="K1064:L1064" si="890">I1064/I812-1</f>
        <v>2.3576359543360903E-2</v>
      </c>
      <c r="L1064" s="8">
        <f t="shared" si="890"/>
        <v>5.7322104536422724E-2</v>
      </c>
      <c r="M1064" s="8">
        <f t="shared" si="845"/>
        <v>3.3745744993061821E-2</v>
      </c>
    </row>
    <row r="1065" spans="1:13" x14ac:dyDescent="0.3">
      <c r="A1065" s="1">
        <v>45764</v>
      </c>
      <c r="B1065" s="5">
        <v>32186066.084103003</v>
      </c>
      <c r="C1065" s="5">
        <v>28704751.028854914</v>
      </c>
      <c r="D1065" s="5">
        <v>0</v>
      </c>
      <c r="E1065" s="5">
        <f t="shared" si="849"/>
        <v>0</v>
      </c>
      <c r="F1065" s="5">
        <f t="shared" si="849"/>
        <v>0</v>
      </c>
      <c r="G1065" s="9">
        <f t="shared" si="851"/>
        <v>7.1637278435534579E-3</v>
      </c>
      <c r="H1065" s="9">
        <f t="shared" si="851"/>
        <v>-2.1639204828670655E-3</v>
      </c>
      <c r="I1065" s="5">
        <f t="shared" si="852"/>
        <v>20278799.681253076</v>
      </c>
      <c r="J1065" s="5">
        <f t="shared" si="853"/>
        <v>17789200.64856527</v>
      </c>
      <c r="K1065" s="8">
        <f t="shared" ref="K1065:L1065" si="891">I1065/I813-1</f>
        <v>2.225832529650007E-2</v>
      </c>
      <c r="L1065" s="8">
        <f t="shared" si="891"/>
        <v>6.2659921006345876E-2</v>
      </c>
      <c r="M1065" s="8">
        <f t="shared" si="845"/>
        <v>4.0401595709845806E-2</v>
      </c>
    </row>
    <row r="1066" spans="1:13" x14ac:dyDescent="0.3">
      <c r="A1066" s="1">
        <v>45768</v>
      </c>
      <c r="B1066" s="5">
        <v>32762429.489308048</v>
      </c>
      <c r="C1066" s="5">
        <v>27968239.21703054</v>
      </c>
      <c r="D1066" s="5">
        <v>0</v>
      </c>
      <c r="E1066" s="5">
        <f t="shared" si="849"/>
        <v>0</v>
      </c>
      <c r="F1066" s="5">
        <f t="shared" si="849"/>
        <v>0</v>
      </c>
      <c r="G1066" s="9">
        <f t="shared" si="851"/>
        <v>1.7907233636412556E-2</v>
      </c>
      <c r="H1066" s="9">
        <f t="shared" si="851"/>
        <v>-2.5658184984221233E-2</v>
      </c>
      <c r="I1066" s="5">
        <f t="shared" si="852"/>
        <v>20641936.885011282</v>
      </c>
      <c r="J1066" s="5">
        <f t="shared" si="853"/>
        <v>17332762.047602955</v>
      </c>
      <c r="K1066" s="8">
        <f t="shared" ref="K1066:L1066" si="892">I1066/I814-1</f>
        <v>4.4814393880909797E-2</v>
      </c>
      <c r="L1066" s="8">
        <f t="shared" si="892"/>
        <v>4.0025043689150497E-2</v>
      </c>
      <c r="M1066" s="8">
        <f t="shared" si="845"/>
        <v>-4.7893501917593007E-3</v>
      </c>
    </row>
    <row r="1067" spans="1:13" x14ac:dyDescent="0.3">
      <c r="A1067" s="1">
        <v>45769</v>
      </c>
      <c r="B1067" s="5">
        <v>32833653.077340014</v>
      </c>
      <c r="C1067" s="5">
        <v>29231857.805529799</v>
      </c>
      <c r="D1067" s="5">
        <v>0</v>
      </c>
      <c r="E1067" s="5">
        <f t="shared" si="849"/>
        <v>0</v>
      </c>
      <c r="F1067" s="5">
        <f t="shared" si="849"/>
        <v>0</v>
      </c>
      <c r="G1067" s="9">
        <f t="shared" si="851"/>
        <v>2.1739409788035235E-3</v>
      </c>
      <c r="H1067" s="9">
        <f t="shared" si="851"/>
        <v>4.5180484144665467E-2</v>
      </c>
      <c r="I1067" s="5">
        <f t="shared" si="852"/>
        <v>20686811.237487484</v>
      </c>
      <c r="J1067" s="5">
        <f t="shared" si="853"/>
        <v>18115864.628477938</v>
      </c>
      <c r="K1067" s="8">
        <f t="shared" ref="K1067:L1067" si="893">I1067/I815-1</f>
        <v>6.4980286468952153E-2</v>
      </c>
      <c r="L1067" s="8">
        <f t="shared" si="893"/>
        <v>0.1016759627925079</v>
      </c>
      <c r="M1067" s="8">
        <f t="shared" si="845"/>
        <v>3.6695676323555748E-2</v>
      </c>
    </row>
    <row r="1068" spans="1:13" x14ac:dyDescent="0.3">
      <c r="A1068" s="1">
        <v>45770</v>
      </c>
      <c r="B1068" s="5">
        <v>33059687.366593525</v>
      </c>
      <c r="C1068" s="5">
        <v>29231857.805529799</v>
      </c>
      <c r="D1068" s="5">
        <v>0</v>
      </c>
      <c r="E1068" s="5">
        <f t="shared" si="849"/>
        <v>0</v>
      </c>
      <c r="F1068" s="5">
        <f t="shared" si="849"/>
        <v>0</v>
      </c>
      <c r="G1068" s="9">
        <f t="shared" si="851"/>
        <v>6.8842260323906945E-3</v>
      </c>
      <c r="H1068" s="9">
        <f t="shared" si="851"/>
        <v>0</v>
      </c>
      <c r="I1068" s="5">
        <f t="shared" si="852"/>
        <v>20829223.921935748</v>
      </c>
      <c r="J1068" s="5">
        <f t="shared" si="853"/>
        <v>18115864.628477938</v>
      </c>
      <c r="K1068" s="8">
        <f t="shared" ref="K1068:L1068" si="894">I1068/I816-1</f>
        <v>7.1458963406467291E-2</v>
      </c>
      <c r="L1068" s="8">
        <f t="shared" si="894"/>
        <v>0.10315204596639416</v>
      </c>
      <c r="M1068" s="8">
        <f t="shared" si="845"/>
        <v>3.1693082559926866E-2</v>
      </c>
    </row>
    <row r="1069" spans="1:13" x14ac:dyDescent="0.3">
      <c r="A1069" s="1">
        <v>45771</v>
      </c>
      <c r="B1069" s="5">
        <v>33010180.640288468</v>
      </c>
      <c r="C1069" s="5">
        <v>30047603.21344978</v>
      </c>
      <c r="D1069" s="5">
        <v>0</v>
      </c>
      <c r="E1069" s="5">
        <f t="shared" si="849"/>
        <v>0</v>
      </c>
      <c r="F1069" s="5">
        <f t="shared" si="849"/>
        <v>0</v>
      </c>
      <c r="G1069" s="9">
        <f t="shared" si="851"/>
        <v>-1.4974952955871812E-3</v>
      </c>
      <c r="H1069" s="9">
        <f t="shared" si="851"/>
        <v>2.7906040503715923E-2</v>
      </c>
      <c r="I1069" s="5">
        <f t="shared" si="852"/>
        <v>20798032.257101916</v>
      </c>
      <c r="J1069" s="5">
        <f t="shared" si="853"/>
        <v>18621406.680560078</v>
      </c>
      <c r="K1069" s="8">
        <f t="shared" ref="K1069:L1069" si="895">I1069/I817-1</f>
        <v>7.1033560646798888E-2</v>
      </c>
      <c r="L1069" s="8">
        <f t="shared" si="895"/>
        <v>0.14311910318217924</v>
      </c>
      <c r="M1069" s="8">
        <f t="shared" si="845"/>
        <v>7.2085542535380354E-2</v>
      </c>
    </row>
    <row r="1070" spans="1:13" x14ac:dyDescent="0.3">
      <c r="A1070" s="1">
        <v>45772</v>
      </c>
      <c r="B1070" s="5">
        <v>32215792.573507212</v>
      </c>
      <c r="C1070" s="5">
        <v>30047603.21344978</v>
      </c>
      <c r="D1070" s="5">
        <v>0</v>
      </c>
      <c r="E1070" s="5">
        <f t="shared" si="849"/>
        <v>0</v>
      </c>
      <c r="F1070" s="5">
        <f t="shared" si="849"/>
        <v>0</v>
      </c>
      <c r="G1070" s="9">
        <f t="shared" si="851"/>
        <v>-2.4064941523274097E-2</v>
      </c>
      <c r="H1070" s="9">
        <f t="shared" si="851"/>
        <v>0</v>
      </c>
      <c r="I1070" s="5">
        <f t="shared" si="852"/>
        <v>20297528.827035591</v>
      </c>
      <c r="J1070" s="5">
        <f t="shared" si="853"/>
        <v>18621406.680560078</v>
      </c>
      <c r="K1070" s="8">
        <f t="shared" ref="K1070:L1070" si="896">I1070/I818-1</f>
        <v>4.6970119180314684E-2</v>
      </c>
      <c r="L1070" s="8">
        <f t="shared" si="896"/>
        <v>0.15413090833795184</v>
      </c>
      <c r="M1070" s="8">
        <f t="shared" si="845"/>
        <v>0.10716078915763716</v>
      </c>
    </row>
    <row r="1071" spans="1:13" x14ac:dyDescent="0.3">
      <c r="A1071" s="1">
        <v>45775</v>
      </c>
      <c r="B1071" s="5">
        <v>32580730.576733515</v>
      </c>
      <c r="C1071" s="5">
        <v>29923114.318297185</v>
      </c>
      <c r="D1071" s="5">
        <v>0</v>
      </c>
      <c r="E1071" s="5">
        <f t="shared" si="849"/>
        <v>0</v>
      </c>
      <c r="F1071" s="5">
        <f t="shared" si="849"/>
        <v>0</v>
      </c>
      <c r="G1071" s="9">
        <f t="shared" si="851"/>
        <v>1.1327922552071934E-2</v>
      </c>
      <c r="H1071" s="9">
        <f t="shared" si="851"/>
        <v>-4.1430557461857864E-3</v>
      </c>
      <c r="I1071" s="5">
        <f t="shared" si="852"/>
        <v>20527457.661586698</v>
      </c>
      <c r="J1071" s="5">
        <f t="shared" si="853"/>
        <v>18544257.154610123</v>
      </c>
      <c r="K1071" s="8">
        <f t="shared" ref="K1071:L1071" si="897">I1071/I819-1</f>
        <v>4.538804721461065E-2</v>
      </c>
      <c r="L1071" s="8">
        <f t="shared" si="897"/>
        <v>0.13926413000422788</v>
      </c>
      <c r="M1071" s="8">
        <f t="shared" si="845"/>
        <v>9.3876082789617232E-2</v>
      </c>
    </row>
    <row r="1072" spans="1:13" x14ac:dyDescent="0.3">
      <c r="A1072" s="1">
        <v>45776</v>
      </c>
      <c r="B1072" s="5">
        <v>32505033.80635877</v>
      </c>
      <c r="C1072" s="5">
        <v>30185335.012040574</v>
      </c>
      <c r="D1072" s="5">
        <v>0</v>
      </c>
      <c r="E1072" s="5">
        <f t="shared" si="849"/>
        <v>0</v>
      </c>
      <c r="F1072" s="5">
        <f t="shared" si="849"/>
        <v>0</v>
      </c>
      <c r="G1072" s="9">
        <f t="shared" si="851"/>
        <v>-2.3233601283576544E-3</v>
      </c>
      <c r="H1072" s="9">
        <f t="shared" si="851"/>
        <v>8.7631484796035775E-3</v>
      </c>
      <c r="I1072" s="5">
        <f t="shared" si="852"/>
        <v>20479764.984919216</v>
      </c>
      <c r="J1072" s="5">
        <f t="shared" si="853"/>
        <v>18706763.233499922</v>
      </c>
      <c r="K1072" s="8">
        <f t="shared" ref="K1072:L1072" si="898">I1072/I820-1</f>
        <v>4.1051126372163793E-2</v>
      </c>
      <c r="L1072" s="8">
        <f t="shared" si="898"/>
        <v>0.13713481918969705</v>
      </c>
      <c r="M1072" s="8">
        <f t="shared" si="845"/>
        <v>9.6083692817533262E-2</v>
      </c>
    </row>
    <row r="1073" spans="1:13" x14ac:dyDescent="0.3">
      <c r="A1073" s="1">
        <v>45777</v>
      </c>
      <c r="B1073" s="5">
        <v>32312950.093992371</v>
      </c>
      <c r="C1073" s="5">
        <v>29955872.410620242</v>
      </c>
      <c r="D1073" s="5">
        <v>0</v>
      </c>
      <c r="E1073" s="5">
        <f t="shared" si="849"/>
        <v>0</v>
      </c>
      <c r="F1073" s="5">
        <f t="shared" si="849"/>
        <v>0</v>
      </c>
      <c r="G1073" s="9">
        <f t="shared" si="851"/>
        <v>-5.9093527947299274E-3</v>
      </c>
      <c r="H1073" s="9">
        <f t="shared" si="851"/>
        <v>-7.6017907811459784E-3</v>
      </c>
      <c r="I1073" s="5">
        <f t="shared" si="852"/>
        <v>20358742.82847017</v>
      </c>
      <c r="J1073" s="5">
        <f t="shared" si="853"/>
        <v>18564558.333206423</v>
      </c>
      <c r="K1073" s="8">
        <f t="shared" ref="K1073:L1073" si="899">I1073/I821-1</f>
        <v>2.7067762743973489E-2</v>
      </c>
      <c r="L1073" s="8">
        <f t="shared" si="899"/>
        <v>0.12851572821614932</v>
      </c>
      <c r="M1073" s="8">
        <f t="shared" si="845"/>
        <v>0.10144796547217583</v>
      </c>
    </row>
    <row r="1074" spans="1:13" x14ac:dyDescent="0.3">
      <c r="A1074" s="1">
        <v>45779</v>
      </c>
      <c r="B1074" s="5">
        <v>32275831.451493073</v>
      </c>
      <c r="C1074" s="5">
        <v>30593460.709925015</v>
      </c>
      <c r="D1074" s="5">
        <v>0</v>
      </c>
      <c r="E1074" s="5">
        <f t="shared" si="849"/>
        <v>0</v>
      </c>
      <c r="F1074" s="5">
        <f t="shared" si="849"/>
        <v>0</v>
      </c>
      <c r="G1074" s="9">
        <f t="shared" si="851"/>
        <v>-1.1487234186704498E-3</v>
      </c>
      <c r="H1074" s="9">
        <f t="shared" si="851"/>
        <v>2.1284250732712007E-2</v>
      </c>
      <c r="I1074" s="5">
        <f t="shared" si="852"/>
        <v>20335356.263808418</v>
      </c>
      <c r="J1074" s="5">
        <f t="shared" si="853"/>
        <v>18959691.047512446</v>
      </c>
      <c r="K1074" s="8">
        <f t="shared" ref="K1074:L1074" si="900">I1074/I822-1</f>
        <v>1.9010712764656157E-2</v>
      </c>
      <c r="L1074" s="8">
        <f t="shared" si="900"/>
        <v>0.15822877180104267</v>
      </c>
      <c r="M1074" s="8">
        <f t="shared" si="845"/>
        <v>0.13921805903638651</v>
      </c>
    </row>
    <row r="1075" spans="1:13" x14ac:dyDescent="0.3">
      <c r="A1075" s="1">
        <v>45782</v>
      </c>
      <c r="B1075" s="5">
        <v>32765316.884655576</v>
      </c>
      <c r="C1075" s="5">
        <v>30317044.919856522</v>
      </c>
      <c r="D1075" s="5">
        <v>0</v>
      </c>
      <c r="E1075" s="5">
        <f t="shared" si="849"/>
        <v>0</v>
      </c>
      <c r="F1075" s="5">
        <f t="shared" si="849"/>
        <v>0</v>
      </c>
      <c r="G1075" s="9">
        <f t="shared" si="851"/>
        <v>1.5165695542131763E-2</v>
      </c>
      <c r="H1075" s="9">
        <f t="shared" si="851"/>
        <v>-9.0351265811133841E-3</v>
      </c>
      <c r="I1075" s="5">
        <f t="shared" si="852"/>
        <v>20643756.085646119</v>
      </c>
      <c r="J1075" s="5">
        <f t="shared" si="853"/>
        <v>18788387.83895937</v>
      </c>
      <c r="K1075" s="8">
        <f t="shared" ref="K1075:L1075" si="901">I1075/I823-1</f>
        <v>2.7526988478674186E-2</v>
      </c>
      <c r="L1075" s="8">
        <f t="shared" si="901"/>
        <v>0.13519229092012441</v>
      </c>
      <c r="M1075" s="8">
        <f t="shared" si="845"/>
        <v>0.10766530244145023</v>
      </c>
    </row>
    <row r="1076" spans="1:13" x14ac:dyDescent="0.3">
      <c r="A1076" s="1">
        <v>45783</v>
      </c>
      <c r="B1076" s="5">
        <v>31972840.884052217</v>
      </c>
      <c r="C1076" s="5">
        <v>30148441.508753769</v>
      </c>
      <c r="D1076" s="5">
        <v>0</v>
      </c>
      <c r="E1076" s="5">
        <f t="shared" si="849"/>
        <v>0</v>
      </c>
      <c r="F1076" s="5">
        <f t="shared" si="849"/>
        <v>0</v>
      </c>
      <c r="G1076" s="9">
        <f t="shared" si="851"/>
        <v>-2.4186428698160567E-2</v>
      </c>
      <c r="H1076" s="9">
        <f t="shared" si="851"/>
        <v>-5.5613405445174013E-3</v>
      </c>
      <c r="I1076" s="5">
        <f t="shared" si="852"/>
        <v>20144457.351018421</v>
      </c>
      <c r="J1076" s="5">
        <f t="shared" si="853"/>
        <v>18683899.215904448</v>
      </c>
      <c r="K1076" s="8">
        <f t="shared" ref="K1076:L1076" si="902">I1076/I824-1</f>
        <v>-2.8208584206995679E-3</v>
      </c>
      <c r="L1076" s="8">
        <f t="shared" si="902"/>
        <v>0.12416617832364762</v>
      </c>
      <c r="M1076" s="8">
        <f t="shared" si="845"/>
        <v>0.12698703674434719</v>
      </c>
    </row>
    <row r="1077" spans="1:13" x14ac:dyDescent="0.3">
      <c r="A1077" s="1">
        <v>45784</v>
      </c>
      <c r="B1077" s="5">
        <v>32128837.417141888</v>
      </c>
      <c r="C1077" s="5">
        <v>30412370.777904775</v>
      </c>
      <c r="D1077" s="5">
        <v>0</v>
      </c>
      <c r="E1077" s="5">
        <f t="shared" si="849"/>
        <v>0</v>
      </c>
      <c r="F1077" s="5">
        <f t="shared" si="849"/>
        <v>0</v>
      </c>
      <c r="G1077" s="9">
        <f t="shared" si="851"/>
        <v>4.8790326031828979E-3</v>
      </c>
      <c r="H1077" s="9">
        <f t="shared" si="851"/>
        <v>8.7543254623749789E-3</v>
      </c>
      <c r="I1077" s="5">
        <f t="shared" si="852"/>
        <v>20242742.815207466</v>
      </c>
      <c r="J1077" s="5">
        <f t="shared" si="853"/>
        <v>18847464.150546689</v>
      </c>
      <c r="K1077" s="8">
        <f t="shared" ref="K1077:L1077" si="903">I1077/I825-1</f>
        <v>-4.3239935652189532E-3</v>
      </c>
      <c r="L1077" s="8">
        <f t="shared" si="903"/>
        <v>0.15236495743502609</v>
      </c>
      <c r="M1077" s="8">
        <f t="shared" si="845"/>
        <v>0.15668895100024505</v>
      </c>
    </row>
    <row r="1078" spans="1:13" x14ac:dyDescent="0.3">
      <c r="A1078" s="1">
        <v>45785</v>
      </c>
      <c r="B1078" s="5">
        <v>31440437.459047187</v>
      </c>
      <c r="C1078" s="5">
        <v>30895331.847597715</v>
      </c>
      <c r="D1078" s="5">
        <v>0</v>
      </c>
      <c r="E1078" s="5">
        <f t="shared" si="849"/>
        <v>0</v>
      </c>
      <c r="F1078" s="5">
        <f t="shared" si="849"/>
        <v>0</v>
      </c>
      <c r="G1078" s="9">
        <f t="shared" si="851"/>
        <v>-2.1426233049049448E-2</v>
      </c>
      <c r="H1078" s="9">
        <f t="shared" si="851"/>
        <v>1.5880415019924099E-2</v>
      </c>
      <c r="I1078" s="5">
        <f t="shared" si="852"/>
        <v>19809017.090096861</v>
      </c>
      <c r="J1078" s="5">
        <f t="shared" si="853"/>
        <v>19146769.703330509</v>
      </c>
      <c r="K1078" s="8">
        <f t="shared" ref="K1078:L1078" si="904">I1078/I826-1</f>
        <v>-4.2017568493403101E-2</v>
      </c>
      <c r="L1078" s="8">
        <f t="shared" si="904"/>
        <v>0.16404845850761851</v>
      </c>
      <c r="M1078" s="8">
        <f t="shared" si="845"/>
        <v>0.20606602700102161</v>
      </c>
    </row>
    <row r="1079" spans="1:13" x14ac:dyDescent="0.3">
      <c r="A1079" s="1">
        <v>45786</v>
      </c>
      <c r="B1079" s="5">
        <v>31323594.427875485</v>
      </c>
      <c r="C1079" s="5">
        <v>30774252.305502389</v>
      </c>
      <c r="D1079" s="5">
        <v>0</v>
      </c>
      <c r="E1079" s="5">
        <f t="shared" si="849"/>
        <v>0</v>
      </c>
      <c r="F1079" s="5">
        <f t="shared" si="849"/>
        <v>0</v>
      </c>
      <c r="G1079" s="9">
        <f t="shared" si="851"/>
        <v>-3.7163296892384068E-3</v>
      </c>
      <c r="H1079" s="9">
        <f t="shared" si="851"/>
        <v>-3.9190238412908363E-3</v>
      </c>
      <c r="I1079" s="5">
        <f t="shared" si="852"/>
        <v>19735400.251770303</v>
      </c>
      <c r="J1079" s="5">
        <f t="shared" si="853"/>
        <v>19071733.056379452</v>
      </c>
      <c r="K1079" s="8">
        <f t="shared" ref="K1079:L1079" si="905">I1079/I827-1</f>
        <v>-4.2180332022872857E-2</v>
      </c>
      <c r="L1079" s="8">
        <f t="shared" si="905"/>
        <v>0.14518835368314109</v>
      </c>
      <c r="M1079" s="8">
        <f t="shared" si="845"/>
        <v>0.18736868570601395</v>
      </c>
    </row>
    <row r="1080" spans="1:13" x14ac:dyDescent="0.3">
      <c r="A1080" s="1">
        <v>45789</v>
      </c>
      <c r="B1080" s="5">
        <v>32601812.421986654</v>
      </c>
      <c r="C1080" s="5">
        <v>31779864.744024854</v>
      </c>
      <c r="D1080" s="5">
        <v>0</v>
      </c>
      <c r="E1080" s="5">
        <f t="shared" si="849"/>
        <v>0</v>
      </c>
      <c r="F1080" s="5">
        <f t="shared" si="849"/>
        <v>0</v>
      </c>
      <c r="G1080" s="9">
        <f t="shared" si="851"/>
        <v>4.0806874736369902E-2</v>
      </c>
      <c r="H1080" s="9">
        <f t="shared" si="851"/>
        <v>3.2677071356260523E-2</v>
      </c>
      <c r="I1080" s="5">
        <f t="shared" si="852"/>
        <v>20540740.257716417</v>
      </c>
      <c r="J1080" s="5">
        <f t="shared" si="853"/>
        <v>19694941.438350316</v>
      </c>
      <c r="K1080" s="8">
        <f t="shared" ref="K1080:L1080" si="906">I1080/I828-1</f>
        <v>9.6947465239503039E-3</v>
      </c>
      <c r="L1080" s="8">
        <f t="shared" si="906"/>
        <v>0.16979003007042226</v>
      </c>
      <c r="M1080" s="8">
        <f t="shared" si="845"/>
        <v>0.16009528354647196</v>
      </c>
    </row>
    <row r="1081" spans="1:13" x14ac:dyDescent="0.3">
      <c r="A1081" s="1">
        <v>45790</v>
      </c>
      <c r="B1081" s="5">
        <v>32598872.400964502</v>
      </c>
      <c r="C1081" s="5">
        <v>31999812.636722468</v>
      </c>
      <c r="D1081" s="5">
        <v>0</v>
      </c>
      <c r="E1081" s="5">
        <f t="shared" si="849"/>
        <v>0</v>
      </c>
      <c r="F1081" s="5">
        <f t="shared" si="849"/>
        <v>0</v>
      </c>
      <c r="G1081" s="9">
        <f t="shared" si="851"/>
        <v>-9.0179680322655109E-5</v>
      </c>
      <c r="H1081" s="9">
        <f t="shared" si="851"/>
        <v>6.9209826558171983E-3</v>
      </c>
      <c r="I1081" s="5">
        <f t="shared" si="852"/>
        <v>20538887.900326386</v>
      </c>
      <c r="J1081" s="5">
        <f t="shared" si="853"/>
        <v>19831249.786452476</v>
      </c>
      <c r="K1081" s="8">
        <f t="shared" ref="K1081:L1081" si="907">I1081/I829-1</f>
        <v>2.5394844598687571E-2</v>
      </c>
      <c r="L1081" s="8">
        <f t="shared" si="907"/>
        <v>0.17582158356445476</v>
      </c>
      <c r="M1081" s="8">
        <f t="shared" si="845"/>
        <v>0.15042673896576719</v>
      </c>
    </row>
    <row r="1082" spans="1:13" x14ac:dyDescent="0.3">
      <c r="A1082" s="1">
        <v>45791</v>
      </c>
      <c r="B1082" s="5">
        <v>32836817.634573881</v>
      </c>
      <c r="C1082" s="5">
        <v>32011531.511691108</v>
      </c>
      <c r="D1082" s="5">
        <v>0</v>
      </c>
      <c r="E1082" s="5">
        <f t="shared" si="849"/>
        <v>0</v>
      </c>
      <c r="F1082" s="5">
        <f t="shared" si="849"/>
        <v>0</v>
      </c>
      <c r="G1082" s="9">
        <f t="shared" si="851"/>
        <v>7.2991860173157175E-3</v>
      </c>
      <c r="H1082" s="9">
        <f t="shared" si="851"/>
        <v>3.6621698700800565E-4</v>
      </c>
      <c r="I1082" s="5">
        <f t="shared" si="852"/>
        <v>20688805.063699663</v>
      </c>
      <c r="J1082" s="5">
        <f t="shared" si="853"/>
        <v>19838512.326997872</v>
      </c>
      <c r="K1082" s="8">
        <f t="shared" ref="K1082:L1082" si="908">I1082/I830-1</f>
        <v>1.9377282547278218E-2</v>
      </c>
      <c r="L1082" s="8">
        <f t="shared" si="908"/>
        <v>0.17710312267304773</v>
      </c>
      <c r="M1082" s="8">
        <f t="shared" si="845"/>
        <v>0.15772584012576951</v>
      </c>
    </row>
    <row r="1083" spans="1:13" x14ac:dyDescent="0.3">
      <c r="A1083" s="1">
        <v>45792</v>
      </c>
      <c r="B1083" s="5">
        <v>33180424.697687171</v>
      </c>
      <c r="C1083" s="5">
        <v>32238490.455199245</v>
      </c>
      <c r="D1083" s="5">
        <v>0</v>
      </c>
      <c r="E1083" s="5">
        <f t="shared" si="849"/>
        <v>0</v>
      </c>
      <c r="F1083" s="5">
        <f t="shared" si="849"/>
        <v>0</v>
      </c>
      <c r="G1083" s="9">
        <f t="shared" si="851"/>
        <v>1.046407928250348E-2</v>
      </c>
      <c r="H1083" s="9">
        <f t="shared" si="851"/>
        <v>7.0899120657581527E-3</v>
      </c>
      <c r="I1083" s="5">
        <f t="shared" si="852"/>
        <v>20905294.360146474</v>
      </c>
      <c r="J1083" s="5">
        <f t="shared" si="853"/>
        <v>19979165.634911746</v>
      </c>
      <c r="K1083" s="8">
        <f t="shared" ref="K1083:L1083" si="909">I1083/I831-1</f>
        <v>5.2349405815077521E-2</v>
      </c>
      <c r="L1083" s="8">
        <f t="shared" si="909"/>
        <v>0.17836881132865323</v>
      </c>
      <c r="M1083" s="8">
        <f t="shared" si="845"/>
        <v>0.12601940551357571</v>
      </c>
    </row>
    <row r="1084" spans="1:13" x14ac:dyDescent="0.3">
      <c r="A1084" s="1">
        <v>45793</v>
      </c>
      <c r="B1084" s="5">
        <v>33607468.013722792</v>
      </c>
      <c r="C1084" s="5">
        <v>32457193.594684083</v>
      </c>
      <c r="D1084" s="5">
        <v>0</v>
      </c>
      <c r="E1084" s="5">
        <f t="shared" si="849"/>
        <v>0</v>
      </c>
      <c r="F1084" s="5">
        <f t="shared" si="849"/>
        <v>0</v>
      </c>
      <c r="G1084" s="9">
        <f t="shared" si="851"/>
        <v>1.2870339060650604E-2</v>
      </c>
      <c r="H1084" s="9">
        <f t="shared" si="851"/>
        <v>6.7839137750187462E-3</v>
      </c>
      <c r="I1084" s="5">
        <f t="shared" si="852"/>
        <v>21174352.586724266</v>
      </c>
      <c r="J1084" s="5">
        <f t="shared" si="853"/>
        <v>20114702.571875803</v>
      </c>
      <c r="K1084" s="8">
        <f t="shared" ref="K1084:L1084" si="910">I1084/I832-1</f>
        <v>5.7172635756178147E-2</v>
      </c>
      <c r="L1084" s="8">
        <f t="shared" si="910"/>
        <v>0.18379842079633413</v>
      </c>
      <c r="M1084" s="8">
        <f t="shared" si="845"/>
        <v>0.12662578504015598</v>
      </c>
    </row>
    <row r="1085" spans="1:13" x14ac:dyDescent="0.3">
      <c r="A1085" s="1">
        <v>45796</v>
      </c>
      <c r="B1085" s="5">
        <v>33771235.604764819</v>
      </c>
      <c r="C1085" s="5">
        <v>32444746.351362169</v>
      </c>
      <c r="D1085" s="5">
        <v>0</v>
      </c>
      <c r="E1085" s="5">
        <f t="shared" si="849"/>
        <v>0</v>
      </c>
      <c r="F1085" s="5">
        <f t="shared" si="849"/>
        <v>0</v>
      </c>
      <c r="G1085" s="9">
        <f t="shared" si="851"/>
        <v>4.8729523740127512E-3</v>
      </c>
      <c r="H1085" s="9">
        <f t="shared" si="851"/>
        <v>-3.8349721412611615E-4</v>
      </c>
      <c r="I1085" s="5">
        <f t="shared" si="852"/>
        <v>21277534.198429927</v>
      </c>
      <c r="J1085" s="5">
        <f t="shared" si="853"/>
        <v>20106988.639476512</v>
      </c>
      <c r="K1085" s="8">
        <f t="shared" ref="K1085:L1085" si="911">I1085/I833-1</f>
        <v>5.5387470425819041E-2</v>
      </c>
      <c r="L1085" s="8">
        <f t="shared" si="911"/>
        <v>0.18446385862105652</v>
      </c>
      <c r="M1085" s="8">
        <f t="shared" si="845"/>
        <v>0.12907638819523748</v>
      </c>
    </row>
    <row r="1086" spans="1:13" x14ac:dyDescent="0.3">
      <c r="A1086" s="1">
        <v>45797</v>
      </c>
      <c r="B1086" s="5">
        <v>33149838.655597486</v>
      </c>
      <c r="C1086" s="5">
        <v>32417953.255061541</v>
      </c>
      <c r="D1086" s="5">
        <v>0</v>
      </c>
      <c r="E1086" s="5">
        <f t="shared" si="849"/>
        <v>0</v>
      </c>
      <c r="F1086" s="5">
        <f t="shared" si="849"/>
        <v>0</v>
      </c>
      <c r="G1086" s="9">
        <f t="shared" si="851"/>
        <v>-1.8400184003917852E-2</v>
      </c>
      <c r="H1086" s="9">
        <f t="shared" si="851"/>
        <v>-8.2580692758305041E-4</v>
      </c>
      <c r="I1086" s="5">
        <f t="shared" si="852"/>
        <v>20886023.654029161</v>
      </c>
      <c r="J1086" s="5">
        <f t="shared" si="853"/>
        <v>20090384.148965199</v>
      </c>
      <c r="K1086" s="8">
        <f t="shared" ref="K1086:L1086" si="912">I1086/I834-1</f>
        <v>2.0693955275441933E-2</v>
      </c>
      <c r="L1086" s="8">
        <f t="shared" si="912"/>
        <v>0.17733085919048941</v>
      </c>
      <c r="M1086" s="8">
        <f t="shared" si="845"/>
        <v>0.15663690391504748</v>
      </c>
    </row>
    <row r="1087" spans="1:13" x14ac:dyDescent="0.3">
      <c r="A1087" s="1">
        <v>45798</v>
      </c>
      <c r="B1087" s="5">
        <v>33537419.732424021</v>
      </c>
      <c r="C1087" s="5">
        <v>31903343.10750889</v>
      </c>
      <c r="D1087" s="5">
        <v>0</v>
      </c>
      <c r="E1087" s="5">
        <f t="shared" si="849"/>
        <v>0</v>
      </c>
      <c r="F1087" s="5">
        <f t="shared" si="849"/>
        <v>0</v>
      </c>
      <c r="G1087" s="9">
        <f t="shared" si="851"/>
        <v>1.1691793762655056E-2</v>
      </c>
      <c r="H1087" s="9">
        <f t="shared" si="851"/>
        <v>-1.5874233129517634E-2</v>
      </c>
      <c r="I1087" s="5">
        <f t="shared" si="852"/>
        <v>21130218.735114004</v>
      </c>
      <c r="J1087" s="5">
        <f t="shared" si="853"/>
        <v>19771464.707322959</v>
      </c>
      <c r="K1087" s="8">
        <f t="shared" ref="K1087:L1087" si="913">I1087/I835-1</f>
        <v>2.7296456823184601E-2</v>
      </c>
      <c r="L1087" s="8">
        <f t="shared" si="913"/>
        <v>0.14556031712033812</v>
      </c>
      <c r="M1087" s="8">
        <f t="shared" ref="M1087:M1150" si="914">L1087-K1087</f>
        <v>0.11826386029715352</v>
      </c>
    </row>
    <row r="1088" spans="1:13" x14ac:dyDescent="0.3">
      <c r="A1088" s="1">
        <v>45799</v>
      </c>
      <c r="B1088" s="5">
        <v>33426074.330061059</v>
      </c>
      <c r="C1088" s="5">
        <v>32008957.096345704</v>
      </c>
      <c r="D1088" s="5">
        <v>0</v>
      </c>
      <c r="E1088" s="5">
        <f t="shared" si="849"/>
        <v>0</v>
      </c>
      <c r="F1088" s="5">
        <f t="shared" si="849"/>
        <v>0</v>
      </c>
      <c r="G1088" s="9">
        <f t="shared" si="851"/>
        <v>-3.3200348521539302E-3</v>
      </c>
      <c r="H1088" s="9">
        <f t="shared" si="851"/>
        <v>3.3104364166762767E-3</v>
      </c>
      <c r="I1088" s="5">
        <f t="shared" si="852"/>
        <v>21060065.67247979</v>
      </c>
      <c r="J1088" s="5">
        <f t="shared" si="853"/>
        <v>19836916.884101111</v>
      </c>
      <c r="K1088" s="8">
        <f t="shared" ref="K1088:L1088" si="915">I1088/I836-1</f>
        <v>1.3441354321435339E-2</v>
      </c>
      <c r="L1088" s="8">
        <f t="shared" si="915"/>
        <v>0.15151331788875178</v>
      </c>
      <c r="M1088" s="8">
        <f t="shared" si="914"/>
        <v>0.13807196356731644</v>
      </c>
    </row>
    <row r="1089" spans="1:13" x14ac:dyDescent="0.3">
      <c r="A1089" s="1">
        <v>45800</v>
      </c>
      <c r="B1089" s="5">
        <v>33624087.201768078</v>
      </c>
      <c r="C1089" s="5">
        <v>31500269.490355562</v>
      </c>
      <c r="D1089" s="5">
        <v>0</v>
      </c>
      <c r="E1089" s="5">
        <f t="shared" si="849"/>
        <v>0</v>
      </c>
      <c r="F1089" s="5">
        <f t="shared" si="849"/>
        <v>0</v>
      </c>
      <c r="G1089" s="9">
        <f t="shared" si="851"/>
        <v>5.923904487011189E-3</v>
      </c>
      <c r="H1089" s="9">
        <f t="shared" si="851"/>
        <v>-1.5892039358202492E-2</v>
      </c>
      <c r="I1089" s="5">
        <f t="shared" si="852"/>
        <v>21184823.490013745</v>
      </c>
      <c r="J1089" s="5">
        <f t="shared" si="853"/>
        <v>19521667.820233583</v>
      </c>
      <c r="K1089" s="8">
        <f t="shared" ref="K1089:L1089" si="916">I1089/I837-1</f>
        <v>7.5214512268366729E-3</v>
      </c>
      <c r="L1089" s="8">
        <f t="shared" si="916"/>
        <v>0.13347696914633778</v>
      </c>
      <c r="M1089" s="8">
        <f t="shared" si="914"/>
        <v>0.1259555179195011</v>
      </c>
    </row>
    <row r="1090" spans="1:13" x14ac:dyDescent="0.3">
      <c r="A1090" s="1">
        <v>45803</v>
      </c>
      <c r="B1090" s="5">
        <v>33762612.010883607</v>
      </c>
      <c r="C1090" s="5">
        <v>32196451.586891826</v>
      </c>
      <c r="D1090" s="5">
        <v>0</v>
      </c>
      <c r="E1090" s="5">
        <f t="shared" si="849"/>
        <v>0</v>
      </c>
      <c r="F1090" s="5">
        <f t="shared" si="849"/>
        <v>0</v>
      </c>
      <c r="G1090" s="9">
        <f t="shared" si="851"/>
        <v>4.1198087634106706E-3</v>
      </c>
      <c r="H1090" s="9">
        <f t="shared" si="851"/>
        <v>2.2100829859548199E-2</v>
      </c>
      <c r="I1090" s="5">
        <f t="shared" si="852"/>
        <v>21272100.911479212</v>
      </c>
      <c r="J1090" s="5">
        <f t="shared" si="853"/>
        <v>19953112.879303183</v>
      </c>
      <c r="K1090" s="8">
        <f t="shared" ref="K1090:L1090" si="917">I1090/I838-1</f>
        <v>3.4195883731495957E-3</v>
      </c>
      <c r="L1090" s="8">
        <f t="shared" si="917"/>
        <v>0.15736900701399104</v>
      </c>
      <c r="M1090" s="8">
        <f t="shared" si="914"/>
        <v>0.15394941864084144</v>
      </c>
    </row>
    <row r="1091" spans="1:13" x14ac:dyDescent="0.3">
      <c r="A1091" s="1">
        <v>45804</v>
      </c>
      <c r="B1091" s="5">
        <v>33671611.69432909</v>
      </c>
      <c r="C1091" s="5">
        <v>32196451.586891826</v>
      </c>
      <c r="D1091" s="5">
        <v>0</v>
      </c>
      <c r="E1091" s="5">
        <f t="shared" ref="E1091:F1154" si="918">$D1091*-1</f>
        <v>0</v>
      </c>
      <c r="F1091" s="5">
        <f t="shared" si="918"/>
        <v>0</v>
      </c>
      <c r="G1091" s="9">
        <f t="shared" si="851"/>
        <v>-2.6952984717291129E-3</v>
      </c>
      <c r="H1091" s="9">
        <f t="shared" si="851"/>
        <v>0</v>
      </c>
      <c r="I1091" s="5">
        <f t="shared" si="852"/>
        <v>21214766.250402033</v>
      </c>
      <c r="J1091" s="5">
        <f t="shared" si="853"/>
        <v>19953112.879303183</v>
      </c>
      <c r="K1091" s="8">
        <f t="shared" ref="K1091:L1091" si="919">I1091/I839-1</f>
        <v>-7.8601162906453137E-3</v>
      </c>
      <c r="L1091" s="8">
        <f t="shared" si="919"/>
        <v>0.15486709373045993</v>
      </c>
      <c r="M1091" s="8">
        <f t="shared" si="914"/>
        <v>0.16272721002110524</v>
      </c>
    </row>
    <row r="1092" spans="1:13" x14ac:dyDescent="0.3">
      <c r="A1092" s="1">
        <v>45805</v>
      </c>
      <c r="B1092" s="5">
        <v>33574124.386282973</v>
      </c>
      <c r="C1092" s="5">
        <v>32051258.777976461</v>
      </c>
      <c r="D1092" s="5">
        <v>0</v>
      </c>
      <c r="E1092" s="5">
        <f t="shared" si="918"/>
        <v>0</v>
      </c>
      <c r="F1092" s="5">
        <f t="shared" si="918"/>
        <v>0</v>
      </c>
      <c r="G1092" s="9">
        <f t="shared" ref="G1092:H1155" si="920">((B1092-$D1092)/B1091-1)</f>
        <v>-2.8952373569494094E-3</v>
      </c>
      <c r="H1092" s="9">
        <f t="shared" si="920"/>
        <v>-4.5095903976721807E-3</v>
      </c>
      <c r="I1092" s="5">
        <f t="shared" ref="I1092:I1155" si="921">I1091*(1+G1092)</f>
        <v>21153344.466634918</v>
      </c>
      <c r="J1092" s="5">
        <f t="shared" ref="J1092:J1155" si="922">J1091*(1+H1092)</f>
        <v>19863132.513059009</v>
      </c>
      <c r="K1092" s="8">
        <f t="shared" ref="K1092:L1092" si="923">I1092/I840-1</f>
        <v>-1.2250950648048708E-2</v>
      </c>
      <c r="L1092" s="8">
        <f t="shared" si="923"/>
        <v>0.15345638537723438</v>
      </c>
      <c r="M1092" s="8">
        <f t="shared" si="914"/>
        <v>0.16570733602528309</v>
      </c>
    </row>
    <row r="1093" spans="1:13" x14ac:dyDescent="0.3">
      <c r="A1093" s="1">
        <v>45806</v>
      </c>
      <c r="B1093" s="5">
        <v>33623031.179897353</v>
      </c>
      <c r="C1093" s="5">
        <v>32218021.340592396</v>
      </c>
      <c r="D1093" s="5">
        <v>0</v>
      </c>
      <c r="E1093" s="5">
        <f t="shared" si="918"/>
        <v>0</v>
      </c>
      <c r="F1093" s="5">
        <f t="shared" si="918"/>
        <v>0</v>
      </c>
      <c r="G1093" s="9">
        <f t="shared" si="920"/>
        <v>1.4566811349028264E-3</v>
      </c>
      <c r="H1093" s="9">
        <f t="shared" si="920"/>
        <v>5.2029957316535036E-3</v>
      </c>
      <c r="I1093" s="5">
        <f t="shared" si="921"/>
        <v>21184158.144459568</v>
      </c>
      <c r="J1093" s="5">
        <f t="shared" si="922"/>
        <v>19966480.306741722</v>
      </c>
      <c r="K1093" s="8">
        <f t="shared" ref="K1093:L1093" si="924">I1093/I841-1</f>
        <v>-1.7877073216722161E-2</v>
      </c>
      <c r="L1093" s="8">
        <f t="shared" si="924"/>
        <v>0.16789498617288601</v>
      </c>
      <c r="M1093" s="8">
        <f t="shared" si="914"/>
        <v>0.18577205938960817</v>
      </c>
    </row>
    <row r="1094" spans="1:13" x14ac:dyDescent="0.3">
      <c r="A1094" s="1">
        <v>45807</v>
      </c>
      <c r="B1094" s="5">
        <v>33456400.752155948</v>
      </c>
      <c r="C1094" s="5">
        <v>32222086.571734633</v>
      </c>
      <c r="D1094" s="5">
        <v>0</v>
      </c>
      <c r="E1094" s="5">
        <f t="shared" si="918"/>
        <v>0</v>
      </c>
      <c r="F1094" s="5">
        <f t="shared" si="918"/>
        <v>0</v>
      </c>
      <c r="G1094" s="9">
        <f t="shared" si="920"/>
        <v>-4.9558419301894974E-3</v>
      </c>
      <c r="H1094" s="9">
        <f t="shared" si="920"/>
        <v>1.2617879599940984E-4</v>
      </c>
      <c r="I1094" s="5">
        <f t="shared" si="921"/>
        <v>21079172.805271491</v>
      </c>
      <c r="J1094" s="5">
        <f t="shared" si="922"/>
        <v>19968999.653187174</v>
      </c>
      <c r="K1094" s="8">
        <f t="shared" ref="K1094:L1094" si="925">I1094/I842-1</f>
        <v>-2.576653321558775E-2</v>
      </c>
      <c r="L1094" s="8">
        <f t="shared" si="925"/>
        <v>0.16240716271624178</v>
      </c>
      <c r="M1094" s="8">
        <f t="shared" si="914"/>
        <v>0.18817369593182953</v>
      </c>
    </row>
    <row r="1095" spans="1:13" x14ac:dyDescent="0.3">
      <c r="A1095" s="1">
        <v>45810</v>
      </c>
      <c r="B1095" s="5">
        <v>33595985.091520503</v>
      </c>
      <c r="C1095" s="5">
        <v>32293831.143338237</v>
      </c>
      <c r="D1095" s="5">
        <v>0</v>
      </c>
      <c r="E1095" s="5">
        <f t="shared" si="918"/>
        <v>0</v>
      </c>
      <c r="F1095" s="5">
        <f t="shared" si="918"/>
        <v>0</v>
      </c>
      <c r="G1095" s="9">
        <f t="shared" si="920"/>
        <v>4.1721265954037801E-3</v>
      </c>
      <c r="H1095" s="9">
        <f t="shared" si="920"/>
        <v>2.22656504394525E-3</v>
      </c>
      <c r="I1095" s="5">
        <f t="shared" si="921"/>
        <v>21167117.782741476</v>
      </c>
      <c r="J1095" s="5">
        <f t="shared" si="922"/>
        <v>20013461.929777514</v>
      </c>
      <c r="K1095" s="8">
        <f t="shared" ref="K1095:L1095" si="926">I1095/I843-1</f>
        <v>-2.3159929351993958E-2</v>
      </c>
      <c r="L1095" s="8">
        <f t="shared" si="926"/>
        <v>0.16372356054794834</v>
      </c>
      <c r="M1095" s="8">
        <f t="shared" si="914"/>
        <v>0.1868834898999423</v>
      </c>
    </row>
    <row r="1096" spans="1:13" x14ac:dyDescent="0.3">
      <c r="A1096" s="1">
        <v>45811</v>
      </c>
      <c r="B1096" s="5">
        <v>33411546.13548737</v>
      </c>
      <c r="C1096" s="5">
        <v>32580613.041774753</v>
      </c>
      <c r="D1096" s="5">
        <v>0</v>
      </c>
      <c r="E1096" s="5">
        <f t="shared" si="918"/>
        <v>0</v>
      </c>
      <c r="F1096" s="5">
        <f t="shared" si="918"/>
        <v>0</v>
      </c>
      <c r="G1096" s="9">
        <f t="shared" si="920"/>
        <v>-5.4899106405331688E-3</v>
      </c>
      <c r="H1096" s="9">
        <f t="shared" si="920"/>
        <v>8.880392579115659E-3</v>
      </c>
      <c r="I1096" s="5">
        <f t="shared" si="921"/>
        <v>21050912.197596584</v>
      </c>
      <c r="J1096" s="5">
        <f t="shared" si="922"/>
        <v>20191189.328581125</v>
      </c>
      <c r="K1096" s="8">
        <f t="shared" ref="K1096:L1096" si="927">I1096/I844-1</f>
        <v>-2.0150413536909606E-2</v>
      </c>
      <c r="L1096" s="8">
        <f t="shared" si="927"/>
        <v>0.17405788261918054</v>
      </c>
      <c r="M1096" s="8">
        <f t="shared" si="914"/>
        <v>0.19420829615609014</v>
      </c>
    </row>
    <row r="1097" spans="1:13" x14ac:dyDescent="0.3">
      <c r="A1097" s="1">
        <v>45812</v>
      </c>
      <c r="B1097" s="5">
        <v>33509170.27028751</v>
      </c>
      <c r="C1097" s="5">
        <v>32683352.834794044</v>
      </c>
      <c r="D1097" s="5">
        <v>0</v>
      </c>
      <c r="E1097" s="5">
        <f t="shared" si="918"/>
        <v>0</v>
      </c>
      <c r="F1097" s="5">
        <f t="shared" si="918"/>
        <v>0</v>
      </c>
      <c r="G1097" s="9">
        <f t="shared" si="920"/>
        <v>2.9218682189762202E-3</v>
      </c>
      <c r="H1097" s="9">
        <f t="shared" si="920"/>
        <v>3.1534026964918915E-3</v>
      </c>
      <c r="I1097" s="5">
        <f t="shared" si="921"/>
        <v>21112420.1889272</v>
      </c>
      <c r="J1097" s="5">
        <f t="shared" si="922"/>
        <v>20254860.279455252</v>
      </c>
      <c r="K1097" s="8">
        <f t="shared" ref="K1097:L1097" si="928">I1097/I845-1</f>
        <v>-1.0428581493269529E-2</v>
      </c>
      <c r="L1097" s="8">
        <f t="shared" si="928"/>
        <v>0.1840669647850417</v>
      </c>
      <c r="M1097" s="8">
        <f t="shared" si="914"/>
        <v>0.19449554627831123</v>
      </c>
    </row>
    <row r="1098" spans="1:13" x14ac:dyDescent="0.3">
      <c r="A1098" s="1">
        <v>45813</v>
      </c>
      <c r="B1098" s="5">
        <v>33649747.480713241</v>
      </c>
      <c r="C1098" s="5">
        <v>32494578.067915607</v>
      </c>
      <c r="D1098" s="5">
        <v>0</v>
      </c>
      <c r="E1098" s="5">
        <f t="shared" si="918"/>
        <v>0</v>
      </c>
      <c r="F1098" s="5">
        <f t="shared" si="918"/>
        <v>0</v>
      </c>
      <c r="G1098" s="9">
        <f t="shared" si="920"/>
        <v>4.1951862517581873E-3</v>
      </c>
      <c r="H1098" s="9">
        <f t="shared" si="920"/>
        <v>-5.7758690741628316E-3</v>
      </c>
      <c r="I1098" s="5">
        <f t="shared" si="921"/>
        <v>21200990.723845128</v>
      </c>
      <c r="J1098" s="5">
        <f t="shared" si="922"/>
        <v>20137870.858365659</v>
      </c>
      <c r="K1098" s="8">
        <f t="shared" ref="K1098:L1098" si="929">I1098/I846-1</f>
        <v>4.2311448319274358E-3</v>
      </c>
      <c r="L1098" s="8">
        <f t="shared" si="929"/>
        <v>0.18489359922816995</v>
      </c>
      <c r="M1098" s="8">
        <f t="shared" si="914"/>
        <v>0.18066245439624251</v>
      </c>
    </row>
    <row r="1099" spans="1:13" x14ac:dyDescent="0.3">
      <c r="A1099" s="1">
        <v>45814</v>
      </c>
      <c r="B1099" s="5">
        <v>34077506.505923703</v>
      </c>
      <c r="C1099" s="5">
        <v>32778849.377099529</v>
      </c>
      <c r="D1099" s="5">
        <v>0</v>
      </c>
      <c r="E1099" s="5">
        <f t="shared" si="918"/>
        <v>0</v>
      </c>
      <c r="F1099" s="5">
        <f t="shared" si="918"/>
        <v>0</v>
      </c>
      <c r="G1099" s="9">
        <f t="shared" si="920"/>
        <v>1.2712102088006327E-2</v>
      </c>
      <c r="H1099" s="9">
        <f t="shared" si="920"/>
        <v>8.7482689755127296E-3</v>
      </c>
      <c r="I1099" s="5">
        <f t="shared" si="921"/>
        <v>21470499.882293522</v>
      </c>
      <c r="J1099" s="5">
        <f t="shared" si="922"/>
        <v>20314042.36922878</v>
      </c>
      <c r="K1099" s="8">
        <f t="shared" ref="K1099:L1099" si="930">I1099/I847-1</f>
        <v>1.4369040770032981E-2</v>
      </c>
      <c r="L1099" s="8">
        <f t="shared" si="930"/>
        <v>0.18349883475837903</v>
      </c>
      <c r="M1099" s="8">
        <f t="shared" si="914"/>
        <v>0.16912979398834604</v>
      </c>
    </row>
    <row r="1100" spans="1:13" x14ac:dyDescent="0.3">
      <c r="A1100" s="1">
        <v>45817</v>
      </c>
      <c r="B1100" s="5">
        <v>34503837.621162795</v>
      </c>
      <c r="C1100" s="5">
        <v>32804140.971786879</v>
      </c>
      <c r="D1100" s="5">
        <v>0</v>
      </c>
      <c r="E1100" s="5">
        <f t="shared" si="918"/>
        <v>0</v>
      </c>
      <c r="F1100" s="5">
        <f t="shared" si="918"/>
        <v>0</v>
      </c>
      <c r="G1100" s="9">
        <f t="shared" si="920"/>
        <v>1.2510631174407649E-2</v>
      </c>
      <c r="H1100" s="9">
        <f t="shared" si="920"/>
        <v>7.7158274826505391E-4</v>
      </c>
      <c r="I1100" s="5">
        <f t="shared" si="921"/>
        <v>21739109.38745106</v>
      </c>
      <c r="J1100" s="5">
        <f t="shared" si="922"/>
        <v>20329716.333868403</v>
      </c>
      <c r="K1100" s="8">
        <f t="shared" ref="K1100:L1100" si="931">I1100/I848-1</f>
        <v>-1.7917491543195219E-2</v>
      </c>
      <c r="L1100" s="8">
        <f t="shared" si="931"/>
        <v>0.18707791869085777</v>
      </c>
      <c r="M1100" s="8">
        <f t="shared" si="914"/>
        <v>0.20499541023405299</v>
      </c>
    </row>
    <row r="1101" spans="1:13" x14ac:dyDescent="0.3">
      <c r="A1101" s="1">
        <v>45818</v>
      </c>
      <c r="B1101" s="5">
        <v>34543475.279287279</v>
      </c>
      <c r="C1101" s="5">
        <v>32958129.07405303</v>
      </c>
      <c r="D1101" s="5">
        <v>0</v>
      </c>
      <c r="E1101" s="5">
        <f t="shared" si="918"/>
        <v>0</v>
      </c>
      <c r="F1101" s="5">
        <f t="shared" si="918"/>
        <v>0</v>
      </c>
      <c r="G1101" s="9">
        <f t="shared" si="920"/>
        <v>1.1487898407036568E-3</v>
      </c>
      <c r="H1101" s="9">
        <f t="shared" si="920"/>
        <v>4.6941665809383526E-3</v>
      </c>
      <c r="I1101" s="5">
        <f t="shared" si="921"/>
        <v>21764083.05546131</v>
      </c>
      <c r="J1101" s="5">
        <f t="shared" si="922"/>
        <v>20425147.408882804</v>
      </c>
      <c r="K1101" s="8">
        <f t="shared" ref="K1101:L1101" si="932">I1101/I849-1</f>
        <v>8.4539966353468721E-2</v>
      </c>
      <c r="L1101" s="8">
        <f t="shared" si="932"/>
        <v>0.18537924602121914</v>
      </c>
      <c r="M1101" s="8">
        <f t="shared" si="914"/>
        <v>0.10083927966775041</v>
      </c>
    </row>
    <row r="1102" spans="1:13" x14ac:dyDescent="0.3">
      <c r="A1102" s="1">
        <v>45819</v>
      </c>
      <c r="B1102" s="5">
        <v>34467946.911071315</v>
      </c>
      <c r="C1102" s="5">
        <v>32845077.179359633</v>
      </c>
      <c r="D1102" s="5">
        <v>0</v>
      </c>
      <c r="E1102" s="5">
        <f t="shared" si="918"/>
        <v>0</v>
      </c>
      <c r="F1102" s="5">
        <f t="shared" si="918"/>
        <v>0</v>
      </c>
      <c r="G1102" s="9">
        <f t="shared" si="920"/>
        <v>-2.1864727739554501E-3</v>
      </c>
      <c r="H1102" s="9">
        <f t="shared" si="920"/>
        <v>-3.4301672415744111E-3</v>
      </c>
      <c r="I1102" s="5">
        <f t="shared" si="921"/>
        <v>21716496.480410438</v>
      </c>
      <c r="J1102" s="5">
        <f t="shared" si="922"/>
        <v>20355085.737336528</v>
      </c>
      <c r="K1102" s="8">
        <f t="shared" ref="K1102:L1102" si="933">I1102/I850-1</f>
        <v>3.6618080317621926E-2</v>
      </c>
      <c r="L1102" s="8">
        <f t="shared" si="933"/>
        <v>0.16956333659320388</v>
      </c>
      <c r="M1102" s="8">
        <f t="shared" si="914"/>
        <v>0.13294525627558196</v>
      </c>
    </row>
    <row r="1103" spans="1:13" x14ac:dyDescent="0.3">
      <c r="A1103" s="1">
        <v>45820</v>
      </c>
      <c r="B1103" s="5">
        <v>33849258.429957807</v>
      </c>
      <c r="C1103" s="5">
        <v>32986399.701081395</v>
      </c>
      <c r="D1103" s="5">
        <v>0</v>
      </c>
      <c r="E1103" s="5">
        <f t="shared" si="918"/>
        <v>0</v>
      </c>
      <c r="F1103" s="5">
        <f t="shared" si="918"/>
        <v>0</v>
      </c>
      <c r="G1103" s="9">
        <f t="shared" si="920"/>
        <v>-1.7949676048583663E-2</v>
      </c>
      <c r="H1103" s="9">
        <f t="shared" si="920"/>
        <v>4.3027002478950305E-3</v>
      </c>
      <c r="I1103" s="5">
        <f t="shared" si="921"/>
        <v>21326692.403676864</v>
      </c>
      <c r="J1103" s="5">
        <f t="shared" si="922"/>
        <v>20442667.569784489</v>
      </c>
      <c r="K1103" s="8">
        <f t="shared" ref="K1103:L1103" si="934">I1103/I851-1</f>
        <v>-2.7155194869096233E-3</v>
      </c>
      <c r="L1103" s="8">
        <f t="shared" si="934"/>
        <v>0.1734077288131266</v>
      </c>
      <c r="M1103" s="8">
        <f t="shared" si="914"/>
        <v>0.17612324830003623</v>
      </c>
    </row>
    <row r="1104" spans="1:13" x14ac:dyDescent="0.3">
      <c r="A1104" s="1">
        <v>45821</v>
      </c>
      <c r="B1104" s="5">
        <v>33576039.960839167</v>
      </c>
      <c r="C1104" s="5">
        <v>32821356.399689522</v>
      </c>
      <c r="D1104" s="5">
        <v>0</v>
      </c>
      <c r="E1104" s="5">
        <f t="shared" si="918"/>
        <v>0</v>
      </c>
      <c r="F1104" s="5">
        <f t="shared" si="918"/>
        <v>0</v>
      </c>
      <c r="G1104" s="9">
        <f t="shared" si="920"/>
        <v>-8.0716234798464681E-3</v>
      </c>
      <c r="H1104" s="9">
        <f t="shared" si="920"/>
        <v>-5.0033742053535724E-3</v>
      </c>
      <c r="I1104" s="5">
        <f t="shared" si="921"/>
        <v>21154551.372523881</v>
      </c>
      <c r="J1104" s="5">
        <f t="shared" si="922"/>
        <v>20340385.254177209</v>
      </c>
      <c r="K1104" s="8">
        <f t="shared" ref="K1104:L1104" si="935">I1104/I852-1</f>
        <v>-2.5096649973529783E-2</v>
      </c>
      <c r="L1104" s="8">
        <f t="shared" si="935"/>
        <v>0.16988845562299937</v>
      </c>
      <c r="M1104" s="8">
        <f t="shared" si="914"/>
        <v>0.19498510559652915</v>
      </c>
    </row>
    <row r="1105" spans="1:13" x14ac:dyDescent="0.3">
      <c r="A1105" s="1">
        <v>45824</v>
      </c>
      <c r="B1105" s="5">
        <v>33823243.804803528</v>
      </c>
      <c r="C1105" s="5">
        <v>33123472.155917026</v>
      </c>
      <c r="D1105" s="5">
        <v>0</v>
      </c>
      <c r="E1105" s="5">
        <f t="shared" si="918"/>
        <v>0</v>
      </c>
      <c r="F1105" s="5">
        <f t="shared" si="918"/>
        <v>0</v>
      </c>
      <c r="G1105" s="9">
        <f t="shared" si="920"/>
        <v>7.3625074384198186E-3</v>
      </c>
      <c r="H1105" s="9">
        <f t="shared" si="920"/>
        <v>9.2048528570367605E-3</v>
      </c>
      <c r="I1105" s="5">
        <f t="shared" si="921"/>
        <v>21310301.914360523</v>
      </c>
      <c r="J1105" s="5">
        <f t="shared" si="922"/>
        <v>20527615.507497352</v>
      </c>
      <c r="K1105" s="8">
        <f t="shared" ref="K1105:L1105" si="936">I1105/I853-1</f>
        <v>-2.5274677499750209E-2</v>
      </c>
      <c r="L1105" s="8">
        <f t="shared" si="936"/>
        <v>0.17582663486693217</v>
      </c>
      <c r="M1105" s="8">
        <f t="shared" si="914"/>
        <v>0.20110131236668238</v>
      </c>
    </row>
    <row r="1106" spans="1:13" x14ac:dyDescent="0.3">
      <c r="A1106" s="1">
        <v>45825</v>
      </c>
      <c r="B1106" s="5">
        <v>33584772.314447932</v>
      </c>
      <c r="C1106" s="5">
        <v>32939456.620637983</v>
      </c>
      <c r="D1106" s="5">
        <v>0</v>
      </c>
      <c r="E1106" s="5">
        <f t="shared" si="918"/>
        <v>0</v>
      </c>
      <c r="F1106" s="5">
        <f t="shared" si="918"/>
        <v>0</v>
      </c>
      <c r="G1106" s="9">
        <f t="shared" si="920"/>
        <v>-7.050520988815645E-3</v>
      </c>
      <c r="H1106" s="9">
        <f t="shared" si="920"/>
        <v>-5.5554422076542487E-3</v>
      </c>
      <c r="I1106" s="5">
        <f t="shared" si="921"/>
        <v>21160053.183435325</v>
      </c>
      <c r="J1106" s="5">
        <f t="shared" si="922"/>
        <v>20413575.525884502</v>
      </c>
      <c r="K1106" s="8">
        <f t="shared" ref="K1106:L1106" si="937">I1106/I854-1</f>
        <v>-3.1231385372554321E-2</v>
      </c>
      <c r="L1106" s="8">
        <f t="shared" si="937"/>
        <v>0.16612391737914289</v>
      </c>
      <c r="M1106" s="8">
        <f t="shared" si="914"/>
        <v>0.19735530275169721</v>
      </c>
    </row>
    <row r="1107" spans="1:13" x14ac:dyDescent="0.3">
      <c r="A1107" s="1">
        <v>45826</v>
      </c>
      <c r="B1107" s="5">
        <v>33480640.137886345</v>
      </c>
      <c r="C1107" s="5">
        <v>33006710.261276692</v>
      </c>
      <c r="D1107" s="5">
        <v>0</v>
      </c>
      <c r="E1107" s="5">
        <f t="shared" si="918"/>
        <v>0</v>
      </c>
      <c r="F1107" s="5">
        <f t="shared" si="918"/>
        <v>0</v>
      </c>
      <c r="G1107" s="9">
        <f t="shared" si="920"/>
        <v>-3.1005771183028052E-3</v>
      </c>
      <c r="H1107" s="9">
        <f t="shared" si="920"/>
        <v>2.0417349749652924E-3</v>
      </c>
      <c r="I1107" s="5">
        <f t="shared" si="921"/>
        <v>21094444.806712694</v>
      </c>
      <c r="J1107" s="5">
        <f t="shared" si="922"/>
        <v>20455254.636999797</v>
      </c>
      <c r="K1107" s="8">
        <f t="shared" ref="K1107:L1107" si="938">I1107/I855-1</f>
        <v>-4.1436184392783959E-2</v>
      </c>
      <c r="L1107" s="8">
        <f t="shared" si="938"/>
        <v>0.1576556555981028</v>
      </c>
      <c r="M1107" s="8">
        <f t="shared" si="914"/>
        <v>0.19909183999088675</v>
      </c>
    </row>
    <row r="1108" spans="1:13" x14ac:dyDescent="0.3">
      <c r="A1108" s="1">
        <v>45827</v>
      </c>
      <c r="B1108" s="5">
        <v>33009138.651930965</v>
      </c>
      <c r="C1108" s="5">
        <v>32970943.100804232</v>
      </c>
      <c r="D1108" s="5">
        <v>0</v>
      </c>
      <c r="E1108" s="5">
        <f t="shared" si="918"/>
        <v>0</v>
      </c>
      <c r="F1108" s="5">
        <f t="shared" si="918"/>
        <v>0</v>
      </c>
      <c r="G1108" s="9">
        <f t="shared" si="920"/>
        <v>-1.4082809767482107E-2</v>
      </c>
      <c r="H1108" s="9">
        <f t="shared" si="920"/>
        <v>-1.0836330003606287E-3</v>
      </c>
      <c r="I1108" s="5">
        <f t="shared" si="921"/>
        <v>20797375.75334911</v>
      </c>
      <c r="J1108" s="5">
        <f t="shared" si="922"/>
        <v>20433088.648044363</v>
      </c>
      <c r="K1108" s="8">
        <f t="shared" ref="K1108:L1108" si="939">I1108/I856-1</f>
        <v>-6.3488683968415671E-2</v>
      </c>
      <c r="L1108" s="8">
        <f t="shared" si="939"/>
        <v>0.15437199967614434</v>
      </c>
      <c r="M1108" s="8">
        <f t="shared" si="914"/>
        <v>0.21786068364456002</v>
      </c>
    </row>
    <row r="1109" spans="1:13" x14ac:dyDescent="0.3">
      <c r="A1109" s="1">
        <v>45828</v>
      </c>
      <c r="B1109" s="5">
        <v>33459035.5442653</v>
      </c>
      <c r="C1109" s="5">
        <v>32970943.100804232</v>
      </c>
      <c r="D1109" s="5">
        <v>0</v>
      </c>
      <c r="E1109" s="5">
        <f t="shared" si="918"/>
        <v>0</v>
      </c>
      <c r="F1109" s="5">
        <f t="shared" si="918"/>
        <v>0</v>
      </c>
      <c r="G1109" s="9">
        <f t="shared" si="920"/>
        <v>1.3629464769690847E-2</v>
      </c>
      <c r="H1109" s="9">
        <f t="shared" si="920"/>
        <v>0</v>
      </c>
      <c r="I1109" s="5">
        <f t="shared" si="921"/>
        <v>21080832.853481404</v>
      </c>
      <c r="J1109" s="5">
        <f t="shared" si="922"/>
        <v>20433088.648044363</v>
      </c>
      <c r="K1109" s="8">
        <f t="shared" ref="K1109:L1109" si="940">I1109/I857-1</f>
        <v>-6.4635965098974513E-2</v>
      </c>
      <c r="L1109" s="8">
        <f t="shared" si="940"/>
        <v>0.15426622094181308</v>
      </c>
      <c r="M1109" s="8">
        <f t="shared" si="914"/>
        <v>0.21890218604078759</v>
      </c>
    </row>
    <row r="1110" spans="1:13" x14ac:dyDescent="0.3">
      <c r="A1110" s="1">
        <v>45831</v>
      </c>
      <c r="B1110" s="5">
        <v>33484313.409974888</v>
      </c>
      <c r="C1110" s="5">
        <v>33345951.143082574</v>
      </c>
      <c r="D1110" s="5">
        <v>0</v>
      </c>
      <c r="E1110" s="5">
        <f t="shared" si="918"/>
        <v>0</v>
      </c>
      <c r="F1110" s="5">
        <f t="shared" si="918"/>
        <v>0</v>
      </c>
      <c r="G1110" s="9">
        <f t="shared" si="920"/>
        <v>7.5548697977700918E-4</v>
      </c>
      <c r="H1110" s="9">
        <f t="shared" si="920"/>
        <v>1.1373894921106853E-2</v>
      </c>
      <c r="I1110" s="5">
        <f t="shared" si="921"/>
        <v>21096759.148225065</v>
      </c>
      <c r="J1110" s="5">
        <f t="shared" si="922"/>
        <v>20665492.451240882</v>
      </c>
      <c r="K1110" s="8">
        <f t="shared" ref="K1110:L1110" si="941">I1110/I858-1</f>
        <v>-6.9797859563365594E-2</v>
      </c>
      <c r="L1110" s="8">
        <f t="shared" si="941"/>
        <v>0.15708611452339838</v>
      </c>
      <c r="M1110" s="8">
        <f t="shared" si="914"/>
        <v>0.22688397408676397</v>
      </c>
    </row>
    <row r="1111" spans="1:13" x14ac:dyDescent="0.3">
      <c r="A1111" s="1">
        <v>45832</v>
      </c>
      <c r="B1111" s="5">
        <v>33786570.726349354</v>
      </c>
      <c r="C1111" s="5">
        <v>33402640.843346123</v>
      </c>
      <c r="D1111" s="5">
        <v>0</v>
      </c>
      <c r="E1111" s="5">
        <f t="shared" si="918"/>
        <v>0</v>
      </c>
      <c r="F1111" s="5">
        <f t="shared" si="918"/>
        <v>0</v>
      </c>
      <c r="G1111" s="9">
        <f t="shared" si="920"/>
        <v>9.0268333315870475E-3</v>
      </c>
      <c r="H1111" s="9">
        <f t="shared" si="920"/>
        <v>1.7000474816357691E-3</v>
      </c>
      <c r="I1111" s="5">
        <f t="shared" si="921"/>
        <v>21287196.076892726</v>
      </c>
      <c r="J1111" s="5">
        <f t="shared" si="922"/>
        <v>20700624.769639377</v>
      </c>
      <c r="K1111" s="8">
        <f t="shared" ref="K1111:L1111" si="942">I1111/I859-1</f>
        <v>-5.0786702689170626E-2</v>
      </c>
      <c r="L1111" s="8">
        <f t="shared" si="942"/>
        <v>0.15920084240225441</v>
      </c>
      <c r="M1111" s="8">
        <f t="shared" si="914"/>
        <v>0.20998754509142503</v>
      </c>
    </row>
    <row r="1112" spans="1:13" x14ac:dyDescent="0.3">
      <c r="A1112" s="1">
        <v>45833</v>
      </c>
      <c r="B1112" s="5">
        <v>33947114.117726274</v>
      </c>
      <c r="C1112" s="5">
        <v>33449466.66861451</v>
      </c>
      <c r="D1112" s="5">
        <v>0</v>
      </c>
      <c r="E1112" s="5">
        <f t="shared" si="918"/>
        <v>0</v>
      </c>
      <c r="F1112" s="5">
        <f t="shared" si="918"/>
        <v>0</v>
      </c>
      <c r="G1112" s="9">
        <f t="shared" si="920"/>
        <v>4.7516924010200245E-3</v>
      </c>
      <c r="H1112" s="9">
        <f t="shared" si="920"/>
        <v>1.4018599753233829E-3</v>
      </c>
      <c r="I1112" s="5">
        <f t="shared" si="921"/>
        <v>21388346.284730319</v>
      </c>
      <c r="J1112" s="5">
        <f t="shared" si="922"/>
        <v>20729644.146968123</v>
      </c>
      <c r="K1112" s="8">
        <f t="shared" ref="K1112:L1112" si="943">I1112/I860-1</f>
        <v>-4.7547551439598656E-2</v>
      </c>
      <c r="L1112" s="8">
        <f t="shared" si="943"/>
        <v>0.16082587966657935</v>
      </c>
      <c r="M1112" s="8">
        <f t="shared" si="914"/>
        <v>0.20837343110617801</v>
      </c>
    </row>
    <row r="1113" spans="1:13" x14ac:dyDescent="0.3">
      <c r="A1113" s="1">
        <v>45834</v>
      </c>
      <c r="B1113" s="5">
        <v>34261033.283596739</v>
      </c>
      <c r="C1113" s="5">
        <v>33569214.526936255</v>
      </c>
      <c r="D1113" s="5">
        <v>0</v>
      </c>
      <c r="E1113" s="5">
        <f t="shared" si="918"/>
        <v>0</v>
      </c>
      <c r="F1113" s="5">
        <f t="shared" si="918"/>
        <v>0</v>
      </c>
      <c r="G1113" s="9">
        <f t="shared" si="920"/>
        <v>9.2473005152018395E-3</v>
      </c>
      <c r="H1113" s="9">
        <f t="shared" si="920"/>
        <v>3.5799631578012914E-3</v>
      </c>
      <c r="I1113" s="5">
        <f t="shared" si="921"/>
        <v>21586130.750348423</v>
      </c>
      <c r="J1113" s="5">
        <f t="shared" si="922"/>
        <v>20803855.509288598</v>
      </c>
      <c r="K1113" s="8">
        <f t="shared" ref="K1113:L1113" si="944">I1113/I861-1</f>
        <v>-3.1933489187691233E-2</v>
      </c>
      <c r="L1113" s="8">
        <f t="shared" si="944"/>
        <v>0.1680007931202554</v>
      </c>
      <c r="M1113" s="8">
        <f t="shared" si="914"/>
        <v>0.19993428230794663</v>
      </c>
    </row>
    <row r="1114" spans="1:13" x14ac:dyDescent="0.3">
      <c r="A1114" s="1">
        <v>45835</v>
      </c>
      <c r="B1114" s="5">
        <v>34472118.372879595</v>
      </c>
      <c r="C1114" s="5">
        <v>33664134.035153791</v>
      </c>
      <c r="D1114" s="5">
        <v>0</v>
      </c>
      <c r="E1114" s="5">
        <f t="shared" si="918"/>
        <v>0</v>
      </c>
      <c r="F1114" s="5">
        <f t="shared" si="918"/>
        <v>0</v>
      </c>
      <c r="G1114" s="9">
        <f t="shared" si="920"/>
        <v>6.1610835708192369E-3</v>
      </c>
      <c r="H1114" s="9">
        <f t="shared" si="920"/>
        <v>2.827576085862038E-3</v>
      </c>
      <c r="I1114" s="5">
        <f t="shared" si="921"/>
        <v>21719124.705871951</v>
      </c>
      <c r="J1114" s="5">
        <f t="shared" si="922"/>
        <v>20862679.993620392</v>
      </c>
      <c r="K1114" s="8">
        <f t="shared" ref="K1114:L1114" si="945">I1114/I862-1</f>
        <v>-3.3181076489114836E-2</v>
      </c>
      <c r="L1114" s="8">
        <f t="shared" si="945"/>
        <v>0.17637690904956704</v>
      </c>
      <c r="M1114" s="8">
        <f t="shared" si="914"/>
        <v>0.20955798553868188</v>
      </c>
    </row>
    <row r="1115" spans="1:13" x14ac:dyDescent="0.3">
      <c r="A1115" s="1">
        <v>45838</v>
      </c>
      <c r="B1115" s="5">
        <v>34618347.580759622</v>
      </c>
      <c r="C1115" s="5">
        <v>33955705.489803925</v>
      </c>
      <c r="D1115" s="5">
        <v>0</v>
      </c>
      <c r="E1115" s="5">
        <f t="shared" si="918"/>
        <v>0</v>
      </c>
      <c r="F1115" s="5">
        <f t="shared" si="918"/>
        <v>0</v>
      </c>
      <c r="G1115" s="9">
        <f t="shared" si="920"/>
        <v>4.2419559569355503E-3</v>
      </c>
      <c r="H1115" s="9">
        <f t="shared" si="920"/>
        <v>8.6611898094768325E-3</v>
      </c>
      <c r="I1115" s="5">
        <f t="shared" si="921"/>
        <v>21811256.27629745</v>
      </c>
      <c r="J1115" s="5">
        <f t="shared" si="922"/>
        <v>21043375.624979515</v>
      </c>
      <c r="K1115" s="8">
        <f t="shared" ref="K1115:L1115" si="946">I1115/I863-1</f>
        <v>-2.5251421151235798E-2</v>
      </c>
      <c r="L1115" s="8">
        <f t="shared" si="946"/>
        <v>0.18220131708214349</v>
      </c>
      <c r="M1115" s="8">
        <f t="shared" si="914"/>
        <v>0.20745273823337929</v>
      </c>
    </row>
    <row r="1116" spans="1:13" x14ac:dyDescent="0.3">
      <c r="A1116" s="1">
        <v>45839</v>
      </c>
      <c r="B1116" s="5">
        <v>35084242.63522695</v>
      </c>
      <c r="C1116" s="5">
        <v>34355192.101080999</v>
      </c>
      <c r="D1116" s="5">
        <v>500000</v>
      </c>
      <c r="E1116" s="5">
        <f t="shared" si="918"/>
        <v>-500000</v>
      </c>
      <c r="F1116" s="5">
        <f t="shared" si="918"/>
        <v>-500000</v>
      </c>
      <c r="G1116" s="9">
        <f t="shared" si="920"/>
        <v>-9.8516965470718532E-4</v>
      </c>
      <c r="H1116" s="9">
        <f t="shared" si="920"/>
        <v>-2.9601325395258726E-3</v>
      </c>
      <c r="I1116" s="5">
        <f t="shared" si="921"/>
        <v>21789768.488483001</v>
      </c>
      <c r="J1116" s="5">
        <f t="shared" si="922"/>
        <v>20981084.444050547</v>
      </c>
      <c r="K1116" s="8">
        <f t="shared" ref="K1116:L1116" si="947">I1116/I864-1</f>
        <v>-2.4502586237864499E-2</v>
      </c>
      <c r="L1116" s="8">
        <f t="shared" si="947"/>
        <v>0.1747356222794807</v>
      </c>
      <c r="M1116" s="8">
        <f t="shared" si="914"/>
        <v>0.19923820851734519</v>
      </c>
    </row>
    <row r="1117" spans="1:13" x14ac:dyDescent="0.3">
      <c r="A1117" s="1">
        <v>45840</v>
      </c>
      <c r="B1117" s="5">
        <v>34982231.69623097</v>
      </c>
      <c r="C1117" s="5">
        <v>34567524.501708277</v>
      </c>
      <c r="D1117" s="5">
        <v>0</v>
      </c>
      <c r="E1117" s="5">
        <f t="shared" si="918"/>
        <v>0</v>
      </c>
      <c r="F1117" s="5">
        <f t="shared" si="918"/>
        <v>0</v>
      </c>
      <c r="G1117" s="9">
        <f t="shared" si="920"/>
        <v>-2.9075998606152842E-3</v>
      </c>
      <c r="H1117" s="9">
        <f t="shared" si="920"/>
        <v>6.1805039541780182E-3</v>
      </c>
      <c r="I1117" s="5">
        <f t="shared" si="921"/>
        <v>21726412.560663048</v>
      </c>
      <c r="J1117" s="5">
        <f t="shared" si="922"/>
        <v>21110758.119419944</v>
      </c>
      <c r="K1117" s="8">
        <f t="shared" ref="K1117:L1117" si="948">I1117/I865-1</f>
        <v>-2.8768222416994949E-2</v>
      </c>
      <c r="L1117" s="8">
        <f t="shared" si="948"/>
        <v>0.18246823496264741</v>
      </c>
      <c r="M1117" s="8">
        <f t="shared" si="914"/>
        <v>0.21123645737964236</v>
      </c>
    </row>
    <row r="1118" spans="1:13" x14ac:dyDescent="0.3">
      <c r="A1118" s="1">
        <v>45841</v>
      </c>
      <c r="B1118" s="5">
        <v>34791908.796125948</v>
      </c>
      <c r="C1118" s="5">
        <v>34698520.276914038</v>
      </c>
      <c r="D1118" s="5">
        <v>0</v>
      </c>
      <c r="E1118" s="5">
        <f t="shared" si="918"/>
        <v>0</v>
      </c>
      <c r="F1118" s="5">
        <f t="shared" si="918"/>
        <v>0</v>
      </c>
      <c r="G1118" s="9">
        <f t="shared" si="920"/>
        <v>-5.4405591317814306E-3</v>
      </c>
      <c r="H1118" s="9">
        <f t="shared" si="920"/>
        <v>3.7895619398284897E-3</v>
      </c>
      <c r="I1118" s="5">
        <f t="shared" si="921"/>
        <v>21608208.728405282</v>
      </c>
      <c r="J1118" s="5">
        <f t="shared" si="922"/>
        <v>21190758.644910224</v>
      </c>
      <c r="K1118" s="8">
        <f t="shared" ref="K1118:L1118" si="949">I1118/I866-1</f>
        <v>-3.6807903957053578E-2</v>
      </c>
      <c r="L1118" s="8">
        <f t="shared" si="949"/>
        <v>0.19324236256975325</v>
      </c>
      <c r="M1118" s="8">
        <f t="shared" si="914"/>
        <v>0.23005026652680682</v>
      </c>
    </row>
    <row r="1119" spans="1:13" x14ac:dyDescent="0.3">
      <c r="A1119" s="1">
        <v>45842</v>
      </c>
      <c r="B1119" s="5">
        <v>34920146.746825971</v>
      </c>
      <c r="C1119" s="5">
        <v>34652367.723569721</v>
      </c>
      <c r="D1119" s="5">
        <v>0</v>
      </c>
      <c r="E1119" s="5">
        <f t="shared" si="918"/>
        <v>0</v>
      </c>
      <c r="F1119" s="5">
        <f t="shared" si="918"/>
        <v>0</v>
      </c>
      <c r="G1119" s="9">
        <f t="shared" si="920"/>
        <v>3.6858555663465964E-3</v>
      </c>
      <c r="H1119" s="9">
        <f t="shared" si="920"/>
        <v>-1.3301014849046444E-3</v>
      </c>
      <c r="I1119" s="5">
        <f t="shared" si="921"/>
        <v>21687853.464825653</v>
      </c>
      <c r="J1119" s="5">
        <f t="shared" si="922"/>
        <v>21162572.785370372</v>
      </c>
      <c r="K1119" s="8">
        <f t="shared" ref="K1119:L1119" si="950">I1119/I867-1</f>
        <v>-4.2280100430918233E-2</v>
      </c>
      <c r="L1119" s="8">
        <f t="shared" si="950"/>
        <v>0.18687165540744388</v>
      </c>
      <c r="M1119" s="8">
        <f t="shared" si="914"/>
        <v>0.22915175583836211</v>
      </c>
    </row>
    <row r="1120" spans="1:13" x14ac:dyDescent="0.3">
      <c r="A1120" s="1">
        <v>45845</v>
      </c>
      <c r="B1120" s="5">
        <v>34980217.245338783</v>
      </c>
      <c r="C1120" s="5">
        <v>34652367.723569721</v>
      </c>
      <c r="D1120" s="5">
        <v>0</v>
      </c>
      <c r="E1120" s="5">
        <f t="shared" si="918"/>
        <v>0</v>
      </c>
      <c r="F1120" s="5">
        <f t="shared" si="918"/>
        <v>0</v>
      </c>
      <c r="G1120" s="9">
        <f t="shared" si="920"/>
        <v>1.7202246871506066E-3</v>
      </c>
      <c r="H1120" s="9">
        <f t="shared" si="920"/>
        <v>0</v>
      </c>
      <c r="I1120" s="5">
        <f t="shared" si="921"/>
        <v>21725161.445767149</v>
      </c>
      <c r="J1120" s="5">
        <f t="shared" si="922"/>
        <v>21162572.785370372</v>
      </c>
      <c r="K1120" s="8">
        <f t="shared" ref="K1120:L1120" si="951">I1120/I868-1</f>
        <v>-3.5425707149974506E-2</v>
      </c>
      <c r="L1120" s="8">
        <f t="shared" si="951"/>
        <v>0.17871121758347841</v>
      </c>
      <c r="M1120" s="8">
        <f t="shared" si="914"/>
        <v>0.21413692473345292</v>
      </c>
    </row>
    <row r="1121" spans="1:13" x14ac:dyDescent="0.3">
      <c r="A1121" s="1">
        <v>45846</v>
      </c>
      <c r="B1121" s="5">
        <v>34976761.358737536</v>
      </c>
      <c r="C1121" s="5">
        <v>34583394.891212277</v>
      </c>
      <c r="D1121" s="5">
        <v>0</v>
      </c>
      <c r="E1121" s="5">
        <f t="shared" si="918"/>
        <v>0</v>
      </c>
      <c r="F1121" s="5">
        <f t="shared" si="918"/>
        <v>0</v>
      </c>
      <c r="G1121" s="9">
        <f t="shared" si="920"/>
        <v>-9.8795458501776956E-5</v>
      </c>
      <c r="H1121" s="9">
        <f t="shared" si="920"/>
        <v>-1.9904219217473651E-3</v>
      </c>
      <c r="I1121" s="5">
        <f t="shared" si="921"/>
        <v>21723015.098481089</v>
      </c>
      <c r="J1121" s="5">
        <f t="shared" si="922"/>
        <v>21120450.336577795</v>
      </c>
      <c r="K1121" s="8">
        <f t="shared" ref="K1121:L1121" si="952">I1121/I869-1</f>
        <v>-4.5851649853350107E-2</v>
      </c>
      <c r="L1121" s="8">
        <f t="shared" si="952"/>
        <v>0.17066079146826341</v>
      </c>
      <c r="M1121" s="8">
        <f t="shared" si="914"/>
        <v>0.21651244132161351</v>
      </c>
    </row>
    <row r="1122" spans="1:13" x14ac:dyDescent="0.3">
      <c r="A1122" s="1">
        <v>45847</v>
      </c>
      <c r="B1122" s="5">
        <v>34955958.41622021</v>
      </c>
      <c r="C1122" s="5">
        <v>34769118.188858561</v>
      </c>
      <c r="D1122" s="5">
        <v>0</v>
      </c>
      <c r="E1122" s="5">
        <f t="shared" si="918"/>
        <v>0</v>
      </c>
      <c r="F1122" s="5">
        <f t="shared" si="918"/>
        <v>0</v>
      </c>
      <c r="G1122" s="9">
        <f t="shared" si="920"/>
        <v>-5.947646868720291E-4</v>
      </c>
      <c r="H1122" s="9">
        <f t="shared" si="920"/>
        <v>5.3703026620290917E-3</v>
      </c>
      <c r="I1122" s="5">
        <f t="shared" si="921"/>
        <v>21710095.016208123</v>
      </c>
      <c r="J1122" s="5">
        <f t="shared" si="922"/>
        <v>21233873.547243573</v>
      </c>
      <c r="K1122" s="8">
        <f t="shared" ref="K1122:L1122" si="953">I1122/I870-1</f>
        <v>-5.1052457970377607E-2</v>
      </c>
      <c r="L1122" s="8">
        <f t="shared" si="953"/>
        <v>0.17052484702075343</v>
      </c>
      <c r="M1122" s="8">
        <f t="shared" si="914"/>
        <v>0.22157730499113104</v>
      </c>
    </row>
    <row r="1123" spans="1:13" x14ac:dyDescent="0.3">
      <c r="A1123" s="1">
        <v>45848</v>
      </c>
      <c r="B1123" s="5">
        <v>34877209.758198261</v>
      </c>
      <c r="C1123" s="5">
        <v>34853219.061469503</v>
      </c>
      <c r="D1123" s="5">
        <v>0</v>
      </c>
      <c r="E1123" s="5">
        <f t="shared" si="918"/>
        <v>0</v>
      </c>
      <c r="F1123" s="5">
        <f t="shared" si="918"/>
        <v>0</v>
      </c>
      <c r="G1123" s="9">
        <f t="shared" si="920"/>
        <v>-2.2527964212649687E-3</v>
      </c>
      <c r="H1123" s="9">
        <f t="shared" si="920"/>
        <v>2.4188382389833674E-3</v>
      </c>
      <c r="I1123" s="5">
        <f t="shared" si="921"/>
        <v>21661186.591850288</v>
      </c>
      <c r="J1123" s="5">
        <f t="shared" si="922"/>
        <v>21285234.852541383</v>
      </c>
      <c r="K1123" s="8">
        <f t="shared" ref="K1123:L1123" si="954">I1123/I871-1</f>
        <v>-5.9615862031308753E-2</v>
      </c>
      <c r="L1123" s="8">
        <f t="shared" si="954"/>
        <v>0.17335615728040743</v>
      </c>
      <c r="M1123" s="8">
        <f t="shared" si="914"/>
        <v>0.23297201931171618</v>
      </c>
    </row>
    <row r="1124" spans="1:13" x14ac:dyDescent="0.3">
      <c r="A1124" s="1">
        <v>45849</v>
      </c>
      <c r="B1124" s="5">
        <v>34593243.3644109</v>
      </c>
      <c r="C1124" s="5">
        <v>34799141.863934971</v>
      </c>
      <c r="D1124" s="5">
        <v>0</v>
      </c>
      <c r="E1124" s="5">
        <f t="shared" si="918"/>
        <v>0</v>
      </c>
      <c r="F1124" s="5">
        <f t="shared" si="918"/>
        <v>0</v>
      </c>
      <c r="G1124" s="9">
        <f t="shared" si="920"/>
        <v>-8.1418896682413644E-3</v>
      </c>
      <c r="H1124" s="9">
        <f t="shared" si="920"/>
        <v>-1.5515696681892566E-3</v>
      </c>
      <c r="I1124" s="5">
        <f t="shared" si="921"/>
        <v>21484823.600536253</v>
      </c>
      <c r="J1124" s="5">
        <f t="shared" si="922"/>
        <v>21252209.327763896</v>
      </c>
      <c r="K1124" s="8">
        <f t="shared" ref="K1124:L1124" si="955">I1124/I872-1</f>
        <v>-6.8315748134673449E-2</v>
      </c>
      <c r="L1124" s="8">
        <f t="shared" si="955"/>
        <v>0.17058916361304144</v>
      </c>
      <c r="M1124" s="8">
        <f t="shared" si="914"/>
        <v>0.23890491174771489</v>
      </c>
    </row>
    <row r="1125" spans="1:13" x14ac:dyDescent="0.3">
      <c r="A1125" s="1">
        <v>45852</v>
      </c>
      <c r="B1125" s="5">
        <v>34756186.10424462</v>
      </c>
      <c r="C1125" s="5">
        <v>34925370.250566691</v>
      </c>
      <c r="D1125" s="5">
        <v>0</v>
      </c>
      <c r="E1125" s="5">
        <f t="shared" si="918"/>
        <v>0</v>
      </c>
      <c r="F1125" s="5">
        <f t="shared" si="918"/>
        <v>0</v>
      </c>
      <c r="G1125" s="9">
        <f t="shared" si="920"/>
        <v>4.7102475508657982E-3</v>
      </c>
      <c r="H1125" s="9">
        <f t="shared" si="920"/>
        <v>3.6273419363406223E-3</v>
      </c>
      <c r="I1125" s="5">
        <f t="shared" si="921"/>
        <v>21586022.438281462</v>
      </c>
      <c r="J1125" s="5">
        <f t="shared" si="922"/>
        <v>21329298.357898384</v>
      </c>
      <c r="K1125" s="8">
        <f t="shared" ref="K1125:L1125" si="956">I1125/I873-1</f>
        <v>-6.8423560521831406E-2</v>
      </c>
      <c r="L1125" s="8">
        <f t="shared" si="956"/>
        <v>0.17365582344585295</v>
      </c>
      <c r="M1125" s="8">
        <f t="shared" si="914"/>
        <v>0.24207938396768436</v>
      </c>
    </row>
    <row r="1126" spans="1:13" x14ac:dyDescent="0.3">
      <c r="A1126" s="1">
        <v>45853</v>
      </c>
      <c r="B1126" s="5">
        <v>34981096.343166292</v>
      </c>
      <c r="C1126" s="5">
        <v>34721663.520346455</v>
      </c>
      <c r="D1126" s="5">
        <v>0</v>
      </c>
      <c r="E1126" s="5">
        <f t="shared" si="918"/>
        <v>0</v>
      </c>
      <c r="F1126" s="5">
        <f t="shared" si="918"/>
        <v>0</v>
      </c>
      <c r="G1126" s="9">
        <f t="shared" si="920"/>
        <v>6.4710851255973534E-3</v>
      </c>
      <c r="H1126" s="9">
        <f t="shared" si="920"/>
        <v>-5.8326290819187276E-3</v>
      </c>
      <c r="I1126" s="5">
        <f t="shared" si="921"/>
        <v>21725707.427002635</v>
      </c>
      <c r="J1126" s="5">
        <f t="shared" si="922"/>
        <v>21204892.471999183</v>
      </c>
      <c r="K1126" s="8">
        <f t="shared" ref="K1126:L1126" si="957">I1126/I874-1</f>
        <v>-6.2825899197160862E-2</v>
      </c>
      <c r="L1126" s="8">
        <f t="shared" si="957"/>
        <v>0.154467358830777</v>
      </c>
      <c r="M1126" s="8">
        <f t="shared" si="914"/>
        <v>0.21729325802793786</v>
      </c>
    </row>
    <row r="1127" spans="1:13" x14ac:dyDescent="0.3">
      <c r="A1127" s="1">
        <v>45854</v>
      </c>
      <c r="B1127" s="5">
        <v>35053869.2714215</v>
      </c>
      <c r="C1127" s="5">
        <v>34889378.767441265</v>
      </c>
      <c r="D1127" s="5">
        <v>0</v>
      </c>
      <c r="E1127" s="5">
        <f t="shared" si="918"/>
        <v>0</v>
      </c>
      <c r="F1127" s="5">
        <f t="shared" si="918"/>
        <v>0</v>
      </c>
      <c r="G1127" s="9">
        <f t="shared" si="920"/>
        <v>2.0803501280035608E-3</v>
      </c>
      <c r="H1127" s="9">
        <f t="shared" si="920"/>
        <v>4.83027683845072E-3</v>
      </c>
      <c r="I1127" s="5">
        <f t="shared" si="921"/>
        <v>21770904.505229369</v>
      </c>
      <c r="J1127" s="5">
        <f t="shared" si="922"/>
        <v>21307317.972968519</v>
      </c>
      <c r="K1127" s="8">
        <f t="shared" ref="K1127:L1127" si="958">I1127/I875-1</f>
        <v>-6.2926681680267826E-2</v>
      </c>
      <c r="L1127" s="8">
        <f t="shared" si="958"/>
        <v>0.16927476312473755</v>
      </c>
      <c r="M1127" s="8">
        <f t="shared" si="914"/>
        <v>0.23220144480500537</v>
      </c>
    </row>
    <row r="1128" spans="1:13" x14ac:dyDescent="0.3">
      <c r="A1128" s="1">
        <v>45855</v>
      </c>
      <c r="B1128" s="5">
        <v>34972892.616476394</v>
      </c>
      <c r="C1128" s="5">
        <v>35126231.552885935</v>
      </c>
      <c r="D1128" s="5">
        <v>0</v>
      </c>
      <c r="E1128" s="5">
        <f t="shared" si="918"/>
        <v>0</v>
      </c>
      <c r="F1128" s="5">
        <f t="shared" si="918"/>
        <v>0</v>
      </c>
      <c r="G1128" s="9">
        <f t="shared" si="920"/>
        <v>-2.3100632434640556E-3</v>
      </c>
      <c r="H1128" s="9">
        <f t="shared" si="920"/>
        <v>6.7886787845503616E-3</v>
      </c>
      <c r="I1128" s="5">
        <f t="shared" si="921"/>
        <v>21720612.338954873</v>
      </c>
      <c r="J1128" s="5">
        <f t="shared" si="922"/>
        <v>21451966.510447279</v>
      </c>
      <c r="K1128" s="8">
        <f t="shared" ref="K1128:L1128" si="959">I1128/I876-1</f>
        <v>-6.1004385878155154E-2</v>
      </c>
      <c r="L1128" s="8">
        <f t="shared" si="959"/>
        <v>0.17201510990324631</v>
      </c>
      <c r="M1128" s="8">
        <f t="shared" si="914"/>
        <v>0.23301949578140146</v>
      </c>
    </row>
    <row r="1129" spans="1:13" x14ac:dyDescent="0.3">
      <c r="A1129" s="1">
        <v>45856</v>
      </c>
      <c r="B1129" s="5">
        <v>34729944.856138505</v>
      </c>
      <c r="C1129" s="5">
        <v>35133383.661496066</v>
      </c>
      <c r="D1129" s="5">
        <v>0</v>
      </c>
      <c r="E1129" s="5">
        <f t="shared" si="918"/>
        <v>0</v>
      </c>
      <c r="F1129" s="5">
        <f t="shared" si="918"/>
        <v>0</v>
      </c>
      <c r="G1129" s="9">
        <f t="shared" si="920"/>
        <v>-6.9467448118212261E-3</v>
      </c>
      <c r="H1129" s="9">
        <f t="shared" si="920"/>
        <v>2.0361161143522821E-4</v>
      </c>
      <c r="I1129" s="5">
        <f t="shared" si="921"/>
        <v>21569724.787879657</v>
      </c>
      <c r="J1129" s="5">
        <f t="shared" si="922"/>
        <v>21456334.379916925</v>
      </c>
      <c r="K1129" s="8">
        <f t="shared" ref="K1129:L1129" si="960">I1129/I877-1</f>
        <v>-7.5492459318825644E-2</v>
      </c>
      <c r="L1129" s="8">
        <f t="shared" si="960"/>
        <v>0.16785294426062447</v>
      </c>
      <c r="M1129" s="8">
        <f t="shared" si="914"/>
        <v>0.24334540357945011</v>
      </c>
    </row>
    <row r="1130" spans="1:13" x14ac:dyDescent="0.3">
      <c r="A1130" s="1">
        <v>45859</v>
      </c>
      <c r="B1130" s="5">
        <v>34872632.7549344</v>
      </c>
      <c r="C1130" s="5">
        <v>35265097.754117146</v>
      </c>
      <c r="D1130" s="5">
        <v>0</v>
      </c>
      <c r="E1130" s="5">
        <f t="shared" si="918"/>
        <v>0</v>
      </c>
      <c r="F1130" s="5">
        <f t="shared" si="918"/>
        <v>0</v>
      </c>
      <c r="G1130" s="9">
        <f t="shared" si="920"/>
        <v>4.1084977067182837E-3</v>
      </c>
      <c r="H1130" s="9">
        <f t="shared" si="920"/>
        <v>3.7489725979746868E-3</v>
      </c>
      <c r="I1130" s="5">
        <f t="shared" si="921"/>
        <v>21658343.952705204</v>
      </c>
      <c r="J1130" s="5">
        <f t="shared" si="922"/>
        <v>21536773.589560214</v>
      </c>
      <c r="K1130" s="8">
        <f t="shared" ref="K1130:L1130" si="961">I1130/I878-1</f>
        <v>-6.6098169427707409E-2</v>
      </c>
      <c r="L1130" s="8">
        <f t="shared" si="961"/>
        <v>0.16409229550161508</v>
      </c>
      <c r="M1130" s="8">
        <f t="shared" si="914"/>
        <v>0.23019046492932249</v>
      </c>
    </row>
    <row r="1131" spans="1:13" x14ac:dyDescent="0.3">
      <c r="A1131" s="1">
        <v>45860</v>
      </c>
      <c r="B1131" s="5">
        <v>34745768.617033631</v>
      </c>
      <c r="C1131" s="5">
        <v>35316964.315885149</v>
      </c>
      <c r="D1131" s="5">
        <v>0</v>
      </c>
      <c r="E1131" s="5">
        <f t="shared" si="918"/>
        <v>0</v>
      </c>
      <c r="F1131" s="5">
        <f t="shared" si="918"/>
        <v>0</v>
      </c>
      <c r="G1131" s="9">
        <f t="shared" si="920"/>
        <v>-3.637928308777294E-3</v>
      </c>
      <c r="H1131" s="9">
        <f t="shared" si="920"/>
        <v>1.4707618884155504E-3</v>
      </c>
      <c r="I1131" s="5">
        <f t="shared" si="921"/>
        <v>21579552.450118423</v>
      </c>
      <c r="J1131" s="5">
        <f t="shared" si="922"/>
        <v>21568449.055355173</v>
      </c>
      <c r="K1131" s="8">
        <f t="shared" ref="K1131:L1131" si="962">I1131/I879-1</f>
        <v>-5.9196840023795771E-2</v>
      </c>
      <c r="L1131" s="8">
        <f t="shared" si="962"/>
        <v>0.19184905696057175</v>
      </c>
      <c r="M1131" s="8">
        <f t="shared" si="914"/>
        <v>0.25104589698436752</v>
      </c>
    </row>
    <row r="1132" spans="1:13" x14ac:dyDescent="0.3">
      <c r="A1132" s="1">
        <v>45861</v>
      </c>
      <c r="B1132" s="5">
        <v>34805839.115546443</v>
      </c>
      <c r="C1132" s="5">
        <v>35609785.487065509</v>
      </c>
      <c r="D1132" s="5">
        <v>0</v>
      </c>
      <c r="E1132" s="5">
        <f t="shared" si="918"/>
        <v>0</v>
      </c>
      <c r="F1132" s="5">
        <f t="shared" si="918"/>
        <v>0</v>
      </c>
      <c r="G1132" s="9">
        <f t="shared" si="920"/>
        <v>1.728857956055263E-3</v>
      </c>
      <c r="H1132" s="9">
        <f t="shared" si="920"/>
        <v>8.2912327503938954E-3</v>
      </c>
      <c r="I1132" s="5">
        <f t="shared" si="921"/>
        <v>21616860.431059923</v>
      </c>
      <c r="J1132" s="5">
        <f t="shared" si="922"/>
        <v>21747278.086538136</v>
      </c>
      <c r="K1132" s="8">
        <f t="shared" ref="K1132:L1132" si="963">I1132/I880-1</f>
        <v>-3.4496389947120343E-2</v>
      </c>
      <c r="L1132" s="8">
        <f t="shared" si="963"/>
        <v>0.20856382518641636</v>
      </c>
      <c r="M1132" s="8">
        <f t="shared" si="914"/>
        <v>0.24306021513353671</v>
      </c>
    </row>
    <row r="1133" spans="1:13" x14ac:dyDescent="0.3">
      <c r="A1133" s="1">
        <v>45862</v>
      </c>
      <c r="B1133" s="5">
        <v>34727012.157313138</v>
      </c>
      <c r="C1133" s="5">
        <v>35626684.849415369</v>
      </c>
      <c r="D1133" s="5">
        <v>0</v>
      </c>
      <c r="E1133" s="5">
        <f t="shared" si="918"/>
        <v>0</v>
      </c>
      <c r="F1133" s="5">
        <f t="shared" si="918"/>
        <v>0</v>
      </c>
      <c r="G1133" s="9">
        <f t="shared" si="920"/>
        <v>-2.264762471940962E-3</v>
      </c>
      <c r="H1133" s="9">
        <f t="shared" si="920"/>
        <v>4.7457074280887745E-4</v>
      </c>
      <c r="I1133" s="5">
        <f t="shared" si="921"/>
        <v>21567903.376794472</v>
      </c>
      <c r="J1133" s="5">
        <f t="shared" si="922"/>
        <v>21757598.708453737</v>
      </c>
      <c r="K1133" s="8">
        <f t="shared" ref="K1133:L1133" si="964">I1133/I881-1</f>
        <v>-4.8853325191713592E-2</v>
      </c>
      <c r="L1133" s="8">
        <f t="shared" si="964"/>
        <v>0.19689235953868267</v>
      </c>
      <c r="M1133" s="8">
        <f t="shared" si="914"/>
        <v>0.24574568473039626</v>
      </c>
    </row>
    <row r="1134" spans="1:13" x14ac:dyDescent="0.3">
      <c r="A1134" s="1">
        <v>45863</v>
      </c>
      <c r="B1134" s="5">
        <v>34202628.523654915</v>
      </c>
      <c r="C1134" s="5">
        <v>35807429.161109455</v>
      </c>
      <c r="D1134" s="5">
        <v>0</v>
      </c>
      <c r="E1134" s="5">
        <f t="shared" si="918"/>
        <v>0</v>
      </c>
      <c r="F1134" s="5">
        <f t="shared" si="918"/>
        <v>0</v>
      </c>
      <c r="G1134" s="9">
        <f t="shared" si="920"/>
        <v>-1.5100165579542746E-2</v>
      </c>
      <c r="H1134" s="9">
        <f t="shared" si="920"/>
        <v>5.0732846027645717E-3</v>
      </c>
      <c r="I1134" s="5">
        <f t="shared" si="921"/>
        <v>21242224.464601297</v>
      </c>
      <c r="J1134" s="5">
        <f t="shared" si="922"/>
        <v>21867981.198974464</v>
      </c>
      <c r="K1134" s="8">
        <f t="shared" ref="K1134:L1134" si="965">I1134/I882-1</f>
        <v>-5.4959684941587317E-2</v>
      </c>
      <c r="L1134" s="8">
        <f t="shared" si="965"/>
        <v>0.20441005383461386</v>
      </c>
      <c r="M1134" s="8">
        <f t="shared" si="914"/>
        <v>0.25936973877620118</v>
      </c>
    </row>
    <row r="1135" spans="1:13" x14ac:dyDescent="0.3">
      <c r="A1135" s="1">
        <v>45866</v>
      </c>
      <c r="B1135" s="5">
        <v>34015900.315071277</v>
      </c>
      <c r="C1135" s="5">
        <v>35892424.193832234</v>
      </c>
      <c r="D1135" s="5">
        <v>0</v>
      </c>
      <c r="E1135" s="5">
        <f t="shared" si="918"/>
        <v>0</v>
      </c>
      <c r="F1135" s="5">
        <f t="shared" si="918"/>
        <v>0</v>
      </c>
      <c r="G1135" s="9">
        <f t="shared" si="920"/>
        <v>-5.4594695391465553E-3</v>
      </c>
      <c r="H1135" s="9">
        <f t="shared" si="920"/>
        <v>2.3736703447867491E-3</v>
      </c>
      <c r="I1135" s="5">
        <f t="shared" si="921"/>
        <v>21126253.187193092</v>
      </c>
      <c r="J1135" s="5">
        <f t="shared" si="922"/>
        <v>21919888.577446826</v>
      </c>
      <c r="K1135" s="8">
        <f t="shared" ref="K1135:L1135" si="966">I1135/I883-1</f>
        <v>-6.3002857723525207E-2</v>
      </c>
      <c r="L1135" s="8">
        <f t="shared" si="966"/>
        <v>0.235270949381849</v>
      </c>
      <c r="M1135" s="8">
        <f t="shared" si="914"/>
        <v>0.29827380710537421</v>
      </c>
    </row>
    <row r="1136" spans="1:13" x14ac:dyDescent="0.3">
      <c r="A1136" s="1">
        <v>45867</v>
      </c>
      <c r="B1136" s="5">
        <v>34333368.522017851</v>
      </c>
      <c r="C1136" s="5">
        <v>35852441.667637937</v>
      </c>
      <c r="D1136" s="5">
        <v>0</v>
      </c>
      <c r="E1136" s="5">
        <f t="shared" si="918"/>
        <v>0</v>
      </c>
      <c r="F1136" s="5">
        <f t="shared" si="918"/>
        <v>0</v>
      </c>
      <c r="G1136" s="9">
        <f t="shared" si="920"/>
        <v>9.3329355979419049E-3</v>
      </c>
      <c r="H1136" s="9">
        <f t="shared" si="920"/>
        <v>-1.1139544651087574E-3</v>
      </c>
      <c r="I1136" s="5">
        <f t="shared" si="921"/>
        <v>21323423.147614978</v>
      </c>
      <c r="J1136" s="5">
        <f t="shared" si="922"/>
        <v>21895470.819691293</v>
      </c>
      <c r="K1136" s="8">
        <f t="shared" ref="K1136:L1136" si="967">I1136/I884-1</f>
        <v>-5.9046051685035517E-2</v>
      </c>
      <c r="L1136" s="8">
        <f t="shared" si="967"/>
        <v>0.24055786622811959</v>
      </c>
      <c r="M1136" s="8">
        <f t="shared" si="914"/>
        <v>0.2996039179131551</v>
      </c>
    </row>
    <row r="1137" spans="1:13" x14ac:dyDescent="0.3">
      <c r="A1137" s="1">
        <v>45868</v>
      </c>
      <c r="B1137" s="5">
        <v>34361880.476253316</v>
      </c>
      <c r="C1137" s="5">
        <v>36059416.141301997</v>
      </c>
      <c r="D1137" s="5">
        <v>0</v>
      </c>
      <c r="E1137" s="5">
        <f t="shared" si="918"/>
        <v>0</v>
      </c>
      <c r="F1137" s="5">
        <f t="shared" si="918"/>
        <v>0</v>
      </c>
      <c r="G1137" s="9">
        <f t="shared" si="920"/>
        <v>8.3044441786062073E-4</v>
      </c>
      <c r="H1137" s="9">
        <f t="shared" si="920"/>
        <v>5.7729533620825002E-3</v>
      </c>
      <c r="I1137" s="5">
        <f t="shared" si="921"/>
        <v>21341131.065337595</v>
      </c>
      <c r="J1137" s="5">
        <f t="shared" si="922"/>
        <v>22021872.351574209</v>
      </c>
      <c r="K1137" s="8">
        <f t="shared" ref="K1137:L1137" si="968">I1137/I885-1</f>
        <v>-7.3720047126366373E-2</v>
      </c>
      <c r="L1137" s="8">
        <f t="shared" si="968"/>
        <v>0.23394995664770812</v>
      </c>
      <c r="M1137" s="8">
        <f t="shared" si="914"/>
        <v>0.3076700037740745</v>
      </c>
    </row>
    <row r="1138" spans="1:13" x14ac:dyDescent="0.3">
      <c r="A1138" s="1">
        <v>45869</v>
      </c>
      <c r="B1138" s="5">
        <v>34203429.321271069</v>
      </c>
      <c r="C1138" s="5">
        <v>35994774.314560048</v>
      </c>
      <c r="D1138" s="5">
        <v>0</v>
      </c>
      <c r="E1138" s="5">
        <f t="shared" si="918"/>
        <v>0</v>
      </c>
      <c r="F1138" s="5">
        <f t="shared" si="918"/>
        <v>0</v>
      </c>
      <c r="G1138" s="9">
        <f t="shared" si="920"/>
        <v>-4.6112480686774093E-3</v>
      </c>
      <c r="H1138" s="9">
        <f t="shared" si="920"/>
        <v>-1.7926476260360369E-3</v>
      </c>
      <c r="I1138" s="5">
        <f t="shared" si="921"/>
        <v>21242721.815929167</v>
      </c>
      <c r="J1138" s="5">
        <f t="shared" si="922"/>
        <v>21982394.894382291</v>
      </c>
      <c r="K1138" s="8">
        <f t="shared" ref="K1138:L1138" si="969">I1138/I886-1</f>
        <v>-8.9045732209883099E-2</v>
      </c>
      <c r="L1138" s="8">
        <f t="shared" si="969"/>
        <v>0.22998660445858388</v>
      </c>
      <c r="M1138" s="8">
        <f t="shared" si="914"/>
        <v>0.31903233666846698</v>
      </c>
    </row>
    <row r="1139" spans="1:13" x14ac:dyDescent="0.3">
      <c r="A1139" s="1">
        <v>45870</v>
      </c>
      <c r="B1139" s="5">
        <v>33755883.108657584</v>
      </c>
      <c r="C1139" s="5">
        <v>35396387.47969728</v>
      </c>
      <c r="D1139" s="5">
        <v>0</v>
      </c>
      <c r="E1139" s="5">
        <f t="shared" si="918"/>
        <v>0</v>
      </c>
      <c r="F1139" s="5">
        <f t="shared" si="918"/>
        <v>0</v>
      </c>
      <c r="G1139" s="9">
        <f t="shared" si="920"/>
        <v>-1.3084834517898991E-2</v>
      </c>
      <c r="H1139" s="9">
        <f t="shared" si="920"/>
        <v>-1.6624269668520153E-2</v>
      </c>
      <c r="I1139" s="5">
        <f t="shared" si="921"/>
        <v>20964764.316257972</v>
      </c>
      <c r="J1139" s="5">
        <f t="shared" si="922"/>
        <v>21616953.63369818</v>
      </c>
      <c r="K1139" s="8">
        <f t="shared" ref="K1139:L1139" si="970">I1139/I887-1</f>
        <v>-0.10008755856214224</v>
      </c>
      <c r="L1139" s="8">
        <f t="shared" si="970"/>
        <v>0.21628844614571285</v>
      </c>
      <c r="M1139" s="8">
        <f t="shared" si="914"/>
        <v>0.3163760047078551</v>
      </c>
    </row>
    <row r="1140" spans="1:13" x14ac:dyDescent="0.3">
      <c r="A1140" s="1">
        <v>45873</v>
      </c>
      <c r="B1140" s="5">
        <v>34142493.961332813</v>
      </c>
      <c r="C1140" s="5">
        <v>35956328.06739109</v>
      </c>
      <c r="D1140" s="5">
        <v>0</v>
      </c>
      <c r="E1140" s="5">
        <f t="shared" si="918"/>
        <v>0</v>
      </c>
      <c r="F1140" s="5">
        <f t="shared" si="918"/>
        <v>0</v>
      </c>
      <c r="G1140" s="9">
        <f t="shared" si="920"/>
        <v>1.1453139929142431E-2</v>
      </c>
      <c r="H1140" s="9">
        <f t="shared" si="920"/>
        <v>1.5819145047357708E-2</v>
      </c>
      <c r="I1140" s="5">
        <f t="shared" si="921"/>
        <v>21204876.695553567</v>
      </c>
      <c r="J1140" s="5">
        <f t="shared" si="922"/>
        <v>21958915.35871166</v>
      </c>
      <c r="K1140" s="8">
        <f t="shared" ref="K1140:L1140" si="971">I1140/I888-1</f>
        <v>-9.6893092064540776E-2</v>
      </c>
      <c r="L1140" s="8">
        <f t="shared" si="971"/>
        <v>0.21579062580670372</v>
      </c>
      <c r="M1140" s="8">
        <f t="shared" si="914"/>
        <v>0.31268371787124449</v>
      </c>
    </row>
    <row r="1141" spans="1:13" x14ac:dyDescent="0.3">
      <c r="A1141" s="1">
        <v>45874</v>
      </c>
      <c r="B1141" s="5">
        <v>34067610.486471489</v>
      </c>
      <c r="C1141" s="5">
        <v>35851596.157338805</v>
      </c>
      <c r="D1141" s="5">
        <v>0</v>
      </c>
      <c r="E1141" s="5">
        <f t="shared" si="918"/>
        <v>0</v>
      </c>
      <c r="F1141" s="5">
        <f t="shared" si="918"/>
        <v>0</v>
      </c>
      <c r="G1141" s="9">
        <f t="shared" si="920"/>
        <v>-2.1932631794892021E-3</v>
      </c>
      <c r="H1141" s="9">
        <f t="shared" si="920"/>
        <v>-2.9127532115067467E-3</v>
      </c>
      <c r="I1141" s="5">
        <f t="shared" si="921"/>
        <v>21158368.8202716</v>
      </c>
      <c r="J1141" s="5">
        <f t="shared" si="922"/>
        <v>21894954.457479369</v>
      </c>
      <c r="K1141" s="8">
        <f t="shared" ref="K1141:L1141" si="972">I1141/I889-1</f>
        <v>-9.288876539639157E-2</v>
      </c>
      <c r="L1141" s="8">
        <f t="shared" si="972"/>
        <v>0.22947007051649204</v>
      </c>
      <c r="M1141" s="8">
        <f t="shared" si="914"/>
        <v>0.32235883591288361</v>
      </c>
    </row>
    <row r="1142" spans="1:13" x14ac:dyDescent="0.3">
      <c r="A1142" s="1">
        <v>45875</v>
      </c>
      <c r="B1142" s="5">
        <v>33771283.336591281</v>
      </c>
      <c r="C1142" s="5">
        <v>36075677.780805781</v>
      </c>
      <c r="D1142" s="5">
        <v>0</v>
      </c>
      <c r="E1142" s="5">
        <f t="shared" si="918"/>
        <v>0</v>
      </c>
      <c r="F1142" s="5">
        <f t="shared" si="918"/>
        <v>0</v>
      </c>
      <c r="G1142" s="9">
        <f t="shared" si="920"/>
        <v>-8.6982076420617505E-3</v>
      </c>
      <c r="H1142" s="9">
        <f t="shared" si="920"/>
        <v>6.2502551485732472E-3</v>
      </c>
      <c r="I1142" s="5">
        <f t="shared" si="921"/>
        <v>20974328.934905551</v>
      </c>
      <c r="J1142" s="5">
        <f t="shared" si="922"/>
        <v>22031803.509305008</v>
      </c>
      <c r="K1142" s="8">
        <f t="shared" ref="K1142:L1142" si="973">I1142/I890-1</f>
        <v>-8.9200658936076982E-2</v>
      </c>
      <c r="L1142" s="8">
        <f t="shared" si="973"/>
        <v>0.25895117126780498</v>
      </c>
      <c r="M1142" s="8">
        <f t="shared" si="914"/>
        <v>0.34815183020388196</v>
      </c>
    </row>
    <row r="1143" spans="1:13" x14ac:dyDescent="0.3">
      <c r="A1143" s="1">
        <v>45876</v>
      </c>
      <c r="B1143" s="5">
        <v>33851267.002492361</v>
      </c>
      <c r="C1143" s="5">
        <v>36047401.98213286</v>
      </c>
      <c r="D1143" s="5">
        <v>0</v>
      </c>
      <c r="E1143" s="5">
        <f t="shared" si="918"/>
        <v>0</v>
      </c>
      <c r="F1143" s="5">
        <f t="shared" si="918"/>
        <v>0</v>
      </c>
      <c r="G1143" s="9">
        <f t="shared" si="920"/>
        <v>2.3683928473756666E-3</v>
      </c>
      <c r="H1143" s="9">
        <f t="shared" si="920"/>
        <v>-7.8379119706983857E-4</v>
      </c>
      <c r="I1143" s="5">
        <f t="shared" si="921"/>
        <v>21024004.385533486</v>
      </c>
      <c r="J1143" s="5">
        <f t="shared" si="922"/>
        <v>22014535.175658841</v>
      </c>
      <c r="K1143" s="8">
        <f t="shared" ref="K1143:L1143" si="974">I1143/I891-1</f>
        <v>-5.6310969369253172E-2</v>
      </c>
      <c r="L1143" s="8">
        <f t="shared" si="974"/>
        <v>0.29615376326891019</v>
      </c>
      <c r="M1143" s="8">
        <f t="shared" si="914"/>
        <v>0.35246473263816336</v>
      </c>
    </row>
    <row r="1144" spans="1:13" x14ac:dyDescent="0.3">
      <c r="A1144" s="1">
        <v>45877</v>
      </c>
      <c r="B1144" s="5">
        <v>33431869.715861682</v>
      </c>
      <c r="C1144" s="5">
        <v>36315312.98385185</v>
      </c>
      <c r="D1144" s="5">
        <v>0</v>
      </c>
      <c r="E1144" s="5">
        <f t="shared" si="918"/>
        <v>0</v>
      </c>
      <c r="F1144" s="5">
        <f t="shared" si="918"/>
        <v>0</v>
      </c>
      <c r="G1144" s="9">
        <f t="shared" si="920"/>
        <v>-1.2389411793650162E-2</v>
      </c>
      <c r="H1144" s="9">
        <f t="shared" si="920"/>
        <v>7.432186148998543E-3</v>
      </c>
      <c r="I1144" s="5">
        <f t="shared" si="921"/>
        <v>20763529.337649602</v>
      </c>
      <c r="J1144" s="5">
        <f t="shared" si="922"/>
        <v>22178151.299068015</v>
      </c>
      <c r="K1144" s="8">
        <f t="shared" ref="K1144:L1144" si="975">I1144/I892-1</f>
        <v>-5.9323889934658536E-2</v>
      </c>
      <c r="L1144" s="8">
        <f t="shared" si="975"/>
        <v>0.29115598918301488</v>
      </c>
      <c r="M1144" s="8">
        <f t="shared" si="914"/>
        <v>0.35047987911767342</v>
      </c>
    </row>
    <row r="1145" spans="1:13" x14ac:dyDescent="0.3">
      <c r="A1145" s="1">
        <v>45880</v>
      </c>
      <c r="B1145" s="5">
        <v>33824402.911795907</v>
      </c>
      <c r="C1145" s="5">
        <v>36211451.495147377</v>
      </c>
      <c r="D1145" s="5">
        <v>0</v>
      </c>
      <c r="E1145" s="5">
        <f t="shared" si="918"/>
        <v>0</v>
      </c>
      <c r="F1145" s="5">
        <f t="shared" si="918"/>
        <v>0</v>
      </c>
      <c r="G1145" s="9">
        <f t="shared" si="920"/>
        <v>1.1741287557961222E-2</v>
      </c>
      <c r="H1145" s="9">
        <f t="shared" si="920"/>
        <v>-2.8599915619798022E-3</v>
      </c>
      <c r="I1145" s="5">
        <f t="shared" si="921"/>
        <v>21007319.906321112</v>
      </c>
      <c r="J1145" s="5">
        <f t="shared" si="922"/>
        <v>22114721.973492369</v>
      </c>
      <c r="K1145" s="8">
        <f t="shared" ref="K1145:L1145" si="976">I1145/I893-1</f>
        <v>-7.6131276791658764E-2</v>
      </c>
      <c r="L1145" s="8">
        <f t="shared" si="976"/>
        <v>0.29668246816534527</v>
      </c>
      <c r="M1145" s="8">
        <f t="shared" si="914"/>
        <v>0.37281374495700403</v>
      </c>
    </row>
    <row r="1146" spans="1:13" x14ac:dyDescent="0.3">
      <c r="A1146" s="1">
        <v>45881</v>
      </c>
      <c r="B1146" s="5">
        <v>33793769.733652771</v>
      </c>
      <c r="C1146" s="5">
        <v>36656822.653131627</v>
      </c>
      <c r="D1146" s="5">
        <v>0</v>
      </c>
      <c r="E1146" s="5">
        <f t="shared" si="918"/>
        <v>0</v>
      </c>
      <c r="F1146" s="5">
        <f t="shared" si="918"/>
        <v>0</v>
      </c>
      <c r="G1146" s="9">
        <f t="shared" si="920"/>
        <v>-9.056531824972458E-4</v>
      </c>
      <c r="H1146" s="9">
        <f t="shared" si="920"/>
        <v>1.2299179944331495E-2</v>
      </c>
      <c r="I1146" s="5">
        <f t="shared" si="921"/>
        <v>20988294.560192216</v>
      </c>
      <c r="J1146" s="5">
        <f t="shared" si="922"/>
        <v>22386714.918463215</v>
      </c>
      <c r="K1146" s="8">
        <f t="shared" ref="K1146:L1146" si="977">I1146/I894-1</f>
        <v>-6.9574074057742963E-2</v>
      </c>
      <c r="L1146" s="8">
        <f t="shared" si="977"/>
        <v>0.28320898539679717</v>
      </c>
      <c r="M1146" s="8">
        <f t="shared" si="914"/>
        <v>0.35278305945454014</v>
      </c>
    </row>
    <row r="1147" spans="1:13" x14ac:dyDescent="0.3">
      <c r="A1147" s="1">
        <v>45882</v>
      </c>
      <c r="B1147" s="5">
        <v>34005205.218020029</v>
      </c>
      <c r="C1147" s="5">
        <v>36679991.100683883</v>
      </c>
      <c r="D1147" s="5">
        <v>0</v>
      </c>
      <c r="E1147" s="5">
        <f t="shared" si="918"/>
        <v>0</v>
      </c>
      <c r="F1147" s="5">
        <f t="shared" si="918"/>
        <v>0</v>
      </c>
      <c r="G1147" s="9">
        <f t="shared" si="920"/>
        <v>6.2566409735786976E-3</v>
      </c>
      <c r="H1147" s="9">
        <f t="shared" si="920"/>
        <v>6.3203643620424188E-4</v>
      </c>
      <c r="I1147" s="5">
        <f t="shared" si="921"/>
        <v>21119610.783903055</v>
      </c>
      <c r="J1147" s="5">
        <f t="shared" si="922"/>
        <v>22400864.137978602</v>
      </c>
      <c r="K1147" s="8">
        <f t="shared" ref="K1147:L1147" si="978">I1147/I895-1</f>
        <v>-7.543751167262347E-2</v>
      </c>
      <c r="L1147" s="8">
        <f t="shared" si="978"/>
        <v>0.27835088506166983</v>
      </c>
      <c r="M1147" s="8">
        <f t="shared" si="914"/>
        <v>0.3537883967342933</v>
      </c>
    </row>
    <row r="1148" spans="1:13" x14ac:dyDescent="0.3">
      <c r="A1148" s="1">
        <v>45883</v>
      </c>
      <c r="B1148" s="5">
        <v>33953512.842122406</v>
      </c>
      <c r="C1148" s="5">
        <v>36725980.41339159</v>
      </c>
      <c r="D1148" s="5">
        <v>0</v>
      </c>
      <c r="E1148" s="5">
        <f t="shared" si="918"/>
        <v>0</v>
      </c>
      <c r="F1148" s="5">
        <f t="shared" si="918"/>
        <v>0</v>
      </c>
      <c r="G1148" s="9">
        <f t="shared" si="920"/>
        <v>-1.5201312730273031E-3</v>
      </c>
      <c r="H1148" s="9">
        <f t="shared" si="920"/>
        <v>1.2537983605684921E-3</v>
      </c>
      <c r="I1148" s="5">
        <f t="shared" si="921"/>
        <v>21087506.203076281</v>
      </c>
      <c r="J1148" s="5">
        <f t="shared" si="922"/>
        <v>22428950.304710116</v>
      </c>
      <c r="K1148" s="8">
        <f t="shared" ref="K1148:L1148" si="979">I1148/I896-1</f>
        <v>-7.3215922138555656E-2</v>
      </c>
      <c r="L1148" s="8">
        <f t="shared" si="979"/>
        <v>0.27972552397261241</v>
      </c>
      <c r="M1148" s="8">
        <f t="shared" si="914"/>
        <v>0.35294144611116807</v>
      </c>
    </row>
    <row r="1149" spans="1:13" x14ac:dyDescent="0.3">
      <c r="A1149" s="1">
        <v>45887</v>
      </c>
      <c r="B1149" s="5">
        <v>34414797.182728514</v>
      </c>
      <c r="C1149" s="5">
        <v>36518193.839540735</v>
      </c>
      <c r="D1149" s="5">
        <v>0</v>
      </c>
      <c r="E1149" s="5">
        <f t="shared" si="918"/>
        <v>0</v>
      </c>
      <c r="F1149" s="5">
        <f t="shared" si="918"/>
        <v>0</v>
      </c>
      <c r="G1149" s="9">
        <f t="shared" si="920"/>
        <v>1.3585761884226777E-2</v>
      </c>
      <c r="H1149" s="9">
        <f t="shared" si="920"/>
        <v>-5.6577543066784752E-3</v>
      </c>
      <c r="I1149" s="5">
        <f t="shared" si="921"/>
        <v>21373996.041083429</v>
      </c>
      <c r="J1149" s="5">
        <f t="shared" si="922"/>
        <v>22302052.814529367</v>
      </c>
      <c r="K1149" s="8">
        <f t="shared" ref="K1149:L1149" si="980">I1149/I897-1</f>
        <v>-4.9809731432662541E-2</v>
      </c>
      <c r="L1149" s="8">
        <f t="shared" si="980"/>
        <v>0.25064397441646724</v>
      </c>
      <c r="M1149" s="8">
        <f t="shared" si="914"/>
        <v>0.30045370584912978</v>
      </c>
    </row>
    <row r="1150" spans="1:13" x14ac:dyDescent="0.3">
      <c r="A1150" s="1">
        <v>45888</v>
      </c>
      <c r="B1150" s="5">
        <v>34674116.805441037</v>
      </c>
      <c r="C1150" s="5">
        <v>36190871.745159186</v>
      </c>
      <c r="D1150" s="5">
        <v>0</v>
      </c>
      <c r="E1150" s="5">
        <f t="shared" si="918"/>
        <v>0</v>
      </c>
      <c r="F1150" s="5">
        <f t="shared" si="918"/>
        <v>0</v>
      </c>
      <c r="G1150" s="9">
        <f t="shared" si="920"/>
        <v>7.535119888565367E-3</v>
      </c>
      <c r="H1150" s="9">
        <f t="shared" si="920"/>
        <v>-8.9632607740620651E-3</v>
      </c>
      <c r="I1150" s="5">
        <f t="shared" si="921"/>
        <v>21535051.663750716</v>
      </c>
      <c r="J1150" s="5">
        <f t="shared" si="922"/>
        <v>22102153.699355837</v>
      </c>
      <c r="K1150" s="8">
        <f t="shared" ref="K1150:L1150" si="981">I1150/I898-1</f>
        <v>-4.3305472899071606E-2</v>
      </c>
      <c r="L1150" s="8">
        <f t="shared" si="981"/>
        <v>0.23555841791929311</v>
      </c>
      <c r="M1150" s="8">
        <f t="shared" si="914"/>
        <v>0.27886389081836471</v>
      </c>
    </row>
    <row r="1151" spans="1:13" x14ac:dyDescent="0.3">
      <c r="A1151" s="1">
        <v>45889</v>
      </c>
      <c r="B1151" s="5">
        <v>34805251.863961264</v>
      </c>
      <c r="C1151" s="5">
        <v>36103778.61599566</v>
      </c>
      <c r="D1151" s="5">
        <v>0</v>
      </c>
      <c r="E1151" s="5">
        <f t="shared" si="918"/>
        <v>0</v>
      </c>
      <c r="F1151" s="5">
        <f t="shared" si="918"/>
        <v>0</v>
      </c>
      <c r="G1151" s="9">
        <f t="shared" si="920"/>
        <v>3.7819293064056403E-3</v>
      </c>
      <c r="H1151" s="9">
        <f t="shared" si="920"/>
        <v>-2.4064943717519993E-3</v>
      </c>
      <c r="I1151" s="5">
        <f t="shared" si="921"/>
        <v>21616495.706752814</v>
      </c>
      <c r="J1151" s="5">
        <f t="shared" si="922"/>
        <v>22048964.990874741</v>
      </c>
      <c r="K1151" s="8">
        <f t="shared" ref="K1151:L1151" si="982">I1151/I899-1</f>
        <v>-5.689276379941044E-2</v>
      </c>
      <c r="L1151" s="8">
        <f t="shared" si="982"/>
        <v>0.20950950775030108</v>
      </c>
      <c r="M1151" s="8">
        <f t="shared" ref="M1151:M1214" si="983">L1151-K1151</f>
        <v>0.26640227154971152</v>
      </c>
    </row>
    <row r="1152" spans="1:13" x14ac:dyDescent="0.3">
      <c r="A1152" s="1">
        <v>45890</v>
      </c>
      <c r="B1152" s="5">
        <v>34711608.370278925</v>
      </c>
      <c r="C1152" s="5">
        <v>36083720.825744994</v>
      </c>
      <c r="D1152" s="5">
        <v>0</v>
      </c>
      <c r="E1152" s="5">
        <f t="shared" si="918"/>
        <v>0</v>
      </c>
      <c r="F1152" s="5">
        <f t="shared" si="918"/>
        <v>0</v>
      </c>
      <c r="G1152" s="9">
        <f t="shared" si="920"/>
        <v>-2.6904989525244893E-3</v>
      </c>
      <c r="H1152" s="9">
        <f t="shared" si="920"/>
        <v>-5.5555930762829497E-4</v>
      </c>
      <c r="I1152" s="5">
        <f t="shared" si="921"/>
        <v>21558336.547696546</v>
      </c>
      <c r="J1152" s="5">
        <f t="shared" si="922"/>
        <v>22036715.48315049</v>
      </c>
      <c r="K1152" s="8">
        <f t="shared" ref="K1152:L1152" si="984">I1152/I900-1</f>
        <v>-6.4910963474070438E-2</v>
      </c>
      <c r="L1152" s="8">
        <f t="shared" si="984"/>
        <v>0.19892716313700043</v>
      </c>
      <c r="M1152" s="8">
        <f t="shared" si="983"/>
        <v>0.26383812661107087</v>
      </c>
    </row>
    <row r="1153" spans="1:13" x14ac:dyDescent="0.3">
      <c r="A1153" s="1">
        <v>45891</v>
      </c>
      <c r="B1153" s="5">
        <v>34493570.754454069</v>
      </c>
      <c r="C1153" s="5">
        <v>36725556.632492959</v>
      </c>
      <c r="D1153" s="5">
        <v>0</v>
      </c>
      <c r="E1153" s="5">
        <f t="shared" si="918"/>
        <v>0</v>
      </c>
      <c r="F1153" s="5">
        <f t="shared" si="918"/>
        <v>0</v>
      </c>
      <c r="G1153" s="9">
        <f t="shared" si="920"/>
        <v>-6.2814034284722764E-3</v>
      </c>
      <c r="H1153" s="9">
        <f t="shared" si="920"/>
        <v>1.7787406399897288E-2</v>
      </c>
      <c r="I1153" s="5">
        <f t="shared" si="921"/>
        <v>21422919.938593686</v>
      </c>
      <c r="J1153" s="5">
        <f t="shared" si="922"/>
        <v>22428691.497168195</v>
      </c>
      <c r="K1153" s="8">
        <f t="shared" ref="K1153:L1153" si="985">I1153/I901-1</f>
        <v>-7.832904181218503E-2</v>
      </c>
      <c r="L1153" s="8">
        <f t="shared" si="985"/>
        <v>0.22307977876632701</v>
      </c>
      <c r="M1153" s="8">
        <f t="shared" si="983"/>
        <v>0.30140882057851204</v>
      </c>
    </row>
    <row r="1154" spans="1:13" x14ac:dyDescent="0.3">
      <c r="A1154" s="1">
        <v>45894</v>
      </c>
      <c r="B1154" s="5">
        <v>34594937.49625662</v>
      </c>
      <c r="C1154" s="5">
        <v>36577970.978083231</v>
      </c>
      <c r="D1154" s="5">
        <v>0</v>
      </c>
      <c r="E1154" s="5">
        <f t="shared" si="918"/>
        <v>0</v>
      </c>
      <c r="F1154" s="5">
        <f t="shared" si="918"/>
        <v>0</v>
      </c>
      <c r="G1154" s="9">
        <f t="shared" si="920"/>
        <v>2.9387140729539851E-3</v>
      </c>
      <c r="H1154" s="9">
        <f t="shared" si="920"/>
        <v>-4.0186090543594677E-3</v>
      </c>
      <c r="I1154" s="5">
        <f t="shared" si="921"/>
        <v>21485875.774900999</v>
      </c>
      <c r="J1154" s="5">
        <f t="shared" si="922"/>
        <v>22338559.354440238</v>
      </c>
      <c r="K1154" s="8">
        <f t="shared" ref="K1154:L1154" si="986">I1154/I902-1</f>
        <v>-7.8301557146169376E-2</v>
      </c>
      <c r="L1154" s="8">
        <f t="shared" si="986"/>
        <v>0.21094542160994978</v>
      </c>
      <c r="M1154" s="8">
        <f t="shared" si="983"/>
        <v>0.28924697875611916</v>
      </c>
    </row>
    <row r="1155" spans="1:13" x14ac:dyDescent="0.3">
      <c r="A1155" s="1">
        <v>45895</v>
      </c>
      <c r="B1155" s="5">
        <v>34129489.00804653</v>
      </c>
      <c r="C1155" s="5">
        <v>36786052.088450775</v>
      </c>
      <c r="D1155" s="5">
        <v>0</v>
      </c>
      <c r="E1155" s="5">
        <f t="shared" ref="E1155:F1218" si="987">$D1155*-1</f>
        <v>0</v>
      </c>
      <c r="F1155" s="5">
        <f t="shared" si="987"/>
        <v>0</v>
      </c>
      <c r="G1155" s="9">
        <f t="shared" si="920"/>
        <v>-1.3454237003910019E-2</v>
      </c>
      <c r="H1155" s="9">
        <f t="shared" si="920"/>
        <v>5.6887001876682053E-3</v>
      </c>
      <c r="I1155" s="5">
        <f t="shared" si="921"/>
        <v>21196799.709988911</v>
      </c>
      <c r="J1155" s="5">
        <f t="shared" si="922"/>
        <v>22465636.721232079</v>
      </c>
      <c r="K1155" s="8">
        <f t="shared" ref="K1155:L1155" si="988">I1155/I903-1</f>
        <v>-9.6616077862400007E-2</v>
      </c>
      <c r="L1155" s="8">
        <f t="shared" si="988"/>
        <v>0.22878799449849474</v>
      </c>
      <c r="M1155" s="8">
        <f t="shared" si="983"/>
        <v>0.32540407236089475</v>
      </c>
    </row>
    <row r="1156" spans="1:13" x14ac:dyDescent="0.3">
      <c r="A1156" s="1">
        <v>45897</v>
      </c>
      <c r="B1156" s="5">
        <v>33690078.899213128</v>
      </c>
      <c r="C1156" s="5">
        <v>36970298.014375061</v>
      </c>
      <c r="D1156" s="5">
        <v>0</v>
      </c>
      <c r="E1156" s="5">
        <f t="shared" si="987"/>
        <v>0</v>
      </c>
      <c r="F1156" s="5">
        <f t="shared" si="987"/>
        <v>0</v>
      </c>
      <c r="G1156" s="9">
        <f t="shared" ref="G1156:H1219" si="989">((B1156-$D1156)/B1155-1)</f>
        <v>-1.2874793077909952E-2</v>
      </c>
      <c r="H1156" s="9">
        <f t="shared" si="989"/>
        <v>5.0085811187694507E-3</v>
      </c>
      <c r="I1156" s="5">
        <f t="shared" ref="I1156:I1219" si="990">I1155*(1+G1156)</f>
        <v>20923895.299808901</v>
      </c>
      <c r="J1156" s="5">
        <f t="shared" ref="J1156:J1219" si="991">J1155*(1+H1156)</f>
        <v>22578157.685135175</v>
      </c>
      <c r="K1156" s="8">
        <f t="shared" ref="K1156:L1156" si="992">I1156/I904-1</f>
        <v>-0.10524015857441882</v>
      </c>
      <c r="L1156" s="8">
        <f t="shared" si="992"/>
        <v>0.22119739284490647</v>
      </c>
      <c r="M1156" s="8">
        <f t="shared" si="983"/>
        <v>0.32643755141932529</v>
      </c>
    </row>
    <row r="1157" spans="1:13" x14ac:dyDescent="0.3">
      <c r="A1157" s="1">
        <v>45898</v>
      </c>
      <c r="B1157" s="5">
        <v>33590666.103593983</v>
      </c>
      <c r="C1157" s="5">
        <v>36967605.862691209</v>
      </c>
      <c r="D1157" s="5">
        <v>0</v>
      </c>
      <c r="E1157" s="5">
        <f t="shared" si="987"/>
        <v>0</v>
      </c>
      <c r="F1157" s="5">
        <f t="shared" si="987"/>
        <v>0</v>
      </c>
      <c r="G1157" s="9">
        <f t="shared" si="989"/>
        <v>-2.9508032889014046E-3</v>
      </c>
      <c r="H1157" s="9">
        <f t="shared" si="989"/>
        <v>-7.2819312487149013E-5</v>
      </c>
      <c r="I1157" s="5">
        <f t="shared" si="990"/>
        <v>20862153.000741597</v>
      </c>
      <c r="J1157" s="5">
        <f t="shared" si="991"/>
        <v>22576513.559215318</v>
      </c>
      <c r="K1157" s="8">
        <f t="shared" ref="K1157:L1157" si="993">I1157/I905-1</f>
        <v>-0.11223797378054146</v>
      </c>
      <c r="L1157" s="8">
        <f t="shared" si="993"/>
        <v>0.22552851232296312</v>
      </c>
      <c r="M1157" s="8">
        <f t="shared" si="983"/>
        <v>0.33776648610350457</v>
      </c>
    </row>
    <row r="1158" spans="1:13" x14ac:dyDescent="0.3">
      <c r="A1158" s="1">
        <v>45901</v>
      </c>
      <c r="B1158" s="5">
        <v>34062972.978498831</v>
      </c>
      <c r="C1158" s="5">
        <v>36706555.656848431</v>
      </c>
      <c r="D1158" s="5">
        <v>0</v>
      </c>
      <c r="E1158" s="5">
        <f t="shared" si="987"/>
        <v>0</v>
      </c>
      <c r="F1158" s="5">
        <f t="shared" si="987"/>
        <v>0</v>
      </c>
      <c r="G1158" s="9">
        <f t="shared" si="989"/>
        <v>1.4060658203330911E-2</v>
      </c>
      <c r="H1158" s="9">
        <f t="shared" si="989"/>
        <v>-7.0615935154794141E-3</v>
      </c>
      <c r="I1158" s="5">
        <f t="shared" si="990"/>
        <v>21155488.60347062</v>
      </c>
      <c r="J1158" s="5">
        <f t="shared" si="991"/>
        <v>22417087.39746343</v>
      </c>
      <c r="K1158" s="8">
        <f t="shared" ref="K1158:L1158" si="994">I1158/I906-1</f>
        <v>-0.10071951504263366</v>
      </c>
      <c r="L1158" s="8">
        <f t="shared" si="994"/>
        <v>0.21425993844816937</v>
      </c>
      <c r="M1158" s="8">
        <f t="shared" si="983"/>
        <v>0.31497945349080303</v>
      </c>
    </row>
    <row r="1159" spans="1:13" x14ac:dyDescent="0.3">
      <c r="A1159" s="1">
        <v>45902</v>
      </c>
      <c r="B1159" s="5">
        <v>34240547.18055474</v>
      </c>
      <c r="C1159" s="5">
        <v>36706555.656848431</v>
      </c>
      <c r="D1159" s="5">
        <v>0</v>
      </c>
      <c r="E1159" s="5">
        <f t="shared" si="987"/>
        <v>0</v>
      </c>
      <c r="F1159" s="5">
        <f t="shared" si="987"/>
        <v>0</v>
      </c>
      <c r="G1159" s="9">
        <f t="shared" si="989"/>
        <v>5.2131151960221889E-3</v>
      </c>
      <c r="H1159" s="9">
        <f t="shared" si="989"/>
        <v>0</v>
      </c>
      <c r="I1159" s="5">
        <f t="shared" si="990"/>
        <v>21265774.602588646</v>
      </c>
      <c r="J1159" s="5">
        <f t="shared" si="991"/>
        <v>22417087.39746343</v>
      </c>
      <c r="K1159" s="8">
        <f t="shared" ref="K1159:L1159" si="995">I1159/I907-1</f>
        <v>-9.8843758564934325E-2</v>
      </c>
      <c r="L1159" s="8">
        <f t="shared" si="995"/>
        <v>0.22170049085372545</v>
      </c>
      <c r="M1159" s="8">
        <f t="shared" si="983"/>
        <v>0.32054424941865978</v>
      </c>
    </row>
    <row r="1160" spans="1:13" x14ac:dyDescent="0.3">
      <c r="A1160" s="1">
        <v>45903</v>
      </c>
      <c r="B1160" s="5">
        <v>34468066.24015481</v>
      </c>
      <c r="C1160" s="5">
        <v>36856778.951706089</v>
      </c>
      <c r="D1160" s="5">
        <v>0</v>
      </c>
      <c r="E1160" s="5">
        <f t="shared" si="987"/>
        <v>0</v>
      </c>
      <c r="F1160" s="5">
        <f t="shared" si="987"/>
        <v>0</v>
      </c>
      <c r="G1160" s="9">
        <f t="shared" si="989"/>
        <v>6.6447261604885011E-3</v>
      </c>
      <c r="H1160" s="9">
        <f t="shared" si="989"/>
        <v>4.0925467445658281E-3</v>
      </c>
      <c r="I1160" s="5">
        <f t="shared" si="990"/>
        <v>21407079.851413518</v>
      </c>
      <c r="J1160" s="5">
        <f t="shared" si="991"/>
        <v>22508830.375514567</v>
      </c>
      <c r="K1160" s="8">
        <f t="shared" ref="K1160:L1160" si="996">I1160/I908-1</f>
        <v>-9.0601021961198791E-2</v>
      </c>
      <c r="L1160" s="8">
        <f t="shared" si="996"/>
        <v>0.227563177322752</v>
      </c>
      <c r="M1160" s="8">
        <f t="shared" si="983"/>
        <v>0.31816419928395079</v>
      </c>
    </row>
    <row r="1161" spans="1:13" x14ac:dyDescent="0.3">
      <c r="A1161" s="1">
        <v>45904</v>
      </c>
      <c r="B1161" s="5">
        <v>34308928.178772934</v>
      </c>
      <c r="C1161" s="5">
        <v>37214139.960864402</v>
      </c>
      <c r="D1161" s="5">
        <v>0</v>
      </c>
      <c r="E1161" s="5">
        <f t="shared" si="987"/>
        <v>0</v>
      </c>
      <c r="F1161" s="5">
        <f t="shared" si="987"/>
        <v>0</v>
      </c>
      <c r="G1161" s="9">
        <f t="shared" si="989"/>
        <v>-4.6169709746142207E-3</v>
      </c>
      <c r="H1161" s="9">
        <f t="shared" si="989"/>
        <v>9.6959370656499733E-3</v>
      </c>
      <c r="I1161" s="5">
        <f t="shared" si="990"/>
        <v>21308243.985088293</v>
      </c>
      <c r="J1161" s="5">
        <f t="shared" si="991"/>
        <v>22727074.578256946</v>
      </c>
      <c r="K1161" s="8">
        <f t="shared" ref="K1161:L1161" si="997">I1161/I909-1</f>
        <v>-9.9594630656586469E-2</v>
      </c>
      <c r="L1161" s="8">
        <f t="shared" si="997"/>
        <v>0.22705602795626323</v>
      </c>
      <c r="M1161" s="8">
        <f t="shared" si="983"/>
        <v>0.3266506586128497</v>
      </c>
    </row>
    <row r="1162" spans="1:13" x14ac:dyDescent="0.3">
      <c r="A1162" s="1">
        <v>45905</v>
      </c>
      <c r="B1162" s="5">
        <v>34277358.957194038</v>
      </c>
      <c r="C1162" s="5">
        <v>37135140.871022068</v>
      </c>
      <c r="D1162" s="5">
        <v>0</v>
      </c>
      <c r="E1162" s="5">
        <f t="shared" si="987"/>
        <v>0</v>
      </c>
      <c r="F1162" s="5">
        <f t="shared" si="987"/>
        <v>0</v>
      </c>
      <c r="G1162" s="9">
        <f t="shared" si="989"/>
        <v>-9.2014595776346297E-4</v>
      </c>
      <c r="H1162" s="9">
        <f t="shared" si="989"/>
        <v>-2.1228245480189312E-3</v>
      </c>
      <c r="I1162" s="5">
        <f t="shared" si="990"/>
        <v>21288637.290518377</v>
      </c>
      <c r="J1162" s="5">
        <f t="shared" si="991"/>
        <v>22678828.986437567</v>
      </c>
      <c r="K1162" s="8">
        <f t="shared" ref="K1162:L1162" si="998">I1162/I910-1</f>
        <v>-0.10109147854129996</v>
      </c>
      <c r="L1162" s="8">
        <f t="shared" si="998"/>
        <v>0.24914203402967305</v>
      </c>
      <c r="M1162" s="8">
        <f t="shared" si="983"/>
        <v>0.35023351257097302</v>
      </c>
    </row>
    <row r="1163" spans="1:13" x14ac:dyDescent="0.3">
      <c r="A1163" s="1">
        <v>45908</v>
      </c>
      <c r="B1163" s="5">
        <v>34418502.206365891</v>
      </c>
      <c r="C1163" s="5">
        <v>37215369.394384295</v>
      </c>
      <c r="D1163" s="5">
        <v>0</v>
      </c>
      <c r="E1163" s="5">
        <f t="shared" si="987"/>
        <v>0</v>
      </c>
      <c r="F1163" s="5">
        <f t="shared" si="987"/>
        <v>0</v>
      </c>
      <c r="G1163" s="9">
        <f t="shared" si="989"/>
        <v>4.1176815678276579E-3</v>
      </c>
      <c r="H1163" s="9">
        <f t="shared" si="989"/>
        <v>2.1604475297636316E-3</v>
      </c>
      <c r="I1163" s="5">
        <f t="shared" si="990"/>
        <v>21376297.119893715</v>
      </c>
      <c r="J1163" s="5">
        <f t="shared" si="991"/>
        <v>22727825.406499248</v>
      </c>
      <c r="K1163" s="8">
        <f t="shared" ref="K1163:L1163" si="999">I1163/I911-1</f>
        <v>-9.8322286946965098E-2</v>
      </c>
      <c r="L1163" s="8">
        <f t="shared" si="999"/>
        <v>0.25184073985141642</v>
      </c>
      <c r="M1163" s="8">
        <f t="shared" si="983"/>
        <v>0.35016302679838152</v>
      </c>
    </row>
    <row r="1164" spans="1:13" x14ac:dyDescent="0.3">
      <c r="A1164" s="1">
        <v>45909</v>
      </c>
      <c r="B1164" s="5">
        <v>34466884.618783422</v>
      </c>
      <c r="C1164" s="5">
        <v>37261577.045106851</v>
      </c>
      <c r="D1164" s="5">
        <v>0</v>
      </c>
      <c r="E1164" s="5">
        <f t="shared" si="987"/>
        <v>0</v>
      </c>
      <c r="F1164" s="5">
        <f t="shared" si="987"/>
        <v>0</v>
      </c>
      <c r="G1164" s="9">
        <f t="shared" si="989"/>
        <v>1.4057094096495693E-3</v>
      </c>
      <c r="H1164" s="9">
        <f t="shared" si="989"/>
        <v>1.2416281626248526E-3</v>
      </c>
      <c r="I1164" s="5">
        <f t="shared" si="990"/>
        <v>21406345.981898613</v>
      </c>
      <c r="J1164" s="5">
        <f t="shared" si="991"/>
        <v>22756044.914599176</v>
      </c>
      <c r="K1164" s="8">
        <f t="shared" ref="K1164:L1164" si="1000">I1164/I912-1</f>
        <v>-9.7496151326694758E-2</v>
      </c>
      <c r="L1164" s="8">
        <f t="shared" si="1000"/>
        <v>0.255206795897162</v>
      </c>
      <c r="M1164" s="8">
        <f t="shared" si="983"/>
        <v>0.35270294722385676</v>
      </c>
    </row>
    <row r="1165" spans="1:13" x14ac:dyDescent="0.3">
      <c r="A1165" s="1">
        <v>45910</v>
      </c>
      <c r="B1165" s="5">
        <v>34616615.977500923</v>
      </c>
      <c r="C1165" s="5">
        <v>37361090.530068502</v>
      </c>
      <c r="D1165" s="5">
        <v>0</v>
      </c>
      <c r="E1165" s="5">
        <f t="shared" si="987"/>
        <v>0</v>
      </c>
      <c r="F1165" s="5">
        <f t="shared" si="987"/>
        <v>0</v>
      </c>
      <c r="G1165" s="9">
        <f t="shared" si="989"/>
        <v>4.3442092423955359E-3</v>
      </c>
      <c r="H1165" s="9">
        <f t="shared" si="989"/>
        <v>2.6706729251202432E-3</v>
      </c>
      <c r="I1165" s="5">
        <f t="shared" si="990"/>
        <v>21499339.627959095</v>
      </c>
      <c r="J1165" s="5">
        <f t="shared" si="991"/>
        <v>22816818.867635418</v>
      </c>
      <c r="K1165" s="8">
        <f t="shared" ref="K1165:L1165" si="1001">I1165/I913-1</f>
        <v>-9.4000608829368115E-2</v>
      </c>
      <c r="L1165" s="8">
        <f t="shared" si="1001"/>
        <v>0.26217191226877268</v>
      </c>
      <c r="M1165" s="8">
        <f t="shared" si="983"/>
        <v>0.35617252109814079</v>
      </c>
    </row>
    <row r="1166" spans="1:13" x14ac:dyDescent="0.3">
      <c r="A1166" s="1">
        <v>45911</v>
      </c>
      <c r="B1166" s="5">
        <v>34729475.054870352</v>
      </c>
      <c r="C1166" s="5">
        <v>37828158.918377385</v>
      </c>
      <c r="D1166" s="5">
        <v>0</v>
      </c>
      <c r="E1166" s="5">
        <f t="shared" si="987"/>
        <v>0</v>
      </c>
      <c r="F1166" s="5">
        <f t="shared" si="987"/>
        <v>0</v>
      </c>
      <c r="G1166" s="9">
        <f t="shared" si="989"/>
        <v>3.2602573701248083E-3</v>
      </c>
      <c r="H1166" s="9">
        <f t="shared" si="989"/>
        <v>1.2501465607193119E-2</v>
      </c>
      <c r="I1166" s="5">
        <f t="shared" si="990"/>
        <v>21569433.008433964</v>
      </c>
      <c r="J1166" s="5">
        <f t="shared" si="991"/>
        <v>23102062.543974716</v>
      </c>
      <c r="K1166" s="8">
        <f t="shared" ref="K1166:L1166" si="1002">I1166/I914-1</f>
        <v>-7.8547233971027697E-2</v>
      </c>
      <c r="L1166" s="8">
        <f t="shared" si="1002"/>
        <v>0.30100741469926762</v>
      </c>
      <c r="M1166" s="8">
        <f t="shared" si="983"/>
        <v>0.37955464867029531</v>
      </c>
    </row>
    <row r="1167" spans="1:13" x14ac:dyDescent="0.3">
      <c r="A1167" s="1">
        <v>45912</v>
      </c>
      <c r="B1167" s="5">
        <v>34841519.098221563</v>
      </c>
      <c r="C1167" s="5">
        <v>37743009.144081652</v>
      </c>
      <c r="D1167" s="5">
        <v>0</v>
      </c>
      <c r="E1167" s="5">
        <f t="shared" si="987"/>
        <v>0</v>
      </c>
      <c r="F1167" s="5">
        <f t="shared" si="987"/>
        <v>0</v>
      </c>
      <c r="G1167" s="9">
        <f t="shared" si="989"/>
        <v>3.2261945558977878E-3</v>
      </c>
      <c r="H1167" s="9">
        <f t="shared" si="989"/>
        <v>-2.250962688389424E-3</v>
      </c>
      <c r="I1167" s="5">
        <f t="shared" si="990"/>
        <v>21639020.195779577</v>
      </c>
      <c r="J1167" s="5">
        <f t="shared" si="991"/>
        <v>23050060.66316339</v>
      </c>
      <c r="K1167" s="8">
        <f t="shared" ref="K1167:L1167" si="1003">I1167/I915-1</f>
        <v>-7.6949296982897653E-2</v>
      </c>
      <c r="L1167" s="8">
        <f t="shared" si="1003"/>
        <v>0.28277796751725548</v>
      </c>
      <c r="M1167" s="8">
        <f t="shared" si="983"/>
        <v>0.35972726450015313</v>
      </c>
    </row>
    <row r="1168" spans="1:13" x14ac:dyDescent="0.3">
      <c r="A1168" s="1">
        <v>45915</v>
      </c>
      <c r="B1168" s="5">
        <v>35050566.426142432</v>
      </c>
      <c r="C1168" s="5">
        <v>37903381.786311753</v>
      </c>
      <c r="D1168" s="5">
        <v>0</v>
      </c>
      <c r="E1168" s="5">
        <f t="shared" si="987"/>
        <v>0</v>
      </c>
      <c r="F1168" s="5">
        <f t="shared" si="987"/>
        <v>0</v>
      </c>
      <c r="G1168" s="9">
        <f t="shared" si="989"/>
        <v>5.999948720133208E-3</v>
      </c>
      <c r="H1168" s="9">
        <f t="shared" si="989"/>
        <v>4.2490687909353397E-3</v>
      </c>
      <c r="I1168" s="5">
        <f t="shared" si="990"/>
        <v>21768853.207308181</v>
      </c>
      <c r="J1168" s="5">
        <f t="shared" si="991"/>
        <v>23148001.956556402</v>
      </c>
      <c r="K1168" s="8">
        <f t="shared" ref="K1168:L1168" si="1004">I1168/I916-1</f>
        <v>-7.3457374715000467E-2</v>
      </c>
      <c r="L1168" s="8">
        <f t="shared" si="1004"/>
        <v>0.28215283703267202</v>
      </c>
      <c r="M1168" s="8">
        <f t="shared" si="983"/>
        <v>0.35561021174767249</v>
      </c>
    </row>
    <row r="1169" spans="1:13" x14ac:dyDescent="0.3">
      <c r="A1169" s="1">
        <v>45916</v>
      </c>
      <c r="B1169" s="5">
        <v>35253709.20630689</v>
      </c>
      <c r="C1169" s="5">
        <v>37782964.121586822</v>
      </c>
      <c r="D1169" s="5">
        <v>0</v>
      </c>
      <c r="E1169" s="5">
        <f t="shared" si="987"/>
        <v>0</v>
      </c>
      <c r="F1169" s="5">
        <f t="shared" si="987"/>
        <v>0</v>
      </c>
      <c r="G1169" s="9">
        <f t="shared" si="989"/>
        <v>5.7957060577755737E-3</v>
      </c>
      <c r="H1169" s="9">
        <f t="shared" si="989"/>
        <v>-3.1769636124768796E-3</v>
      </c>
      <c r="I1169" s="5">
        <f t="shared" si="990"/>
        <v>21895019.081712604</v>
      </c>
      <c r="J1169" s="5">
        <f t="shared" si="991"/>
        <v>23074461.596638881</v>
      </c>
      <c r="K1169" s="8">
        <f t="shared" ref="K1169:L1169" si="1005">I1169/I917-1</f>
        <v>-6.3295364814579425E-2</v>
      </c>
      <c r="L1169" s="8">
        <f t="shared" si="1005"/>
        <v>0.2645786506386445</v>
      </c>
      <c r="M1169" s="8">
        <f t="shared" si="983"/>
        <v>0.32787401545322392</v>
      </c>
    </row>
    <row r="1170" spans="1:13" x14ac:dyDescent="0.3">
      <c r="A1170" s="1">
        <v>45917</v>
      </c>
      <c r="B1170" s="5">
        <v>35328485.908152729</v>
      </c>
      <c r="C1170" s="5">
        <v>37626879.110440396</v>
      </c>
      <c r="D1170" s="5">
        <v>0</v>
      </c>
      <c r="E1170" s="5">
        <f t="shared" si="987"/>
        <v>0</v>
      </c>
      <c r="F1170" s="5">
        <f t="shared" si="987"/>
        <v>0</v>
      </c>
      <c r="G1170" s="9">
        <f t="shared" si="989"/>
        <v>2.1211016806272909E-3</v>
      </c>
      <c r="H1170" s="9">
        <f t="shared" si="989"/>
        <v>-4.1310949200317193E-3</v>
      </c>
      <c r="I1170" s="5">
        <f t="shared" si="990"/>
        <v>21941460.64348419</v>
      </c>
      <c r="J1170" s="5">
        <f t="shared" si="991"/>
        <v>22979138.805554539</v>
      </c>
      <c r="K1170" s="8">
        <f t="shared" ref="K1170:L1170" si="1006">I1170/I918-1</f>
        <v>-7.4884197892454485E-2</v>
      </c>
      <c r="L1170" s="8">
        <f t="shared" si="1006"/>
        <v>0.25041315148811227</v>
      </c>
      <c r="M1170" s="8">
        <f t="shared" si="983"/>
        <v>0.32529734938056676</v>
      </c>
    </row>
    <row r="1171" spans="1:13" x14ac:dyDescent="0.3">
      <c r="A1171" s="1">
        <v>45918</v>
      </c>
      <c r="B1171" s="5">
        <v>35424129.616325192</v>
      </c>
      <c r="C1171" s="5">
        <v>37979962.452934504</v>
      </c>
      <c r="D1171" s="5">
        <v>0</v>
      </c>
      <c r="E1171" s="5">
        <f t="shared" si="987"/>
        <v>0</v>
      </c>
      <c r="F1171" s="5">
        <f t="shared" si="987"/>
        <v>0</v>
      </c>
      <c r="G1171" s="9">
        <f t="shared" si="989"/>
        <v>2.7072688147780077E-3</v>
      </c>
      <c r="H1171" s="9">
        <f t="shared" si="989"/>
        <v>9.3838062268665201E-3</v>
      </c>
      <c r="I1171" s="5">
        <f t="shared" si="990"/>
        <v>22000862.075634975</v>
      </c>
      <c r="J1171" s="5">
        <f t="shared" si="991"/>
        <v>23194770.591366131</v>
      </c>
      <c r="K1171" s="8">
        <f t="shared" ref="K1171:L1171" si="1007">I1171/I919-1</f>
        <v>-7.2148167483139236E-2</v>
      </c>
      <c r="L1171" s="8">
        <f t="shared" si="1007"/>
        <v>0.25574894589129027</v>
      </c>
      <c r="M1171" s="8">
        <f t="shared" si="983"/>
        <v>0.32789711337442951</v>
      </c>
    </row>
    <row r="1172" spans="1:13" x14ac:dyDescent="0.3">
      <c r="A1172" s="1">
        <v>45919</v>
      </c>
      <c r="B1172" s="5">
        <v>35629660.552936032</v>
      </c>
      <c r="C1172" s="5">
        <v>38118008.641057573</v>
      </c>
      <c r="D1172" s="5">
        <v>0</v>
      </c>
      <c r="E1172" s="5">
        <f t="shared" si="987"/>
        <v>0</v>
      </c>
      <c r="F1172" s="5">
        <f t="shared" si="987"/>
        <v>0</v>
      </c>
      <c r="G1172" s="9">
        <f t="shared" si="989"/>
        <v>5.8020038554771336E-3</v>
      </c>
      <c r="H1172" s="9">
        <f t="shared" si="989"/>
        <v>3.6347110214798306E-3</v>
      </c>
      <c r="I1172" s="5">
        <f t="shared" si="990"/>
        <v>22128511.162221629</v>
      </c>
      <c r="J1172" s="5">
        <f t="shared" si="991"/>
        <v>23279076.879675265</v>
      </c>
      <c r="K1172" s="8">
        <f t="shared" ref="K1172:L1172" si="1008">I1172/I920-1</f>
        <v>-6.7219286270752132E-2</v>
      </c>
      <c r="L1172" s="8">
        <f t="shared" si="1008"/>
        <v>0.25832714145985669</v>
      </c>
      <c r="M1172" s="8">
        <f t="shared" si="983"/>
        <v>0.32554642773060882</v>
      </c>
    </row>
    <row r="1173" spans="1:13" x14ac:dyDescent="0.3">
      <c r="A1173" s="1">
        <v>45922</v>
      </c>
      <c r="B1173" s="5">
        <v>35749153.793667696</v>
      </c>
      <c r="C1173" s="5">
        <v>38389223.727044329</v>
      </c>
      <c r="D1173" s="5">
        <v>0</v>
      </c>
      <c r="E1173" s="5">
        <f t="shared" si="987"/>
        <v>0</v>
      </c>
      <c r="F1173" s="5">
        <f t="shared" si="987"/>
        <v>0</v>
      </c>
      <c r="G1173" s="9">
        <f t="shared" si="989"/>
        <v>3.3537574839965778E-3</v>
      </c>
      <c r="H1173" s="9">
        <f t="shared" si="989"/>
        <v>7.1151430952409722E-3</v>
      </c>
      <c r="I1173" s="5">
        <f t="shared" si="990"/>
        <v>22202724.822141632</v>
      </c>
      <c r="J1173" s="5">
        <f t="shared" si="991"/>
        <v>23444710.842799272</v>
      </c>
      <c r="K1173" s="8">
        <f t="shared" ref="K1173:L1173" si="1009">I1173/I921-1</f>
        <v>-6.1552799383365775E-2</v>
      </c>
      <c r="L1173" s="8">
        <f t="shared" si="1009"/>
        <v>0.26903415925674112</v>
      </c>
      <c r="M1173" s="8">
        <f t="shared" si="983"/>
        <v>0.3305869586401069</v>
      </c>
    </row>
    <row r="1174" spans="1:13" x14ac:dyDescent="0.3">
      <c r="A1174" s="1">
        <v>45923</v>
      </c>
      <c r="B1174" s="5">
        <v>35586189.69923088</v>
      </c>
      <c r="C1174" s="5">
        <v>38381213.506075136</v>
      </c>
      <c r="D1174" s="5">
        <v>0</v>
      </c>
      <c r="E1174" s="5">
        <f t="shared" si="987"/>
        <v>0</v>
      </c>
      <c r="F1174" s="5">
        <f t="shared" si="987"/>
        <v>0</v>
      </c>
      <c r="G1174" s="9">
        <f t="shared" si="989"/>
        <v>-4.5585441092506063E-3</v>
      </c>
      <c r="H1174" s="9">
        <f t="shared" si="989"/>
        <v>-2.0865806055747615E-4</v>
      </c>
      <c r="I1174" s="5">
        <f t="shared" si="990"/>
        <v>22101512.721694347</v>
      </c>
      <c r="J1174" s="5">
        <f t="shared" si="991"/>
        <v>23439818.914904483</v>
      </c>
      <c r="K1174" s="8">
        <f t="shared" ref="K1174:L1174" si="1010">I1174/I922-1</f>
        <v>-6.1791192893120961E-2</v>
      </c>
      <c r="L1174" s="8">
        <f t="shared" si="1010"/>
        <v>0.27243341894171547</v>
      </c>
      <c r="M1174" s="8">
        <f t="shared" si="983"/>
        <v>0.33422461183483643</v>
      </c>
    </row>
    <row r="1175" spans="1:13" x14ac:dyDescent="0.3">
      <c r="A1175" s="1">
        <v>45924</v>
      </c>
      <c r="B1175" s="5">
        <v>35159432.192732655</v>
      </c>
      <c r="C1175" s="5">
        <v>38259257.510826729</v>
      </c>
      <c r="D1175" s="5">
        <v>0</v>
      </c>
      <c r="E1175" s="5">
        <f t="shared" si="987"/>
        <v>0</v>
      </c>
      <c r="F1175" s="5">
        <f t="shared" si="987"/>
        <v>0</v>
      </c>
      <c r="G1175" s="9">
        <f t="shared" si="989"/>
        <v>-1.1992222547710596E-2</v>
      </c>
      <c r="H1175" s="9">
        <f t="shared" si="989"/>
        <v>-3.1774919057497852E-3</v>
      </c>
      <c r="I1175" s="5">
        <f t="shared" si="990"/>
        <v>21836466.462494731</v>
      </c>
      <c r="J1175" s="5">
        <f t="shared" si="991"/>
        <v>23365339.080030132</v>
      </c>
      <c r="K1175" s="8">
        <f t="shared" ref="K1175:L1175" si="1011">I1175/I923-1</f>
        <v>-6.6607903342679187E-2</v>
      </c>
      <c r="L1175" s="8">
        <f t="shared" si="1011"/>
        <v>0.24819017586888115</v>
      </c>
      <c r="M1175" s="8">
        <f t="shared" si="983"/>
        <v>0.31479807921156033</v>
      </c>
    </row>
    <row r="1176" spans="1:13" x14ac:dyDescent="0.3">
      <c r="A1176" s="1">
        <v>45925</v>
      </c>
      <c r="B1176" s="5">
        <v>34896507.2011972</v>
      </c>
      <c r="C1176" s="5">
        <v>38055151.617685378</v>
      </c>
      <c r="D1176" s="5">
        <v>0</v>
      </c>
      <c r="E1176" s="5">
        <f t="shared" si="987"/>
        <v>0</v>
      </c>
      <c r="F1176" s="5">
        <f t="shared" si="987"/>
        <v>0</v>
      </c>
      <c r="G1176" s="9">
        <f t="shared" si="989"/>
        <v>-7.4780784312495907E-3</v>
      </c>
      <c r="H1176" s="9">
        <f t="shared" si="989"/>
        <v>-5.3348106163219056E-3</v>
      </c>
      <c r="I1176" s="5">
        <f t="shared" si="990"/>
        <v>21673171.653626844</v>
      </c>
      <c r="J1176" s="5">
        <f t="shared" si="991"/>
        <v>23240689.421052027</v>
      </c>
      <c r="K1176" s="8">
        <f t="shared" ref="K1176:L1176" si="1012">I1176/I924-1</f>
        <v>-8.6625756012586375E-2</v>
      </c>
      <c r="L1176" s="8">
        <f t="shared" si="1012"/>
        <v>0.24557221445848354</v>
      </c>
      <c r="M1176" s="8">
        <f t="shared" si="983"/>
        <v>0.33219797047106991</v>
      </c>
    </row>
    <row r="1177" spans="1:13" x14ac:dyDescent="0.3">
      <c r="A1177" s="1">
        <v>45926</v>
      </c>
      <c r="B1177" s="5">
        <v>34309536.784961201</v>
      </c>
      <c r="C1177" s="5">
        <v>38259212.964010276</v>
      </c>
      <c r="D1177" s="5">
        <v>0</v>
      </c>
      <c r="E1177" s="5">
        <f t="shared" si="987"/>
        <v>0</v>
      </c>
      <c r="F1177" s="5">
        <f t="shared" si="987"/>
        <v>0</v>
      </c>
      <c r="G1177" s="9">
        <f t="shared" si="989"/>
        <v>-1.6820319949265916E-2</v>
      </c>
      <c r="H1177" s="9">
        <f t="shared" si="989"/>
        <v>5.3622528790573387E-3</v>
      </c>
      <c r="I1177" s="5">
        <f t="shared" si="990"/>
        <v>21308621.972097479</v>
      </c>
      <c r="J1177" s="5">
        <f t="shared" si="991"/>
        <v>23365311.87481134</v>
      </c>
      <c r="K1177" s="8">
        <f t="shared" ref="K1177:L1177" si="1013">I1177/I925-1</f>
        <v>-0.11633739967073398</v>
      </c>
      <c r="L1177" s="8">
        <f t="shared" si="1013"/>
        <v>0.24932864255912279</v>
      </c>
      <c r="M1177" s="8">
        <f t="shared" si="983"/>
        <v>0.36566604222985677</v>
      </c>
    </row>
    <row r="1178" spans="1:13" x14ac:dyDescent="0.3">
      <c r="A1178" s="1">
        <v>45929</v>
      </c>
      <c r="B1178" s="5">
        <v>34662200.936912693</v>
      </c>
      <c r="C1178" s="5">
        <v>38407980.867483005</v>
      </c>
      <c r="D1178" s="5">
        <v>0</v>
      </c>
      <c r="E1178" s="5">
        <f t="shared" si="987"/>
        <v>0</v>
      </c>
      <c r="F1178" s="5">
        <f t="shared" si="987"/>
        <v>0</v>
      </c>
      <c r="G1178" s="9">
        <f t="shared" si="989"/>
        <v>1.027889575315033E-2</v>
      </c>
      <c r="H1178" s="9">
        <f t="shared" si="989"/>
        <v>3.8884203815867657E-3</v>
      </c>
      <c r="I1178" s="5">
        <f t="shared" si="990"/>
        <v>21527651.075991958</v>
      </c>
      <c r="J1178" s="5">
        <f t="shared" si="991"/>
        <v>23456166.029727489</v>
      </c>
      <c r="K1178" s="8">
        <f t="shared" ref="K1178:L1178" si="1014">I1178/I926-1</f>
        <v>-0.10837348720878959</v>
      </c>
      <c r="L1178" s="8">
        <f t="shared" si="1014"/>
        <v>0.24909435880765551</v>
      </c>
      <c r="M1178" s="8">
        <f t="shared" si="983"/>
        <v>0.3574678460164451</v>
      </c>
    </row>
    <row r="1179" spans="1:13" x14ac:dyDescent="0.3">
      <c r="A1179" s="1">
        <v>45930</v>
      </c>
      <c r="B1179" s="5">
        <v>34667343.837158635</v>
      </c>
      <c r="C1179" s="5">
        <v>38577639.762516774</v>
      </c>
      <c r="D1179" s="5">
        <v>0</v>
      </c>
      <c r="E1179" s="5">
        <f t="shared" si="987"/>
        <v>0</v>
      </c>
      <c r="F1179" s="5">
        <f t="shared" si="987"/>
        <v>0</v>
      </c>
      <c r="G1179" s="9">
        <f t="shared" si="989"/>
        <v>1.4837200486206292E-4</v>
      </c>
      <c r="H1179" s="9">
        <f t="shared" si="989"/>
        <v>4.4172823252317528E-3</v>
      </c>
      <c r="I1179" s="5">
        <f t="shared" si="990"/>
        <v>21530845.176742073</v>
      </c>
      <c r="J1179" s="5">
        <f t="shared" si="991"/>
        <v>23559778.537348304</v>
      </c>
      <c r="K1179" s="8">
        <f t="shared" ref="K1179:L1179" si="1015">I1179/I927-1</f>
        <v>-0.10493874921065838</v>
      </c>
      <c r="L1179" s="8">
        <f t="shared" si="1015"/>
        <v>0.25844846328408888</v>
      </c>
      <c r="M1179" s="8">
        <f t="shared" si="983"/>
        <v>0.36338721249474726</v>
      </c>
    </row>
    <row r="1180" spans="1:13" x14ac:dyDescent="0.3">
      <c r="A1180" s="1">
        <v>45931</v>
      </c>
      <c r="B1180" s="5">
        <v>35291072.407504611</v>
      </c>
      <c r="C1180" s="5">
        <v>39171509.576133348</v>
      </c>
      <c r="D1180" s="5">
        <v>500000</v>
      </c>
      <c r="E1180" s="5">
        <f t="shared" si="987"/>
        <v>-500000</v>
      </c>
      <c r="F1180" s="5">
        <f t="shared" si="987"/>
        <v>-500000</v>
      </c>
      <c r="G1180" s="9">
        <f t="shared" si="989"/>
        <v>3.5690236588981072E-3</v>
      </c>
      <c r="H1180" s="9">
        <f t="shared" si="989"/>
        <v>2.4332700028937282E-3</v>
      </c>
      <c r="I1180" s="5">
        <f t="shared" si="990"/>
        <v>21607689.272573937</v>
      </c>
      <c r="J1180" s="5">
        <f t="shared" si="991"/>
        <v>23617105.839738052</v>
      </c>
      <c r="K1180" s="8">
        <f t="shared" ref="K1180:L1180" si="1016">I1180/I928-1</f>
        <v>-0.10838112762949315</v>
      </c>
      <c r="L1180" s="8">
        <f t="shared" si="1016"/>
        <v>0.25575970869695541</v>
      </c>
      <c r="M1180" s="8">
        <f t="shared" si="983"/>
        <v>0.36414083632644856</v>
      </c>
    </row>
    <row r="1181" spans="1:13" x14ac:dyDescent="0.3">
      <c r="A1181" s="1">
        <v>45933</v>
      </c>
      <c r="B1181" s="5">
        <v>35430280.042645857</v>
      </c>
      <c r="C1181" s="5">
        <v>39242569.940560706</v>
      </c>
      <c r="D1181" s="5">
        <v>0</v>
      </c>
      <c r="E1181" s="5">
        <f t="shared" si="987"/>
        <v>0</v>
      </c>
      <c r="F1181" s="5">
        <f t="shared" si="987"/>
        <v>0</v>
      </c>
      <c r="G1181" s="9">
        <f t="shared" si="989"/>
        <v>3.9445566724021219E-3</v>
      </c>
      <c r="H1181" s="9">
        <f t="shared" si="989"/>
        <v>1.8140828677855048E-3</v>
      </c>
      <c r="I1181" s="5">
        <f t="shared" si="990"/>
        <v>21692922.027469259</v>
      </c>
      <c r="J1181" s="5">
        <f t="shared" si="991"/>
        <v>23659949.226828597</v>
      </c>
      <c r="K1181" s="8">
        <f t="shared" ref="K1181:L1181" si="1017">I1181/I929-1</f>
        <v>-0.11321918322531876</v>
      </c>
      <c r="L1181" s="8">
        <f t="shared" si="1017"/>
        <v>0.25837183237004413</v>
      </c>
      <c r="M1181" s="8">
        <f t="shared" si="983"/>
        <v>0.37159101559536289</v>
      </c>
    </row>
    <row r="1182" spans="1:13" x14ac:dyDescent="0.3">
      <c r="A1182" s="1">
        <v>45936</v>
      </c>
      <c r="B1182" s="5">
        <v>35551746.908600025</v>
      </c>
      <c r="C1182" s="5">
        <v>39392988.214443937</v>
      </c>
      <c r="D1182" s="5">
        <v>0</v>
      </c>
      <c r="E1182" s="5">
        <f t="shared" si="987"/>
        <v>0</v>
      </c>
      <c r="F1182" s="5">
        <f t="shared" si="987"/>
        <v>0</v>
      </c>
      <c r="G1182" s="9">
        <f t="shared" si="989"/>
        <v>3.4283349103638727E-3</v>
      </c>
      <c r="H1182" s="9">
        <f t="shared" si="989"/>
        <v>3.8330383079157038E-3</v>
      </c>
      <c r="I1182" s="5">
        <f t="shared" si="990"/>
        <v>21767292.629363835</v>
      </c>
      <c r="J1182" s="5">
        <f t="shared" si="991"/>
        <v>23750638.718578372</v>
      </c>
      <c r="K1182" s="8">
        <f t="shared" ref="K1182:L1182" si="1018">I1182/I930-1</f>
        <v>-0.10189053174568541</v>
      </c>
      <c r="L1182" s="8">
        <f t="shared" si="1018"/>
        <v>0.25655464446189957</v>
      </c>
      <c r="M1182" s="8">
        <f t="shared" si="983"/>
        <v>0.35844517620758498</v>
      </c>
    </row>
    <row r="1183" spans="1:13" x14ac:dyDescent="0.3">
      <c r="A1183" s="1">
        <v>45937</v>
      </c>
      <c r="B1183" s="5">
        <v>35593719.676725544</v>
      </c>
      <c r="C1183" s="5">
        <v>39212177.075991862</v>
      </c>
      <c r="D1183" s="5">
        <v>0</v>
      </c>
      <c r="E1183" s="5">
        <f t="shared" si="987"/>
        <v>0</v>
      </c>
      <c r="F1183" s="5">
        <f t="shared" si="987"/>
        <v>0</v>
      </c>
      <c r="G1183" s="9">
        <f t="shared" si="989"/>
        <v>1.1806105684040169E-3</v>
      </c>
      <c r="H1183" s="9">
        <f t="shared" si="989"/>
        <v>-4.589932032263988E-3</v>
      </c>
      <c r="I1183" s="5">
        <f t="shared" si="990"/>
        <v>21792991.325087603</v>
      </c>
      <c r="J1183" s="5">
        <f t="shared" si="991"/>
        <v>23641624.90113724</v>
      </c>
      <c r="K1183" s="8">
        <f t="shared" ref="K1183:L1183" si="1019">I1183/I931-1</f>
        <v>-0.10303266241571063</v>
      </c>
      <c r="L1183" s="8">
        <f t="shared" si="1019"/>
        <v>0.2617698925704286</v>
      </c>
      <c r="M1183" s="8">
        <f t="shared" si="983"/>
        <v>0.36480255498613923</v>
      </c>
    </row>
    <row r="1184" spans="1:13" x14ac:dyDescent="0.3">
      <c r="A1184" s="1">
        <v>45938</v>
      </c>
      <c r="B1184" s="5">
        <v>35318362.288311489</v>
      </c>
      <c r="C1184" s="5">
        <v>39462908.338076532</v>
      </c>
      <c r="D1184" s="5">
        <v>0</v>
      </c>
      <c r="E1184" s="5">
        <f t="shared" si="987"/>
        <v>0</v>
      </c>
      <c r="F1184" s="5">
        <f t="shared" si="987"/>
        <v>0</v>
      </c>
      <c r="G1184" s="9">
        <f t="shared" si="989"/>
        <v>-7.7361228586094732E-3</v>
      </c>
      <c r="H1184" s="9">
        <f t="shared" si="989"/>
        <v>6.3942193670798453E-3</v>
      </c>
      <c r="I1184" s="5">
        <f t="shared" si="990"/>
        <v>21624398.066740114</v>
      </c>
      <c r="J1184" s="5">
        <f t="shared" si="991"/>
        <v>23792794.636949331</v>
      </c>
      <c r="K1184" s="8">
        <f t="shared" ref="K1184:L1184" si="1020">I1184/I932-1</f>
        <v>-8.831136153105057E-2</v>
      </c>
      <c r="L1184" s="8">
        <f t="shared" si="1020"/>
        <v>0.26884289637999981</v>
      </c>
      <c r="M1184" s="8">
        <f t="shared" si="983"/>
        <v>0.35715425791105038</v>
      </c>
    </row>
    <row r="1185" spans="1:13" x14ac:dyDescent="0.3">
      <c r="A1185" s="1">
        <v>45939</v>
      </c>
      <c r="B1185" s="5">
        <v>35515474.725445271</v>
      </c>
      <c r="C1185" s="5">
        <v>39386556.733887151</v>
      </c>
      <c r="D1185" s="5">
        <v>0</v>
      </c>
      <c r="E1185" s="5">
        <f t="shared" si="987"/>
        <v>0</v>
      </c>
      <c r="F1185" s="5">
        <f t="shared" si="987"/>
        <v>0</v>
      </c>
      <c r="G1185" s="9">
        <f t="shared" si="989"/>
        <v>5.5810186079612301E-3</v>
      </c>
      <c r="H1185" s="9">
        <f t="shared" si="989"/>
        <v>-1.9347688096194027E-3</v>
      </c>
      <c r="I1185" s="5">
        <f t="shared" si="990"/>
        <v>21745084.234736551</v>
      </c>
      <c r="J1185" s="5">
        <f t="shared" si="991"/>
        <v>23746761.079992082</v>
      </c>
      <c r="K1185" s="8">
        <f t="shared" ref="K1185:L1185" si="1021">I1185/I933-1</f>
        <v>-7.3050226724562628E-2</v>
      </c>
      <c r="L1185" s="8">
        <f t="shared" si="1021"/>
        <v>0.25501535664067232</v>
      </c>
      <c r="M1185" s="8">
        <f t="shared" si="983"/>
        <v>0.32806558336523495</v>
      </c>
    </row>
    <row r="1186" spans="1:13" x14ac:dyDescent="0.3">
      <c r="A1186" s="1">
        <v>45940</v>
      </c>
      <c r="B1186" s="5">
        <v>35602030.472547412</v>
      </c>
      <c r="C1186" s="5">
        <v>38272035.330419593</v>
      </c>
      <c r="D1186" s="5">
        <v>0</v>
      </c>
      <c r="E1186" s="5">
        <f t="shared" si="987"/>
        <v>0</v>
      </c>
      <c r="F1186" s="5">
        <f t="shared" si="987"/>
        <v>0</v>
      </c>
      <c r="G1186" s="9">
        <f t="shared" si="989"/>
        <v>2.4371276963426336E-3</v>
      </c>
      <c r="H1186" s="9">
        <f t="shared" si="989"/>
        <v>-2.8297000192165966E-2</v>
      </c>
      <c r="I1186" s="5">
        <f t="shared" si="990"/>
        <v>21798079.78178433</v>
      </c>
      <c r="J1186" s="5">
        <f t="shared" si="991"/>
        <v>23074798.977148227</v>
      </c>
      <c r="K1186" s="8">
        <f t="shared" ref="K1186:L1186" si="1022">I1186/I934-1</f>
        <v>-4.8659216179415266E-2</v>
      </c>
      <c r="L1186" s="8">
        <f t="shared" si="1022"/>
        <v>0.23172982284992605</v>
      </c>
      <c r="M1186" s="8">
        <f t="shared" si="983"/>
        <v>0.28038903902934131</v>
      </c>
    </row>
    <row r="1187" spans="1:13" x14ac:dyDescent="0.3">
      <c r="A1187" s="1">
        <v>45943</v>
      </c>
      <c r="B1187" s="5">
        <v>35541085.839937143</v>
      </c>
      <c r="C1187" s="5">
        <v>38549162.528653234</v>
      </c>
      <c r="D1187" s="5">
        <v>0</v>
      </c>
      <c r="E1187" s="5">
        <f t="shared" si="987"/>
        <v>0</v>
      </c>
      <c r="F1187" s="5">
        <f t="shared" si="987"/>
        <v>0</v>
      </c>
      <c r="G1187" s="9">
        <f t="shared" si="989"/>
        <v>-1.7118302467962199E-3</v>
      </c>
      <c r="H1187" s="9">
        <f t="shared" si="989"/>
        <v>7.2409840720797369E-3</v>
      </c>
      <c r="I1187" s="5">
        <f t="shared" si="990"/>
        <v>21760765.169491794</v>
      </c>
      <c r="J1187" s="5">
        <f t="shared" si="991"/>
        <v>23241883.229008198</v>
      </c>
      <c r="K1187" s="8">
        <f t="shared" ref="K1187:L1187" si="1023">I1187/I935-1</f>
        <v>-7.2096133707971521E-2</v>
      </c>
      <c r="L1187" s="8">
        <f t="shared" si="1023"/>
        <v>0.22888465259626622</v>
      </c>
      <c r="M1187" s="8">
        <f t="shared" si="983"/>
        <v>0.30098078630423775</v>
      </c>
    </row>
    <row r="1188" spans="1:13" x14ac:dyDescent="0.3">
      <c r="A1188" s="1">
        <v>45944</v>
      </c>
      <c r="B1188" s="5">
        <v>35353551.396424301</v>
      </c>
      <c r="C1188" s="5">
        <v>38826289.726886876</v>
      </c>
      <c r="D1188" s="5">
        <v>0</v>
      </c>
      <c r="E1188" s="5">
        <f t="shared" si="987"/>
        <v>0</v>
      </c>
      <c r="F1188" s="5">
        <f t="shared" si="987"/>
        <v>0</v>
      </c>
      <c r="G1188" s="9">
        <f t="shared" si="989"/>
        <v>-5.2765535740079139E-3</v>
      </c>
      <c r="H1188" s="9">
        <f t="shared" si="989"/>
        <v>7.1889291506048725E-3</v>
      </c>
      <c r="I1188" s="5">
        <f t="shared" si="990"/>
        <v>21645943.326263566</v>
      </c>
      <c r="J1188" s="5">
        <f t="shared" si="991"/>
        <v>23408967.480868168</v>
      </c>
      <c r="K1188" s="8">
        <f t="shared" ref="K1188:L1188" si="1024">I1188/I936-1</f>
        <v>-8.691295696899104E-2</v>
      </c>
      <c r="L1188" s="8">
        <f t="shared" si="1024"/>
        <v>0.22923361488002225</v>
      </c>
      <c r="M1188" s="8">
        <f t="shared" si="983"/>
        <v>0.31614657184901329</v>
      </c>
    </row>
    <row r="1189" spans="1:13" x14ac:dyDescent="0.3">
      <c r="A1189" s="1">
        <v>45945</v>
      </c>
      <c r="B1189" s="5">
        <v>35822995.83235497</v>
      </c>
      <c r="C1189" s="5">
        <v>38642976.352126785</v>
      </c>
      <c r="D1189" s="5">
        <v>0</v>
      </c>
      <c r="E1189" s="5">
        <f t="shared" si="987"/>
        <v>0</v>
      </c>
      <c r="F1189" s="5">
        <f t="shared" si="987"/>
        <v>0</v>
      </c>
      <c r="G1189" s="9">
        <f t="shared" si="989"/>
        <v>1.3278565162145206E-2</v>
      </c>
      <c r="H1189" s="9">
        <f t="shared" si="989"/>
        <v>-4.7213724527777057E-3</v>
      </c>
      <c r="I1189" s="5">
        <f t="shared" si="990"/>
        <v>21933370.39521746</v>
      </c>
      <c r="J1189" s="5">
        <f t="shared" si="991"/>
        <v>23298445.026656028</v>
      </c>
      <c r="K1189" s="8">
        <f t="shared" ref="K1189:L1189" si="1025">I1189/I937-1</f>
        <v>-7.319448813661289E-2</v>
      </c>
      <c r="L1189" s="8">
        <f t="shared" si="1025"/>
        <v>0.22563546779680865</v>
      </c>
      <c r="M1189" s="8">
        <f t="shared" si="983"/>
        <v>0.29882995593342154</v>
      </c>
    </row>
    <row r="1190" spans="1:13" x14ac:dyDescent="0.3">
      <c r="A1190" s="1">
        <v>45946</v>
      </c>
      <c r="B1190" s="5">
        <v>35999031.629172489</v>
      </c>
      <c r="C1190" s="5">
        <v>38325647.428001553</v>
      </c>
      <c r="D1190" s="5">
        <v>0</v>
      </c>
      <c r="E1190" s="5">
        <f t="shared" si="987"/>
        <v>0</v>
      </c>
      <c r="F1190" s="5">
        <f t="shared" si="987"/>
        <v>0</v>
      </c>
      <c r="G1190" s="9">
        <f t="shared" si="989"/>
        <v>4.9140445327726656E-3</v>
      </c>
      <c r="H1190" s="9">
        <f t="shared" si="989"/>
        <v>-8.2118137390254642E-3</v>
      </c>
      <c r="I1190" s="5">
        <f t="shared" si="990"/>
        <v>22041151.954093356</v>
      </c>
      <c r="J1190" s="5">
        <f t="shared" si="991"/>
        <v>23107122.535688203</v>
      </c>
      <c r="K1190" s="8">
        <f t="shared" ref="K1190:L1190" si="1026">I1190/I938-1</f>
        <v>-6.9880201371394057E-2</v>
      </c>
      <c r="L1190" s="8">
        <f t="shared" si="1026"/>
        <v>0.20623660116204512</v>
      </c>
      <c r="M1190" s="8">
        <f t="shared" si="983"/>
        <v>0.27611680253343918</v>
      </c>
    </row>
    <row r="1191" spans="1:13" x14ac:dyDescent="0.3">
      <c r="A1191" s="1">
        <v>45947</v>
      </c>
      <c r="B1191" s="5">
        <v>35948693.911473013</v>
      </c>
      <c r="C1191" s="5">
        <v>38607403.867306158</v>
      </c>
      <c r="D1191" s="5">
        <v>0</v>
      </c>
      <c r="E1191" s="5">
        <f t="shared" si="987"/>
        <v>0</v>
      </c>
      <c r="F1191" s="5">
        <f t="shared" si="987"/>
        <v>0</v>
      </c>
      <c r="G1191" s="9">
        <f t="shared" si="989"/>
        <v>-1.3983075494364838E-3</v>
      </c>
      <c r="H1191" s="9">
        <f t="shared" si="989"/>
        <v>7.3516419998882476E-3</v>
      </c>
      <c r="I1191" s="5">
        <f t="shared" si="990"/>
        <v>22010331.644917671</v>
      </c>
      <c r="J1191" s="5">
        <f t="shared" si="991"/>
        <v>23276997.828218132</v>
      </c>
      <c r="K1191" s="8">
        <f t="shared" ref="K1191:L1191" si="1027">I1191/I939-1</f>
        <v>-7.453562259139912E-2</v>
      </c>
      <c r="L1191" s="8">
        <f t="shared" si="1027"/>
        <v>0.2153181209884012</v>
      </c>
      <c r="M1191" s="8">
        <f t="shared" si="983"/>
        <v>0.28985374357980032</v>
      </c>
    </row>
    <row r="1192" spans="1:13" x14ac:dyDescent="0.3">
      <c r="A1192" s="1">
        <v>45950</v>
      </c>
      <c r="B1192" s="5">
        <v>35997569.477865867</v>
      </c>
      <c r="C1192" s="5">
        <v>38988886.698662646</v>
      </c>
      <c r="D1192" s="5">
        <v>0</v>
      </c>
      <c r="E1192" s="5">
        <f t="shared" si="987"/>
        <v>0</v>
      </c>
      <c r="F1192" s="5">
        <f t="shared" si="987"/>
        <v>0</v>
      </c>
      <c r="G1192" s="9">
        <f t="shared" si="989"/>
        <v>1.3595922709519481E-3</v>
      </c>
      <c r="H1192" s="9">
        <f t="shared" si="989"/>
        <v>9.8810796153931957E-3</v>
      </c>
      <c r="I1192" s="5">
        <f t="shared" si="990"/>
        <v>22040256.72170319</v>
      </c>
      <c r="J1192" s="5">
        <f t="shared" si="991"/>
        <v>23506999.696966089</v>
      </c>
      <c r="K1192" s="8">
        <f t="shared" ref="K1192:L1192" si="1028">I1192/I940-1</f>
        <v>-7.5819961399406721E-2</v>
      </c>
      <c r="L1192" s="8">
        <f t="shared" si="1028"/>
        <v>0.22754266377862842</v>
      </c>
      <c r="M1192" s="8">
        <f t="shared" si="983"/>
        <v>0.30336262517803514</v>
      </c>
    </row>
    <row r="1193" spans="1:13" x14ac:dyDescent="0.3">
      <c r="A1193" s="1">
        <v>45951</v>
      </c>
      <c r="B1193" s="5">
        <v>36033491.466757059</v>
      </c>
      <c r="C1193" s="5">
        <v>39012469.882525645</v>
      </c>
      <c r="D1193" s="5">
        <v>0</v>
      </c>
      <c r="E1193" s="5">
        <f t="shared" si="987"/>
        <v>0</v>
      </c>
      <c r="F1193" s="5">
        <f t="shared" si="987"/>
        <v>0</v>
      </c>
      <c r="G1193" s="9">
        <f t="shared" si="989"/>
        <v>9.9790039750535797E-4</v>
      </c>
      <c r="H1193" s="9">
        <f t="shared" si="989"/>
        <v>6.0486938355719388E-4</v>
      </c>
      <c r="I1193" s="5">
        <f t="shared" si="990"/>
        <v>22062250.7026469</v>
      </c>
      <c r="J1193" s="5">
        <f t="shared" si="991"/>
        <v>23521218.361382071</v>
      </c>
      <c r="K1193" s="8">
        <f t="shared" ref="K1193:L1193" si="1029">I1193/I941-1</f>
        <v>-7.2921968872261544E-2</v>
      </c>
      <c r="L1193" s="8">
        <f t="shared" si="1029"/>
        <v>0.2229849902909411</v>
      </c>
      <c r="M1193" s="8">
        <f t="shared" si="983"/>
        <v>0.29590695916320264</v>
      </c>
    </row>
    <row r="1194" spans="1:13" x14ac:dyDescent="0.3">
      <c r="A1194" s="1">
        <v>45953</v>
      </c>
      <c r="B1194" s="5">
        <v>35991710.041888937</v>
      </c>
      <c r="C1194" s="5">
        <v>38978290.563560233</v>
      </c>
      <c r="D1194" s="5">
        <v>0</v>
      </c>
      <c r="E1194" s="5">
        <f t="shared" si="987"/>
        <v>0</v>
      </c>
      <c r="F1194" s="5">
        <f t="shared" si="987"/>
        <v>0</v>
      </c>
      <c r="G1194" s="9">
        <f t="shared" si="989"/>
        <v>-1.1595164156287252E-3</v>
      </c>
      <c r="H1194" s="9">
        <f t="shared" si="989"/>
        <v>-8.7611266521536724E-4</v>
      </c>
      <c r="I1194" s="5">
        <f t="shared" si="990"/>
        <v>22036669.160791464</v>
      </c>
      <c r="J1194" s="5">
        <f t="shared" si="991"/>
        <v>23500611.12407437</v>
      </c>
      <c r="K1194" s="8">
        <f t="shared" ref="K1194:L1194" si="1030">I1194/I942-1</f>
        <v>-5.2839075659155021E-2</v>
      </c>
      <c r="L1194" s="8">
        <f t="shared" si="1030"/>
        <v>0.22167408483386941</v>
      </c>
      <c r="M1194" s="8">
        <f t="shared" si="983"/>
        <v>0.27451316049302443</v>
      </c>
    </row>
    <row r="1195" spans="1:13" x14ac:dyDescent="0.3">
      <c r="A1195" s="1">
        <v>45954</v>
      </c>
      <c r="B1195" s="5">
        <v>35957120.235299341</v>
      </c>
      <c r="C1195" s="5">
        <v>39279114.940050319</v>
      </c>
      <c r="D1195" s="5">
        <v>0</v>
      </c>
      <c r="E1195" s="5">
        <f t="shared" si="987"/>
        <v>0</v>
      </c>
      <c r="F1195" s="5">
        <f t="shared" si="987"/>
        <v>0</v>
      </c>
      <c r="G1195" s="9">
        <f t="shared" si="989"/>
        <v>-9.6104926799367441E-4</v>
      </c>
      <c r="H1195" s="9">
        <f t="shared" si="989"/>
        <v>7.7177416490223916E-3</v>
      </c>
      <c r="I1195" s="5">
        <f t="shared" si="990"/>
        <v>22015490.836025465</v>
      </c>
      <c r="J1195" s="5">
        <f t="shared" si="991"/>
        <v>23681982.769324116</v>
      </c>
      <c r="K1195" s="8">
        <f t="shared" ref="K1195:L1195" si="1031">I1195/I943-1</f>
        <v>-5.7327399888259634E-2</v>
      </c>
      <c r="L1195" s="8">
        <f t="shared" si="1031"/>
        <v>0.22630893093722459</v>
      </c>
      <c r="M1195" s="8">
        <f t="shared" si="983"/>
        <v>0.28363633082548423</v>
      </c>
    </row>
    <row r="1196" spans="1:13" x14ac:dyDescent="0.3">
      <c r="A1196" s="1">
        <v>45957</v>
      </c>
      <c r="B1196" s="5">
        <v>36098912.809540696</v>
      </c>
      <c r="C1196" s="5">
        <v>39947683.151744187</v>
      </c>
      <c r="D1196" s="5">
        <v>0</v>
      </c>
      <c r="E1196" s="5">
        <f t="shared" si="987"/>
        <v>0</v>
      </c>
      <c r="F1196" s="5">
        <f t="shared" si="987"/>
        <v>0</v>
      </c>
      <c r="G1196" s="9">
        <f t="shared" si="989"/>
        <v>3.9433795952923401E-3</v>
      </c>
      <c r="H1196" s="9">
        <f t="shared" si="989"/>
        <v>1.7020959171668348E-2</v>
      </c>
      <c r="I1196" s="5">
        <f t="shared" si="990"/>
        <v>22102306.273368593</v>
      </c>
      <c r="J1196" s="5">
        <f t="shared" si="991"/>
        <v>24085072.831144936</v>
      </c>
      <c r="K1196" s="8">
        <f t="shared" ref="K1196:L1196" si="1032">I1196/I944-1</f>
        <v>-4.0660559352413861E-2</v>
      </c>
      <c r="L1196" s="8">
        <f t="shared" si="1032"/>
        <v>0.24881665300274536</v>
      </c>
      <c r="M1196" s="8">
        <f t="shared" si="983"/>
        <v>0.28947721235515922</v>
      </c>
    </row>
    <row r="1197" spans="1:13" x14ac:dyDescent="0.3">
      <c r="A1197" s="1">
        <v>45958</v>
      </c>
      <c r="B1197" s="5">
        <v>35915353.251431793</v>
      </c>
      <c r="C1197" s="5">
        <v>40025648.19220525</v>
      </c>
      <c r="D1197" s="5">
        <v>0</v>
      </c>
      <c r="E1197" s="5">
        <f t="shared" si="987"/>
        <v>0</v>
      </c>
      <c r="F1197" s="5">
        <f t="shared" si="987"/>
        <v>0</v>
      </c>
      <c r="G1197" s="9">
        <f t="shared" si="989"/>
        <v>-5.0849054396006066E-3</v>
      </c>
      <c r="H1197" s="9">
        <f t="shared" si="989"/>
        <v>1.9516786534254926E-3</v>
      </c>
      <c r="I1197" s="5">
        <f t="shared" si="990"/>
        <v>21989918.135971423</v>
      </c>
      <c r="J1197" s="5">
        <f t="shared" si="991"/>
        <v>24132079.153655682</v>
      </c>
      <c r="K1197" s="8">
        <f t="shared" ref="K1197:L1197" si="1033">I1197/I945-1</f>
        <v>-1.701325903808526E-2</v>
      </c>
      <c r="L1197" s="8">
        <f t="shared" si="1033"/>
        <v>0.25199180457594816</v>
      </c>
      <c r="M1197" s="8">
        <f t="shared" si="983"/>
        <v>0.26900506361403342</v>
      </c>
    </row>
    <row r="1198" spans="1:13" x14ac:dyDescent="0.3">
      <c r="A1198" s="1">
        <v>45959</v>
      </c>
      <c r="B1198" s="5">
        <v>36423654.809617326</v>
      </c>
      <c r="C1198" s="5">
        <v>40019618.363769092</v>
      </c>
      <c r="D1198" s="5">
        <v>0</v>
      </c>
      <c r="E1198" s="5">
        <f t="shared" si="987"/>
        <v>0</v>
      </c>
      <c r="F1198" s="5">
        <f t="shared" si="987"/>
        <v>0</v>
      </c>
      <c r="G1198" s="9">
        <f t="shared" si="989"/>
        <v>1.4152765103744747E-2</v>
      </c>
      <c r="H1198" s="9">
        <f t="shared" si="989"/>
        <v>-1.5064911396822644E-4</v>
      </c>
      <c r="I1198" s="5">
        <f t="shared" si="990"/>
        <v>22301136.282000404</v>
      </c>
      <c r="J1198" s="5">
        <f t="shared" si="991"/>
        <v>24128443.677312974</v>
      </c>
      <c r="K1198" s="8">
        <f t="shared" ref="K1198:L1198" si="1034">I1198/I946-1</f>
        <v>7.5148441979022707E-4</v>
      </c>
      <c r="L1198" s="8">
        <f t="shared" si="1034"/>
        <v>0.26339441715400769</v>
      </c>
      <c r="M1198" s="8">
        <f t="shared" si="983"/>
        <v>0.26264293273421746</v>
      </c>
    </row>
    <row r="1199" spans="1:13" x14ac:dyDescent="0.3">
      <c r="A1199" s="1">
        <v>45960</v>
      </c>
      <c r="B1199" s="5">
        <v>36342806.867986239</v>
      </c>
      <c r="C1199" s="5">
        <v>39821136.313171938</v>
      </c>
      <c r="D1199" s="5">
        <v>0</v>
      </c>
      <c r="E1199" s="5">
        <f t="shared" si="987"/>
        <v>0</v>
      </c>
      <c r="F1199" s="5">
        <f t="shared" si="987"/>
        <v>0</v>
      </c>
      <c r="G1199" s="9">
        <f t="shared" si="989"/>
        <v>-2.2196548384194603E-3</v>
      </c>
      <c r="H1199" s="9">
        <f t="shared" si="989"/>
        <v>-4.9596187747968923E-3</v>
      </c>
      <c r="I1199" s="5">
        <f t="shared" si="990"/>
        <v>22251635.456949811</v>
      </c>
      <c r="J1199" s="5">
        <f t="shared" si="991"/>
        <v>24008775.795044344</v>
      </c>
      <c r="K1199" s="8">
        <f t="shared" ref="K1199:L1199" si="1035">I1199/I947-1</f>
        <v>-6.4578146854510354E-4</v>
      </c>
      <c r="L1199" s="8">
        <f t="shared" si="1035"/>
        <v>0.25458677329425061</v>
      </c>
      <c r="M1199" s="8">
        <f t="shared" si="983"/>
        <v>0.25523255476279572</v>
      </c>
    </row>
    <row r="1200" spans="1:13" x14ac:dyDescent="0.3">
      <c r="A1200" s="1">
        <v>45961</v>
      </c>
      <c r="B1200" s="5">
        <v>36209137.356559478</v>
      </c>
      <c r="C1200" s="5">
        <v>39977835.559389368</v>
      </c>
      <c r="D1200" s="5">
        <v>0</v>
      </c>
      <c r="E1200" s="5">
        <f t="shared" si="987"/>
        <v>0</v>
      </c>
      <c r="F1200" s="5">
        <f t="shared" si="987"/>
        <v>0</v>
      </c>
      <c r="G1200" s="9">
        <f t="shared" si="989"/>
        <v>-3.678018374098313E-3</v>
      </c>
      <c r="H1200" s="9">
        <f t="shared" si="989"/>
        <v>3.9350772159054692E-3</v>
      </c>
      <c r="I1200" s="5">
        <f t="shared" si="990"/>
        <v>22169793.532885414</v>
      </c>
      <c r="J1200" s="5">
        <f t="shared" si="991"/>
        <v>24103252.181657206</v>
      </c>
      <c r="K1200" s="8">
        <f t="shared" ref="K1200:L1200" si="1036">I1200/I948-1</f>
        <v>1.1427541081937331E-2</v>
      </c>
      <c r="L1200" s="8">
        <f t="shared" si="1036"/>
        <v>0.25974122457623716</v>
      </c>
      <c r="M1200" s="8">
        <f t="shared" si="983"/>
        <v>0.24831368349429983</v>
      </c>
    </row>
    <row r="1201" spans="1:13" x14ac:dyDescent="0.3">
      <c r="A1201" s="1">
        <v>45964</v>
      </c>
      <c r="B1201" s="5">
        <v>36552306.073349744</v>
      </c>
      <c r="C1201" s="5">
        <v>40062640.263456635</v>
      </c>
      <c r="D1201" s="5">
        <v>0</v>
      </c>
      <c r="E1201" s="5">
        <f t="shared" si="987"/>
        <v>0</v>
      </c>
      <c r="F1201" s="5">
        <f t="shared" si="987"/>
        <v>0</v>
      </c>
      <c r="G1201" s="9">
        <f t="shared" si="989"/>
        <v>9.4774065841725097E-3</v>
      </c>
      <c r="H1201" s="9">
        <f t="shared" si="989"/>
        <v>2.1212930335181568E-3</v>
      </c>
      <c r="I1201" s="5">
        <f t="shared" si="990"/>
        <v>22379905.680083726</v>
      </c>
      <c r="J1201" s="5">
        <f t="shared" si="991"/>
        <v>24154382.242595285</v>
      </c>
      <c r="K1201" s="8">
        <f t="shared" ref="K1201:L1201" si="1037">I1201/I949-1</f>
        <v>1.6363460232481808E-2</v>
      </c>
      <c r="L1201" s="8">
        <f t="shared" si="1037"/>
        <v>0.25920907088625622</v>
      </c>
      <c r="M1201" s="8">
        <f t="shared" si="983"/>
        <v>0.24284561065377441</v>
      </c>
    </row>
    <row r="1202" spans="1:13" x14ac:dyDescent="0.3">
      <c r="A1202" s="1">
        <v>45965</v>
      </c>
      <c r="B1202" s="5">
        <v>36389913.411810592</v>
      </c>
      <c r="C1202" s="5">
        <v>39543801.312658593</v>
      </c>
      <c r="D1202" s="5">
        <v>0</v>
      </c>
      <c r="E1202" s="5">
        <f t="shared" si="987"/>
        <v>0</v>
      </c>
      <c r="F1202" s="5">
        <f t="shared" si="987"/>
        <v>0</v>
      </c>
      <c r="G1202" s="9">
        <f t="shared" si="989"/>
        <v>-4.4427473662886907E-3</v>
      </c>
      <c r="H1202" s="9">
        <f t="shared" si="989"/>
        <v>-1.2950692899571625E-2</v>
      </c>
      <c r="I1202" s="5">
        <f t="shared" si="990"/>
        <v>22280477.413065743</v>
      </c>
      <c r="J1202" s="5">
        <f t="shared" si="991"/>
        <v>23841566.255992569</v>
      </c>
      <c r="K1202" s="8">
        <f t="shared" ref="K1202:L1202" si="1038">I1202/I950-1</f>
        <v>4.5631655488462819E-3</v>
      </c>
      <c r="L1202" s="8">
        <f t="shared" si="1038"/>
        <v>0.24104633297379219</v>
      </c>
      <c r="M1202" s="8">
        <f t="shared" si="983"/>
        <v>0.23648316742494591</v>
      </c>
    </row>
    <row r="1203" spans="1:13" x14ac:dyDescent="0.3">
      <c r="A1203" s="1">
        <v>45967</v>
      </c>
      <c r="B1203" s="5">
        <v>35939105.087101661</v>
      </c>
      <c r="C1203" s="5">
        <v>39236266.703696527</v>
      </c>
      <c r="D1203" s="5">
        <v>0</v>
      </c>
      <c r="E1203" s="5">
        <f t="shared" si="987"/>
        <v>0</v>
      </c>
      <c r="F1203" s="5">
        <f t="shared" si="987"/>
        <v>0</v>
      </c>
      <c r="G1203" s="9">
        <f t="shared" si="989"/>
        <v>-1.2388276927381203E-2</v>
      </c>
      <c r="H1203" s="9">
        <f t="shared" si="989"/>
        <v>-7.777062365109999E-3</v>
      </c>
      <c r="I1203" s="5">
        <f t="shared" si="990"/>
        <v>22004460.688798424</v>
      </c>
      <c r="J1203" s="5">
        <f t="shared" si="991"/>
        <v>23656148.908337813</v>
      </c>
      <c r="K1203" s="8">
        <f t="shared" ref="K1203:L1203" si="1039">I1203/I951-1</f>
        <v>-4.0694650358271689E-3</v>
      </c>
      <c r="L1203" s="8">
        <f t="shared" si="1039"/>
        <v>0.23502335663514895</v>
      </c>
      <c r="M1203" s="8">
        <f t="shared" si="983"/>
        <v>0.23909282167097612</v>
      </c>
    </row>
    <row r="1204" spans="1:13" x14ac:dyDescent="0.3">
      <c r="A1204" s="1">
        <v>45968</v>
      </c>
      <c r="B1204" s="5">
        <v>35976778.047310658</v>
      </c>
      <c r="C1204" s="5">
        <v>39303117.290797532</v>
      </c>
      <c r="D1204" s="5">
        <v>0</v>
      </c>
      <c r="E1204" s="5">
        <f t="shared" si="987"/>
        <v>0</v>
      </c>
      <c r="F1204" s="5">
        <f t="shared" si="987"/>
        <v>0</v>
      </c>
      <c r="G1204" s="9">
        <f t="shared" si="989"/>
        <v>1.0482442486448029E-3</v>
      </c>
      <c r="H1204" s="9">
        <f t="shared" si="989"/>
        <v>1.7037958174217493E-3</v>
      </c>
      <c r="I1204" s="5">
        <f t="shared" si="990"/>
        <v>22027526.738159988</v>
      </c>
      <c r="J1204" s="5">
        <f t="shared" si="991"/>
        <v>23696454.155904144</v>
      </c>
      <c r="K1204" s="8">
        <f t="shared" ref="K1204:L1204" si="1040">I1204/I952-1</f>
        <v>1.9585354349713757E-3</v>
      </c>
      <c r="L1204" s="8">
        <f t="shared" si="1040"/>
        <v>0.2606452217259827</v>
      </c>
      <c r="M1204" s="8">
        <f t="shared" si="983"/>
        <v>0.25868668629101133</v>
      </c>
    </row>
    <row r="1205" spans="1:13" x14ac:dyDescent="0.3">
      <c r="A1205" s="1">
        <v>45971</v>
      </c>
      <c r="B1205" s="5">
        <v>36113198.569343969</v>
      </c>
      <c r="C1205" s="5">
        <v>39922451.205221944</v>
      </c>
      <c r="D1205" s="5">
        <v>0</v>
      </c>
      <c r="E1205" s="5">
        <f t="shared" si="987"/>
        <v>0</v>
      </c>
      <c r="F1205" s="5">
        <f t="shared" si="987"/>
        <v>0</v>
      </c>
      <c r="G1205" s="9">
        <f t="shared" si="989"/>
        <v>3.7919049297274743E-3</v>
      </c>
      <c r="H1205" s="9">
        <f t="shared" si="989"/>
        <v>1.5757882761361142E-2</v>
      </c>
      <c r="I1205" s="5">
        <f t="shared" si="990"/>
        <v>22111053.025388122</v>
      </c>
      <c r="J1205" s="5">
        <f t="shared" si="991"/>
        <v>24069860.10235285</v>
      </c>
      <c r="K1205" s="8">
        <f t="shared" ref="K1205:L1205" si="1041">I1205/I953-1</f>
        <v>-1.2279260620378096E-3</v>
      </c>
      <c r="L1205" s="8">
        <f t="shared" si="1041"/>
        <v>0.27569265599911374</v>
      </c>
      <c r="M1205" s="8">
        <f t="shared" si="983"/>
        <v>0.27692058206115155</v>
      </c>
    </row>
    <row r="1206" spans="1:13" x14ac:dyDescent="0.3">
      <c r="A1206" s="1">
        <v>45972</v>
      </c>
      <c r="B1206" s="5">
        <v>36162947.816270657</v>
      </c>
      <c r="C1206" s="5">
        <v>39950220.71443975</v>
      </c>
      <c r="D1206" s="5">
        <v>0</v>
      </c>
      <c r="E1206" s="5">
        <f t="shared" si="987"/>
        <v>0</v>
      </c>
      <c r="F1206" s="5">
        <f t="shared" si="987"/>
        <v>0</v>
      </c>
      <c r="G1206" s="9">
        <f t="shared" si="989"/>
        <v>1.3775918195437775E-3</v>
      </c>
      <c r="H1206" s="9">
        <f t="shared" si="989"/>
        <v>6.9558627738208756E-4</v>
      </c>
      <c r="I1206" s="5">
        <f t="shared" si="990"/>
        <v>22141513.031157397</v>
      </c>
      <c r="J1206" s="5">
        <f t="shared" si="991"/>
        <v>24086602.766738553</v>
      </c>
      <c r="K1206" s="8">
        <f t="shared" ref="K1206:L1206" si="1042">I1206/I954-1</f>
        <v>1.4303699655519697E-2</v>
      </c>
      <c r="L1206" s="8">
        <f t="shared" si="1042"/>
        <v>0.2789001285307342</v>
      </c>
      <c r="M1206" s="8">
        <f t="shared" si="983"/>
        <v>0.26459642887521451</v>
      </c>
    </row>
    <row r="1207" spans="1:13" x14ac:dyDescent="0.3">
      <c r="A1207" s="1">
        <v>45973</v>
      </c>
      <c r="B1207" s="5">
        <v>36205902.572434217</v>
      </c>
      <c r="C1207" s="5">
        <v>39977989.926797152</v>
      </c>
      <c r="D1207" s="5">
        <v>0</v>
      </c>
      <c r="E1207" s="5">
        <f t="shared" si="987"/>
        <v>0</v>
      </c>
      <c r="F1207" s="5">
        <f t="shared" si="987"/>
        <v>0</v>
      </c>
      <c r="G1207" s="9">
        <f t="shared" si="989"/>
        <v>1.1878112476282343E-3</v>
      </c>
      <c r="H1207" s="9">
        <f t="shared" si="989"/>
        <v>6.9509534267386819E-4</v>
      </c>
      <c r="I1207" s="5">
        <f t="shared" si="990"/>
        <v>22167812.969375312</v>
      </c>
      <c r="J1207" s="5">
        <f t="shared" si="991"/>
        <v>24103345.252142549</v>
      </c>
      <c r="K1207" s="8">
        <f t="shared" ref="K1207:L1207" si="1043">I1207/I955-1</f>
        <v>9.9914073634816969E-3</v>
      </c>
      <c r="L1207" s="8">
        <f t="shared" si="1043"/>
        <v>0.26441842550134087</v>
      </c>
      <c r="M1207" s="8">
        <f t="shared" si="983"/>
        <v>0.25442701813785917</v>
      </c>
    </row>
    <row r="1208" spans="1:13" x14ac:dyDescent="0.3">
      <c r="A1208" s="1">
        <v>45974</v>
      </c>
      <c r="B1208" s="5">
        <v>36228567.722811997</v>
      </c>
      <c r="C1208" s="5">
        <v>39352787.972854339</v>
      </c>
      <c r="D1208" s="5">
        <v>0</v>
      </c>
      <c r="E1208" s="5">
        <f t="shared" si="987"/>
        <v>0</v>
      </c>
      <c r="F1208" s="5">
        <f t="shared" si="987"/>
        <v>0</v>
      </c>
      <c r="G1208" s="9">
        <f t="shared" si="989"/>
        <v>6.2600705319892924E-4</v>
      </c>
      <c r="H1208" s="9">
        <f t="shared" si="989"/>
        <v>-1.563865404657927E-2</v>
      </c>
      <c r="I1208" s="5">
        <f t="shared" si="990"/>
        <v>22181690.176648136</v>
      </c>
      <c r="J1208" s="5">
        <f t="shared" si="991"/>
        <v>23726401.374379031</v>
      </c>
      <c r="K1208" s="8">
        <f t="shared" ref="K1208:L1208" si="1044">I1208/I956-1</f>
        <v>-1.191841796966242E-2</v>
      </c>
      <c r="L1208" s="8">
        <f t="shared" si="1044"/>
        <v>0.21090820993819115</v>
      </c>
      <c r="M1208" s="8">
        <f t="shared" si="983"/>
        <v>0.22282662790785357</v>
      </c>
    </row>
    <row r="1209" spans="1:13" x14ac:dyDescent="0.3">
      <c r="A1209" s="1">
        <v>45975</v>
      </c>
      <c r="B1209" s="5">
        <v>36194963.514510572</v>
      </c>
      <c r="C1209" s="5">
        <v>39376837.52440507</v>
      </c>
      <c r="D1209" s="5">
        <v>0</v>
      </c>
      <c r="E1209" s="5">
        <f t="shared" si="987"/>
        <v>0</v>
      </c>
      <c r="F1209" s="5">
        <f t="shared" si="987"/>
        <v>0</v>
      </c>
      <c r="G1209" s="9">
        <f t="shared" si="989"/>
        <v>-9.2756104957103513E-4</v>
      </c>
      <c r="H1209" s="9">
        <f t="shared" si="989"/>
        <v>6.1112700750243221E-4</v>
      </c>
      <c r="I1209" s="5">
        <f t="shared" si="990"/>
        <v>22161115.304826625</v>
      </c>
      <c r="J1209" s="5">
        <f t="shared" si="991"/>
        <v>23740901.219049755</v>
      </c>
      <c r="K1209" s="8">
        <f t="shared" ref="K1209:L1209" si="1045">I1209/I957-1</f>
        <v>-2.3554916659728198E-3</v>
      </c>
      <c r="L1209" s="8">
        <f t="shared" si="1045"/>
        <v>0.20182704780638727</v>
      </c>
      <c r="M1209" s="8">
        <f t="shared" si="983"/>
        <v>0.20418253947236009</v>
      </c>
    </row>
    <row r="1210" spans="1:13" x14ac:dyDescent="0.3">
      <c r="A1210" s="1">
        <v>45978</v>
      </c>
      <c r="B1210" s="5">
        <v>36385440.311887369</v>
      </c>
      <c r="C1210" s="5">
        <v>38949531.024909854</v>
      </c>
      <c r="D1210" s="5">
        <v>0</v>
      </c>
      <c r="E1210" s="5">
        <f t="shared" si="987"/>
        <v>0</v>
      </c>
      <c r="F1210" s="5">
        <f t="shared" si="987"/>
        <v>0</v>
      </c>
      <c r="G1210" s="9">
        <f t="shared" si="989"/>
        <v>5.2625221545101741E-3</v>
      </c>
      <c r="H1210" s="9">
        <f t="shared" si="989"/>
        <v>-1.0851722138182862E-2</v>
      </c>
      <c r="I1210" s="5">
        <f t="shared" si="990"/>
        <v>22277738.665086929</v>
      </c>
      <c r="J1210" s="5">
        <f t="shared" si="991"/>
        <v>23483271.55571058</v>
      </c>
      <c r="K1210" s="8">
        <f t="shared" ref="K1210:L1210" si="1046">I1210/I958-1</f>
        <v>1.4977159826228714E-2</v>
      </c>
      <c r="L1210" s="8">
        <f t="shared" si="1046"/>
        <v>0.18450495571424952</v>
      </c>
      <c r="M1210" s="8">
        <f t="shared" si="983"/>
        <v>0.1695277958880208</v>
      </c>
    </row>
    <row r="1211" spans="1:13" x14ac:dyDescent="0.3">
      <c r="A1211" s="1">
        <v>45979</v>
      </c>
      <c r="B1211" s="5">
        <v>36120621.243631437</v>
      </c>
      <c r="C1211" s="5">
        <v>38639520.897075735</v>
      </c>
      <c r="D1211" s="5">
        <v>0</v>
      </c>
      <c r="E1211" s="5">
        <f t="shared" si="987"/>
        <v>0</v>
      </c>
      <c r="F1211" s="5">
        <f t="shared" si="987"/>
        <v>0</v>
      </c>
      <c r="G1211" s="9">
        <f t="shared" si="989"/>
        <v>-7.2781603296803166E-3</v>
      </c>
      <c r="H1211" s="9">
        <f t="shared" si="989"/>
        <v>-7.9592775490892054E-3</v>
      </c>
      <c r="I1211" s="5">
        <f t="shared" si="990"/>
        <v>22115597.711299706</v>
      </c>
      <c r="J1211" s="5">
        <f t="shared" si="991"/>
        <v>23296361.679638047</v>
      </c>
      <c r="K1211" s="8">
        <f t="shared" ref="K1211:L1211" si="1047">I1211/I959-1</f>
        <v>4.7159802359022507E-3</v>
      </c>
      <c r="L1211" s="8">
        <f t="shared" si="1047"/>
        <v>0.17589651751785707</v>
      </c>
      <c r="M1211" s="8">
        <f t="shared" si="983"/>
        <v>0.17118053728195481</v>
      </c>
    </row>
    <row r="1212" spans="1:13" x14ac:dyDescent="0.3">
      <c r="A1212" s="1">
        <v>45980</v>
      </c>
      <c r="B1212" s="5">
        <v>36116649.968477637</v>
      </c>
      <c r="C1212" s="5">
        <v>38777082.740774184</v>
      </c>
      <c r="D1212" s="5">
        <v>0</v>
      </c>
      <c r="E1212" s="5">
        <f t="shared" si="987"/>
        <v>0</v>
      </c>
      <c r="F1212" s="5">
        <f t="shared" si="987"/>
        <v>0</v>
      </c>
      <c r="G1212" s="9">
        <f t="shared" si="989"/>
        <v>-1.0994481869552875E-4</v>
      </c>
      <c r="H1212" s="9">
        <f t="shared" si="989"/>
        <v>3.5601332652357431E-3</v>
      </c>
      <c r="I1212" s="5">
        <f t="shared" si="990"/>
        <v>22113166.215918995</v>
      </c>
      <c r="J1212" s="5">
        <f t="shared" si="991"/>
        <v>23379299.831812691</v>
      </c>
      <c r="K1212" s="8">
        <f t="shared" ref="K1212:L1212" si="1048">I1212/I960-1</f>
        <v>2.6966612330616924E-2</v>
      </c>
      <c r="L1212" s="8">
        <f t="shared" si="1048"/>
        <v>0.18090629591445118</v>
      </c>
      <c r="M1212" s="8">
        <f t="shared" si="983"/>
        <v>0.15393968358383425</v>
      </c>
    </row>
    <row r="1213" spans="1:13" x14ac:dyDescent="0.3">
      <c r="A1213" s="1">
        <v>45981</v>
      </c>
      <c r="B1213" s="5">
        <v>36081327.281109661</v>
      </c>
      <c r="C1213" s="5">
        <v>38226288.549124338</v>
      </c>
      <c r="D1213" s="5">
        <v>0</v>
      </c>
      <c r="E1213" s="5">
        <f t="shared" si="987"/>
        <v>0</v>
      </c>
      <c r="F1213" s="5">
        <f t="shared" si="987"/>
        <v>0</v>
      </c>
      <c r="G1213" s="9">
        <f t="shared" si="989"/>
        <v>-9.7801671524921918E-4</v>
      </c>
      <c r="H1213" s="9">
        <f t="shared" si="989"/>
        <v>-1.4204116264545208E-2</v>
      </c>
      <c r="I1213" s="5">
        <f t="shared" si="990"/>
        <v>22091539.169732742</v>
      </c>
      <c r="J1213" s="5">
        <f t="shared" si="991"/>
        <v>23047217.538817961</v>
      </c>
      <c r="K1213" s="8">
        <f t="shared" ref="K1213:L1213" si="1049">I1213/I961-1</f>
        <v>4.6564802681112294E-2</v>
      </c>
      <c r="L1213" s="8">
        <f t="shared" si="1049"/>
        <v>0.16367327508256979</v>
      </c>
      <c r="M1213" s="8">
        <f t="shared" si="983"/>
        <v>0.1171084724014575</v>
      </c>
    </row>
    <row r="1214" spans="1:13" x14ac:dyDescent="0.3">
      <c r="A1214" s="1">
        <v>45982</v>
      </c>
      <c r="B1214" s="5">
        <v>35616713.35986606</v>
      </c>
      <c r="C1214" s="5">
        <v>38974694.099819385</v>
      </c>
      <c r="D1214" s="5">
        <v>0</v>
      </c>
      <c r="E1214" s="5">
        <f t="shared" si="987"/>
        <v>0</v>
      </c>
      <c r="F1214" s="5">
        <f t="shared" si="987"/>
        <v>0</v>
      </c>
      <c r="G1214" s="9">
        <f t="shared" si="989"/>
        <v>-1.2876852273858819E-2</v>
      </c>
      <c r="H1214" s="9">
        <f t="shared" si="989"/>
        <v>1.9578294914330385E-2</v>
      </c>
      <c r="I1214" s="5">
        <f t="shared" si="990"/>
        <v>21807069.683341928</v>
      </c>
      <c r="J1214" s="5">
        <f t="shared" si="991"/>
        <v>23498442.760747667</v>
      </c>
      <c r="K1214" s="8">
        <f t="shared" ref="K1214:L1214" si="1050">I1214/I962-1</f>
        <v>2.8310683716227469E-2</v>
      </c>
      <c r="L1214" s="8">
        <f t="shared" si="1050"/>
        <v>0.19311158226835068</v>
      </c>
      <c r="M1214" s="8">
        <f t="shared" si="983"/>
        <v>0.16480089855212321</v>
      </c>
    </row>
    <row r="1215" spans="1:13" x14ac:dyDescent="0.3">
      <c r="A1215" s="1">
        <v>45985</v>
      </c>
      <c r="B1215" s="5">
        <v>35268320.611123487</v>
      </c>
      <c r="C1215" s="5">
        <v>39441028.539186269</v>
      </c>
      <c r="D1215" s="5">
        <v>0</v>
      </c>
      <c r="E1215" s="5">
        <f t="shared" si="987"/>
        <v>0</v>
      </c>
      <c r="F1215" s="5">
        <f t="shared" si="987"/>
        <v>0</v>
      </c>
      <c r="G1215" s="9">
        <f t="shared" si="989"/>
        <v>-9.7817208798145483E-3</v>
      </c>
      <c r="H1215" s="9">
        <f t="shared" si="989"/>
        <v>1.1965057074535101E-2</v>
      </c>
      <c r="I1215" s="5">
        <f t="shared" si="990"/>
        <v>21593759.01449281</v>
      </c>
      <c r="J1215" s="5">
        <f t="shared" si="991"/>
        <v>23779602.969542708</v>
      </c>
      <c r="K1215" s="8">
        <f t="shared" ref="K1215:L1215" si="1051">I1215/I963-1</f>
        <v>1.7296646701746576E-2</v>
      </c>
      <c r="L1215" s="8">
        <f t="shared" si="1051"/>
        <v>0.2191383091805843</v>
      </c>
      <c r="M1215" s="8">
        <f t="shared" ref="M1215:M1241" si="1052">L1215-K1215</f>
        <v>0.20184166247883772</v>
      </c>
    </row>
    <row r="1216" spans="1:13" x14ac:dyDescent="0.3">
      <c r="A1216" s="1">
        <v>45986</v>
      </c>
      <c r="B1216" s="5">
        <v>35359089.520138785</v>
      </c>
      <c r="C1216" s="5">
        <v>39769709.404991232</v>
      </c>
      <c r="D1216" s="5">
        <v>0</v>
      </c>
      <c r="E1216" s="5">
        <f t="shared" si="987"/>
        <v>0</v>
      </c>
      <c r="F1216" s="5">
        <f t="shared" si="987"/>
        <v>0</v>
      </c>
      <c r="G1216" s="9">
        <f t="shared" si="989"/>
        <v>2.5736668897886616E-3</v>
      </c>
      <c r="H1216" s="9">
        <f t="shared" si="989"/>
        <v>8.3334760268334307E-3</v>
      </c>
      <c r="I1216" s="5">
        <f t="shared" si="990"/>
        <v>21649334.157094486</v>
      </c>
      <c r="J1216" s="5">
        <f t="shared" si="991"/>
        <v>23977769.720817011</v>
      </c>
      <c r="K1216" s="8">
        <f t="shared" ref="K1216:L1216" si="1053">I1216/I964-1</f>
        <v>1.5294703532103826E-2</v>
      </c>
      <c r="L1216" s="8">
        <f t="shared" si="1053"/>
        <v>0.22457451731132827</v>
      </c>
      <c r="M1216" s="8">
        <f t="shared" si="1052"/>
        <v>0.20927981377922444</v>
      </c>
    </row>
    <row r="1217" spans="1:13" x14ac:dyDescent="0.3">
      <c r="A1217" s="1">
        <v>45987</v>
      </c>
      <c r="B1217" s="5">
        <v>35894818.14863652</v>
      </c>
      <c r="C1217" s="5">
        <v>40094461.620268226</v>
      </c>
      <c r="D1217" s="5">
        <v>0</v>
      </c>
      <c r="E1217" s="5">
        <f t="shared" si="987"/>
        <v>0</v>
      </c>
      <c r="F1217" s="5">
        <f t="shared" si="987"/>
        <v>0</v>
      </c>
      <c r="G1217" s="9">
        <f t="shared" si="989"/>
        <v>1.5151086630570854E-2</v>
      </c>
      <c r="H1217" s="9">
        <f t="shared" si="989"/>
        <v>8.1658181599948421E-3</v>
      </c>
      <c r="I1217" s="5">
        <f t="shared" si="990"/>
        <v>21977345.094402801</v>
      </c>
      <c r="J1217" s="5">
        <f t="shared" si="991"/>
        <v>24173567.828239433</v>
      </c>
      <c r="K1217" s="8">
        <f t="shared" ref="K1217:L1217" si="1054">I1217/I965-1</f>
        <v>4.6270148974314695E-2</v>
      </c>
      <c r="L1217" s="8">
        <f t="shared" si="1054"/>
        <v>0.22602113515915967</v>
      </c>
      <c r="M1217" s="8">
        <f t="shared" si="1052"/>
        <v>0.17975098618484497</v>
      </c>
    </row>
    <row r="1218" spans="1:13" x14ac:dyDescent="0.3">
      <c r="A1218" s="1">
        <v>45988</v>
      </c>
      <c r="B1218" s="5">
        <v>35832765.16923333</v>
      </c>
      <c r="C1218" s="5">
        <v>40382877.528916493</v>
      </c>
      <c r="D1218" s="5">
        <v>0</v>
      </c>
      <c r="E1218" s="5">
        <f t="shared" si="987"/>
        <v>0</v>
      </c>
      <c r="F1218" s="5">
        <f t="shared" si="987"/>
        <v>0</v>
      </c>
      <c r="G1218" s="9">
        <f t="shared" si="989"/>
        <v>-1.7287447772053044E-3</v>
      </c>
      <c r="H1218" s="9">
        <f t="shared" si="989"/>
        <v>7.1934101866695244E-3</v>
      </c>
      <c r="I1218" s="5">
        <f t="shared" si="990"/>
        <v>21939351.873854015</v>
      </c>
      <c r="J1218" s="5">
        <f t="shared" si="991"/>
        <v>24347458.217303239</v>
      </c>
      <c r="K1218" s="8">
        <f t="shared" ref="K1218:L1218" si="1055">I1218/I966-1</f>
        <v>2.5244670043419459E-2</v>
      </c>
      <c r="L1218" s="8">
        <f t="shared" si="1055"/>
        <v>0.23110331083914759</v>
      </c>
      <c r="M1218" s="8">
        <f t="shared" si="1052"/>
        <v>0.20585864079572813</v>
      </c>
    </row>
    <row r="1219" spans="1:13" x14ac:dyDescent="0.3">
      <c r="A1219" s="1">
        <v>45989</v>
      </c>
      <c r="B1219" s="5">
        <v>35867860.410842501</v>
      </c>
      <c r="C1219" s="5">
        <v>40382877.528916493</v>
      </c>
      <c r="D1219" s="5">
        <v>0</v>
      </c>
      <c r="E1219" s="5">
        <f t="shared" ref="E1219:F1240" si="1056">$D1219*-1</f>
        <v>0</v>
      </c>
      <c r="F1219" s="5">
        <f t="shared" si="1056"/>
        <v>0</v>
      </c>
      <c r="G1219" s="9">
        <f t="shared" si="989"/>
        <v>9.7941762081221739E-4</v>
      </c>
      <c r="H1219" s="9">
        <f t="shared" si="989"/>
        <v>0</v>
      </c>
      <c r="I1219" s="5">
        <f t="shared" si="990"/>
        <v>21960839.661668468</v>
      </c>
      <c r="J1219" s="5">
        <f t="shared" si="991"/>
        <v>24347458.217303239</v>
      </c>
      <c r="K1219" s="8">
        <f t="shared" ref="K1219:L1219" si="1057">I1219/I967-1</f>
        <v>6.3494681039093503E-3</v>
      </c>
      <c r="L1219" s="8">
        <f t="shared" si="1057"/>
        <v>0.23030305770950377</v>
      </c>
      <c r="M1219" s="8">
        <f t="shared" si="1052"/>
        <v>0.22395358960559442</v>
      </c>
    </row>
    <row r="1220" spans="1:13" x14ac:dyDescent="0.3">
      <c r="A1220" s="1">
        <v>45992</v>
      </c>
      <c r="B1220" s="5">
        <v>35910988.459012762</v>
      </c>
      <c r="C1220" s="5">
        <v>40244648.343039788</v>
      </c>
      <c r="D1220" s="5">
        <v>0</v>
      </c>
      <c r="E1220" s="5">
        <f t="shared" si="1056"/>
        <v>0</v>
      </c>
      <c r="F1220" s="5">
        <f t="shared" si="1056"/>
        <v>0</v>
      </c>
      <c r="G1220" s="9">
        <f t="shared" ref="G1220:H1241" si="1058">((B1220-$D1220)/B1219-1)</f>
        <v>1.2024148548661628E-3</v>
      </c>
      <c r="H1220" s="9">
        <f t="shared" si="1058"/>
        <v>-3.4229652351476236E-3</v>
      </c>
      <c r="I1220" s="5">
        <f t="shared" ref="I1220:I1241" si="1059">I1219*(1+G1220)</f>
        <v>21987245.701502994</v>
      </c>
      <c r="J1220" s="5">
        <f t="shared" ref="J1220:J1241" si="1060">J1219*(1+H1220)</f>
        <v>24264117.7142612</v>
      </c>
      <c r="K1220" s="8">
        <f t="shared" ref="K1220:L1220" si="1061">I1220/I968-1</f>
        <v>4.9572196570837335E-3</v>
      </c>
      <c r="L1220" s="8">
        <f t="shared" si="1061"/>
        <v>0.21859833654996663</v>
      </c>
      <c r="M1220" s="8">
        <f t="shared" si="1052"/>
        <v>0.2136411168928829</v>
      </c>
    </row>
    <row r="1221" spans="1:13" x14ac:dyDescent="0.3">
      <c r="A1221" s="1">
        <v>45993</v>
      </c>
      <c r="B1221" s="5">
        <v>35876683.862184212</v>
      </c>
      <c r="C1221" s="5">
        <v>40493335.721273392</v>
      </c>
      <c r="D1221" s="5">
        <v>0</v>
      </c>
      <c r="E1221" s="5">
        <f t="shared" si="1056"/>
        <v>0</v>
      </c>
      <c r="F1221" s="5">
        <f t="shared" si="1056"/>
        <v>0</v>
      </c>
      <c r="G1221" s="9">
        <f t="shared" si="1058"/>
        <v>-9.5526740701401547E-4</v>
      </c>
      <c r="H1221" s="9">
        <f t="shared" si="1058"/>
        <v>6.1793900176199124E-3</v>
      </c>
      <c r="I1221" s="5">
        <f t="shared" si="1059"/>
        <v>21966242.00231434</v>
      </c>
      <c r="J1221" s="5">
        <f t="shared" si="1060"/>
        <v>24414055.161051061</v>
      </c>
      <c r="K1221" s="8">
        <f t="shared" ref="K1221:L1221" si="1062">I1221/I969-1</f>
        <v>-5.4886289886364459E-3</v>
      </c>
      <c r="L1221" s="8">
        <f t="shared" si="1062"/>
        <v>0.22869175898002347</v>
      </c>
      <c r="M1221" s="8">
        <f t="shared" si="1052"/>
        <v>0.23418038796865992</v>
      </c>
    </row>
    <row r="1222" spans="1:13" x14ac:dyDescent="0.3">
      <c r="A1222" s="1">
        <v>45994</v>
      </c>
      <c r="B1222" s="5">
        <v>35485719.043792903</v>
      </c>
      <c r="C1222" s="5">
        <v>40719239.657560445</v>
      </c>
      <c r="D1222" s="5">
        <v>0</v>
      </c>
      <c r="E1222" s="5">
        <f t="shared" si="1056"/>
        <v>0</v>
      </c>
      <c r="F1222" s="5">
        <f t="shared" si="1056"/>
        <v>0</v>
      </c>
      <c r="G1222" s="9">
        <f t="shared" si="1058"/>
        <v>-1.0897462538431713E-2</v>
      </c>
      <c r="H1222" s="9">
        <f t="shared" si="1058"/>
        <v>5.5787929609456555E-3</v>
      </c>
      <c r="I1222" s="5">
        <f t="shared" si="1059"/>
        <v>21726865.702983994</v>
      </c>
      <c r="J1222" s="5">
        <f t="shared" si="1060"/>
        <v>24550256.120131671</v>
      </c>
      <c r="K1222" s="8">
        <f t="shared" ref="K1222:L1222" si="1063">I1222/I970-1</f>
        <v>-1.7290765481096759E-2</v>
      </c>
      <c r="L1222" s="8">
        <f t="shared" si="1063"/>
        <v>0.22751799100351722</v>
      </c>
      <c r="M1222" s="8">
        <f t="shared" si="1052"/>
        <v>0.24480875648461398</v>
      </c>
    </row>
    <row r="1223" spans="1:13" x14ac:dyDescent="0.3">
      <c r="A1223" s="1">
        <v>45995</v>
      </c>
      <c r="B1223" s="5">
        <v>35568693.422756337</v>
      </c>
      <c r="C1223" s="5">
        <v>40684596.642650895</v>
      </c>
      <c r="D1223" s="5">
        <v>0</v>
      </c>
      <c r="E1223" s="5">
        <f t="shared" si="1056"/>
        <v>0</v>
      </c>
      <c r="F1223" s="5">
        <f t="shared" si="1056"/>
        <v>0</v>
      </c>
      <c r="G1223" s="9">
        <f t="shared" si="1058"/>
        <v>2.3382470807773448E-3</v>
      </c>
      <c r="H1223" s="9">
        <f t="shared" si="1058"/>
        <v>-8.5077754891527135E-4</v>
      </c>
      <c r="I1223" s="5">
        <f t="shared" si="1059"/>
        <v>21777668.483288437</v>
      </c>
      <c r="J1223" s="5">
        <f t="shared" si="1060"/>
        <v>24529369.313404545</v>
      </c>
      <c r="K1223" s="8">
        <f t="shared" ref="K1223:L1223" si="1064">I1223/I971-1</f>
        <v>-2.1574801085191275E-2</v>
      </c>
      <c r="L1223" s="8">
        <f t="shared" si="1064"/>
        <v>0.22647364625588184</v>
      </c>
      <c r="M1223" s="8">
        <f t="shared" si="1052"/>
        <v>0.24804844734107312</v>
      </c>
    </row>
    <row r="1224" spans="1:13" x14ac:dyDescent="0.3">
      <c r="A1224" s="1">
        <v>45996</v>
      </c>
      <c r="B1224" s="5">
        <v>35646014.150000811</v>
      </c>
      <c r="C1224" s="5">
        <v>40769609.742718659</v>
      </c>
      <c r="D1224" s="5">
        <v>0</v>
      </c>
      <c r="E1224" s="5">
        <f t="shared" si="1056"/>
        <v>0</v>
      </c>
      <c r="F1224" s="5">
        <f t="shared" si="1056"/>
        <v>0</v>
      </c>
      <c r="G1224" s="9">
        <f t="shared" si="1058"/>
        <v>2.1738422135857416E-3</v>
      </c>
      <c r="H1224" s="9">
        <f t="shared" si="1058"/>
        <v>2.0895647759389124E-3</v>
      </c>
      <c r="I1224" s="5">
        <f t="shared" si="1059"/>
        <v>21825009.698350884</v>
      </c>
      <c r="J1224" s="5">
        <f t="shared" si="1060"/>
        <v>24580625.01949783</v>
      </c>
      <c r="K1224" s="8">
        <f t="shared" ref="K1224:L1224" si="1065">I1224/I972-1</f>
        <v>-2.5475760659398716E-2</v>
      </c>
      <c r="L1224" s="8">
        <f t="shared" si="1065"/>
        <v>0.22212866789081165</v>
      </c>
      <c r="M1224" s="8">
        <f t="shared" si="1052"/>
        <v>0.24760442855021036</v>
      </c>
    </row>
    <row r="1225" spans="1:13" x14ac:dyDescent="0.3">
      <c r="A1225" s="1">
        <v>45999</v>
      </c>
      <c r="B1225" s="5">
        <v>34915898.823224865</v>
      </c>
      <c r="C1225" s="5">
        <v>40699000.902959049</v>
      </c>
      <c r="D1225" s="5">
        <v>0</v>
      </c>
      <c r="E1225" s="5">
        <f t="shared" si="1056"/>
        <v>0</v>
      </c>
      <c r="F1225" s="5">
        <f t="shared" si="1056"/>
        <v>0</v>
      </c>
      <c r="G1225" s="9">
        <f t="shared" si="1058"/>
        <v>-2.048238335157393E-2</v>
      </c>
      <c r="H1225" s="9">
        <f t="shared" si="1058"/>
        <v>-1.7318988385024436E-3</v>
      </c>
      <c r="I1225" s="5">
        <f t="shared" si="1059"/>
        <v>21377981.483057443</v>
      </c>
      <c r="J1225" s="5">
        <f t="shared" si="1060"/>
        <v>24538053.863576896</v>
      </c>
      <c r="K1225" s="8">
        <f t="shared" ref="K1225:L1225" si="1066">I1225/I973-1</f>
        <v>-5.5081315389046148E-2</v>
      </c>
      <c r="L1225" s="8">
        <f t="shared" si="1066"/>
        <v>0.22030137675209205</v>
      </c>
      <c r="M1225" s="8">
        <f t="shared" si="1052"/>
        <v>0.2753826921411382</v>
      </c>
    </row>
    <row r="1226" spans="1:13" x14ac:dyDescent="0.3">
      <c r="A1226" s="1">
        <v>46000</v>
      </c>
      <c r="B1226" s="5">
        <v>35124437.702051163</v>
      </c>
      <c r="C1226" s="5">
        <v>40564472.378823444</v>
      </c>
      <c r="D1226" s="5">
        <v>0</v>
      </c>
      <c r="E1226" s="5">
        <f t="shared" si="1056"/>
        <v>0</v>
      </c>
      <c r="F1226" s="5">
        <f t="shared" si="1056"/>
        <v>0</v>
      </c>
      <c r="G1226" s="9">
        <f t="shared" si="1058"/>
        <v>5.9726051986261908E-3</v>
      </c>
      <c r="H1226" s="9">
        <f t="shared" si="1058"/>
        <v>-3.305450285041811E-3</v>
      </c>
      <c r="I1226" s="5">
        <f t="shared" si="1059"/>
        <v>21505663.726399288</v>
      </c>
      <c r="J1226" s="5">
        <f t="shared" si="1060"/>
        <v>24456944.546439163</v>
      </c>
      <c r="K1226" s="8">
        <f t="shared" ref="K1226:L1226" si="1067">I1226/I974-1</f>
        <v>-5.4097019280149095E-2</v>
      </c>
      <c r="L1226" s="8">
        <f t="shared" si="1067"/>
        <v>0.2087852063205986</v>
      </c>
      <c r="M1226" s="8">
        <f t="shared" si="1052"/>
        <v>0.2628822256007477</v>
      </c>
    </row>
    <row r="1227" spans="1:13" x14ac:dyDescent="0.3">
      <c r="A1227" s="1">
        <v>46001</v>
      </c>
      <c r="B1227" s="5">
        <v>35055925.985147841</v>
      </c>
      <c r="C1227" s="5">
        <v>40875938.903777875</v>
      </c>
      <c r="D1227" s="5">
        <v>0</v>
      </c>
      <c r="E1227" s="5">
        <f t="shared" si="1056"/>
        <v>0</v>
      </c>
      <c r="F1227" s="5">
        <f t="shared" si="1056"/>
        <v>0</v>
      </c>
      <c r="G1227" s="9">
        <f t="shared" si="1058"/>
        <v>-1.9505427384911567E-3</v>
      </c>
      <c r="H1227" s="9">
        <f t="shared" si="1058"/>
        <v>7.6783083000737662E-3</v>
      </c>
      <c r="I1227" s="5">
        <f t="shared" si="1059"/>
        <v>21463716.010181326</v>
      </c>
      <c r="J1227" s="5">
        <f t="shared" si="1060"/>
        <v>24644732.50674453</v>
      </c>
      <c r="K1227" s="8">
        <f t="shared" ref="K1227:L1227" si="1068">I1227/I975-1</f>
        <v>-5.9096409451798504E-2</v>
      </c>
      <c r="L1227" s="8">
        <f t="shared" si="1068"/>
        <v>0.22041763988845298</v>
      </c>
      <c r="M1227" s="8">
        <f t="shared" si="1052"/>
        <v>0.27951404934025148</v>
      </c>
    </row>
    <row r="1228" spans="1:13" x14ac:dyDescent="0.3">
      <c r="A1228" s="1">
        <v>46002</v>
      </c>
      <c r="B1228" s="5">
        <v>35246366.680023238</v>
      </c>
      <c r="C1228" s="5">
        <v>41129823.120166428</v>
      </c>
      <c r="D1228" s="5">
        <v>0</v>
      </c>
      <c r="E1228" s="5">
        <f t="shared" si="1056"/>
        <v>0</v>
      </c>
      <c r="F1228" s="5">
        <f t="shared" si="1056"/>
        <v>0</v>
      </c>
      <c r="G1228" s="9">
        <f t="shared" si="1058"/>
        <v>5.4324822272868722E-3</v>
      </c>
      <c r="H1228" s="9">
        <f t="shared" si="1058"/>
        <v>6.2110919821609656E-3</v>
      </c>
      <c r="I1228" s="5">
        <f t="shared" si="1059"/>
        <v>21580317.26593817</v>
      </c>
      <c r="J1228" s="5">
        <f t="shared" si="1060"/>
        <v>24797803.207219671</v>
      </c>
      <c r="K1228" s="8">
        <f t="shared" ref="K1228:L1228" si="1069">I1228/I976-1</f>
        <v>-6.1152063619857255E-2</v>
      </c>
      <c r="L1228" s="8">
        <f t="shared" si="1069"/>
        <v>0.22494705428745654</v>
      </c>
      <c r="M1228" s="8">
        <f t="shared" si="1052"/>
        <v>0.28609911790731379</v>
      </c>
    </row>
    <row r="1229" spans="1:13" x14ac:dyDescent="0.3">
      <c r="A1229" s="1">
        <v>46003</v>
      </c>
      <c r="B1229" s="5">
        <v>35542179.745729506</v>
      </c>
      <c r="C1229" s="5">
        <v>40720705.257353142</v>
      </c>
      <c r="D1229" s="5">
        <v>0</v>
      </c>
      <c r="E1229" s="5">
        <f t="shared" si="1056"/>
        <v>0</v>
      </c>
      <c r="F1229" s="5">
        <f t="shared" si="1056"/>
        <v>0</v>
      </c>
      <c r="G1229" s="9">
        <f t="shared" si="1058"/>
        <v>8.3927250826090205E-3</v>
      </c>
      <c r="H1229" s="9">
        <f t="shared" si="1058"/>
        <v>-9.9469881408921212E-3</v>
      </c>
      <c r="I1229" s="5">
        <f t="shared" si="1059"/>
        <v>21761434.935946669</v>
      </c>
      <c r="J1229" s="5">
        <f t="shared" si="1060"/>
        <v>24551139.75279728</v>
      </c>
      <c r="K1229" s="8">
        <f t="shared" ref="K1229:L1229" si="1070">I1229/I977-1</f>
        <v>-4.894567488863466E-2</v>
      </c>
      <c r="L1229" s="8">
        <f t="shared" si="1070"/>
        <v>0.21936837283284238</v>
      </c>
      <c r="M1229" s="8">
        <f t="shared" si="1052"/>
        <v>0.26831404772147704</v>
      </c>
    </row>
    <row r="1230" spans="1:13" x14ac:dyDescent="0.3">
      <c r="A1230" s="1">
        <v>46006</v>
      </c>
      <c r="B1230" s="5">
        <v>35600683.84924525</v>
      </c>
      <c r="C1230" s="5">
        <v>40792974.437327571</v>
      </c>
      <c r="D1230" s="5">
        <v>0</v>
      </c>
      <c r="E1230" s="5">
        <f t="shared" si="1056"/>
        <v>0</v>
      </c>
      <c r="F1230" s="5">
        <f t="shared" si="1056"/>
        <v>0</v>
      </c>
      <c r="G1230" s="9">
        <f t="shared" si="1058"/>
        <v>1.6460471455124193E-3</v>
      </c>
      <c r="H1230" s="9">
        <f t="shared" si="1058"/>
        <v>1.7747526600457864E-3</v>
      </c>
      <c r="I1230" s="5">
        <f t="shared" si="1059"/>
        <v>21797255.28380524</v>
      </c>
      <c r="J1230" s="5">
        <f t="shared" si="1060"/>
        <v>24594711.953380711</v>
      </c>
      <c r="K1230" s="8">
        <f t="shared" ref="K1230:L1230" si="1071">I1230/I978-1</f>
        <v>-5.2441186215401059E-2</v>
      </c>
      <c r="L1230" s="8">
        <f t="shared" si="1071"/>
        <v>0.22340534432877313</v>
      </c>
      <c r="M1230" s="8">
        <f t="shared" si="1052"/>
        <v>0.27584653054417418</v>
      </c>
    </row>
    <row r="1231" spans="1:13" x14ac:dyDescent="0.3">
      <c r="A1231" s="1">
        <v>46007</v>
      </c>
      <c r="B1231" s="5">
        <v>35452710.526764527</v>
      </c>
      <c r="C1231" s="5">
        <v>40845353.970530502</v>
      </c>
      <c r="D1231" s="5">
        <v>0</v>
      </c>
      <c r="E1231" s="5">
        <f t="shared" si="1056"/>
        <v>0</v>
      </c>
      <c r="F1231" s="5">
        <f t="shared" si="1056"/>
        <v>0</v>
      </c>
      <c r="G1231" s="9">
        <f t="shared" si="1058"/>
        <v>-4.1564741595226939E-3</v>
      </c>
      <c r="H1231" s="9">
        <f t="shared" si="1058"/>
        <v>1.2840331926127213E-3</v>
      </c>
      <c r="I1231" s="5">
        <f t="shared" si="1059"/>
        <v>21706655.555469584</v>
      </c>
      <c r="J1231" s="5">
        <f t="shared" si="1060"/>
        <v>24626292.3798916</v>
      </c>
      <c r="K1231" s="8">
        <f t="shared" ref="K1231:L1231" si="1072">I1231/I979-1</f>
        <v>-5.8899301037337537E-2</v>
      </c>
      <c r="L1231" s="8">
        <f t="shared" si="1072"/>
        <v>0.21561006825128026</v>
      </c>
      <c r="M1231" s="8">
        <f t="shared" si="1052"/>
        <v>0.2745093692886178</v>
      </c>
    </row>
    <row r="1232" spans="1:13" x14ac:dyDescent="0.3">
      <c r="A1232" s="1">
        <v>46008</v>
      </c>
      <c r="B1232" s="5">
        <v>35317636.628033377</v>
      </c>
      <c r="C1232" s="5">
        <v>40093279.819017515</v>
      </c>
      <c r="D1232" s="5">
        <v>0</v>
      </c>
      <c r="E1232" s="5">
        <f t="shared" si="1056"/>
        <v>0</v>
      </c>
      <c r="F1232" s="5">
        <f t="shared" si="1056"/>
        <v>0</v>
      </c>
      <c r="G1232" s="9">
        <f t="shared" si="1058"/>
        <v>-3.8099738136856409E-3</v>
      </c>
      <c r="H1232" s="9">
        <f t="shared" si="1058"/>
        <v>-1.8412722094552136E-2</v>
      </c>
      <c r="I1232" s="5">
        <f t="shared" si="1059"/>
        <v>21623953.766220551</v>
      </c>
      <c r="J1232" s="5">
        <f t="shared" si="1060"/>
        <v>24172855.302081469</v>
      </c>
      <c r="K1232" s="8">
        <f t="shared" ref="K1232:L1232" si="1073">I1232/I980-1</f>
        <v>-5.9796606768184546E-2</v>
      </c>
      <c r="L1232" s="8">
        <f t="shared" si="1073"/>
        <v>0.19915763462190683</v>
      </c>
      <c r="M1232" s="8">
        <f t="shared" si="1052"/>
        <v>0.25895424139009138</v>
      </c>
    </row>
    <row r="1233" spans="1:13" x14ac:dyDescent="0.3">
      <c r="A1233" s="1">
        <v>46009</v>
      </c>
      <c r="B1233" s="5">
        <v>35189692.973328367</v>
      </c>
      <c r="C1233" s="5">
        <v>40344770.450004309</v>
      </c>
      <c r="D1233" s="5">
        <v>0</v>
      </c>
      <c r="E1233" s="5">
        <f t="shared" si="1056"/>
        <v>0</v>
      </c>
      <c r="F1233" s="5">
        <f t="shared" si="1056"/>
        <v>0</v>
      </c>
      <c r="G1233" s="9">
        <f t="shared" si="1058"/>
        <v>-3.6226561831562698E-3</v>
      </c>
      <c r="H1233" s="9">
        <f t="shared" si="1058"/>
        <v>6.2726380112085867E-3</v>
      </c>
      <c r="I1233" s="5">
        <f t="shared" si="1059"/>
        <v>21545617.616405066</v>
      </c>
      <c r="J1233" s="5">
        <f t="shared" si="1060"/>
        <v>24324482.873088751</v>
      </c>
      <c r="K1233" s="8">
        <f t="shared" ref="K1233:L1233" si="1074">I1233/I981-1</f>
        <v>-6.1704852119172759E-2</v>
      </c>
      <c r="L1233" s="8">
        <f t="shared" si="1074"/>
        <v>0.20741343830305747</v>
      </c>
      <c r="M1233" s="8">
        <f t="shared" si="1052"/>
        <v>0.26911829042223023</v>
      </c>
    </row>
    <row r="1234" spans="1:13" x14ac:dyDescent="0.3">
      <c r="A1234" s="1">
        <v>46010</v>
      </c>
      <c r="B1234" s="5">
        <v>35474191.515096441</v>
      </c>
      <c r="C1234" s="5">
        <v>40381274.48275879</v>
      </c>
      <c r="D1234" s="5">
        <v>0</v>
      </c>
      <c r="E1234" s="5">
        <f t="shared" si="1056"/>
        <v>0</v>
      </c>
      <c r="F1234" s="5">
        <f t="shared" si="1056"/>
        <v>0</v>
      </c>
      <c r="G1234" s="9">
        <f t="shared" si="1058"/>
        <v>8.0847122475238287E-3</v>
      </c>
      <c r="H1234" s="9">
        <f t="shared" si="1058"/>
        <v>9.048020932407308E-4</v>
      </c>
      <c r="I1234" s="5">
        <f t="shared" si="1059"/>
        <v>21719807.735028882</v>
      </c>
      <c r="J1234" s="5">
        <f t="shared" si="1060"/>
        <v>24346491.716109321</v>
      </c>
      <c r="K1234" s="8">
        <f t="shared" ref="K1234:L1234" si="1075">I1234/I982-1</f>
        <v>-5.6570992997613034E-2</v>
      </c>
      <c r="L1234" s="8">
        <f t="shared" si="1075"/>
        <v>0.20221134594736401</v>
      </c>
      <c r="M1234" s="8">
        <f t="shared" si="1052"/>
        <v>0.25878233894497704</v>
      </c>
    </row>
    <row r="1235" spans="1:13" x14ac:dyDescent="0.3">
      <c r="A1235" s="1">
        <v>46013</v>
      </c>
      <c r="B1235" s="5">
        <v>35714973.537921458</v>
      </c>
      <c r="C1235" s="5">
        <v>40689019.268883757</v>
      </c>
      <c r="D1235" s="5">
        <v>0</v>
      </c>
      <c r="E1235" s="5">
        <f t="shared" si="1056"/>
        <v>0</v>
      </c>
      <c r="F1235" s="5">
        <f t="shared" si="1056"/>
        <v>0</v>
      </c>
      <c r="G1235" s="9">
        <f t="shared" si="1058"/>
        <v>6.7875267212940127E-3</v>
      </c>
      <c r="H1235" s="9">
        <f t="shared" si="1058"/>
        <v>7.6209775463218499E-3</v>
      </c>
      <c r="I1235" s="5">
        <f t="shared" si="1059"/>
        <v>21867231.510411758</v>
      </c>
      <c r="J1235" s="5">
        <f t="shared" si="1060"/>
        <v>24532035.7828095</v>
      </c>
      <c r="K1235" s="8">
        <f t="shared" ref="K1235:L1235" si="1076">I1235/I983-1</f>
        <v>-3.7436572054633577E-2</v>
      </c>
      <c r="L1235" s="8">
        <f t="shared" si="1076"/>
        <v>0.21576088957572437</v>
      </c>
      <c r="M1235" s="8">
        <f t="shared" si="1052"/>
        <v>0.25319746163035795</v>
      </c>
    </row>
    <row r="1236" spans="1:13" x14ac:dyDescent="0.3">
      <c r="A1236" s="1">
        <v>46014</v>
      </c>
      <c r="B1236" s="5">
        <v>35846513.001765728</v>
      </c>
      <c r="C1236" s="5">
        <v>40887988.170536213</v>
      </c>
      <c r="D1236" s="5">
        <v>0</v>
      </c>
      <c r="E1236" s="5">
        <f t="shared" si="1056"/>
        <v>0</v>
      </c>
      <c r="F1236" s="5">
        <f t="shared" si="1056"/>
        <v>0</v>
      </c>
      <c r="G1236" s="9">
        <f t="shared" si="1058"/>
        <v>3.6830340558591246E-3</v>
      </c>
      <c r="H1236" s="9">
        <f t="shared" si="1058"/>
        <v>4.8899901061172368E-3</v>
      </c>
      <c r="I1236" s="5">
        <f t="shared" si="1059"/>
        <v>21947769.268771961</v>
      </c>
      <c r="J1236" s="5">
        <f t="shared" si="1060"/>
        <v>24651997.195070352</v>
      </c>
      <c r="K1236" s="8">
        <f t="shared" ref="K1236:L1236" si="1077">I1236/I984-1</f>
        <v>-2.1172694791839475E-2</v>
      </c>
      <c r="L1236" s="8">
        <f t="shared" si="1077"/>
        <v>0.25821508195875342</v>
      </c>
      <c r="M1236" s="8">
        <f t="shared" si="1052"/>
        <v>0.2793877767505929</v>
      </c>
    </row>
    <row r="1237" spans="1:13" x14ac:dyDescent="0.3">
      <c r="A1237" s="1">
        <v>46015</v>
      </c>
      <c r="B1237" s="5">
        <v>35774365.76297161</v>
      </c>
      <c r="C1237" s="5">
        <v>41083851.318688318</v>
      </c>
      <c r="D1237" s="5">
        <v>0</v>
      </c>
      <c r="E1237" s="5">
        <f t="shared" si="1056"/>
        <v>0</v>
      </c>
      <c r="F1237" s="5">
        <f t="shared" si="1056"/>
        <v>0</v>
      </c>
      <c r="G1237" s="9">
        <f t="shared" si="1058"/>
        <v>-2.0126710453137742E-3</v>
      </c>
      <c r="H1237" s="9">
        <f t="shared" si="1058"/>
        <v>4.7902368621119962E-3</v>
      </c>
      <c r="I1237" s="5">
        <f t="shared" si="1059"/>
        <v>21903595.629055478</v>
      </c>
      <c r="J1237" s="5">
        <f t="shared" si="1060"/>
        <v>24770086.100758862</v>
      </c>
      <c r="K1237" s="8">
        <f t="shared" ref="K1237:L1237" si="1078">I1237/I985-1</f>
        <v>-1.450714118846097E-2</v>
      </c>
      <c r="L1237" s="8">
        <f t="shared" si="1078"/>
        <v>0.26325225807758246</v>
      </c>
      <c r="M1237" s="8">
        <f t="shared" si="1052"/>
        <v>0.27775939926604343</v>
      </c>
    </row>
    <row r="1238" spans="1:13" x14ac:dyDescent="0.3">
      <c r="A1238" s="1">
        <v>46017</v>
      </c>
      <c r="B1238" s="5">
        <v>35776344.180048227</v>
      </c>
      <c r="C1238" s="5">
        <v>41061545.525124691</v>
      </c>
      <c r="D1238" s="5">
        <v>0</v>
      </c>
      <c r="E1238" s="5">
        <f t="shared" si="1056"/>
        <v>0</v>
      </c>
      <c r="F1238" s="5">
        <f t="shared" si="1056"/>
        <v>0</v>
      </c>
      <c r="G1238" s="9">
        <f t="shared" si="1058"/>
        <v>5.5302645747046242E-5</v>
      </c>
      <c r="H1238" s="9">
        <f t="shared" si="1058"/>
        <v>-5.4293336305299977E-4</v>
      </c>
      <c r="I1238" s="5">
        <f t="shared" si="1059"/>
        <v>21904806.955845136</v>
      </c>
      <c r="J1238" s="5">
        <f t="shared" si="1060"/>
        <v>24756637.594609063</v>
      </c>
      <c r="K1238" s="8">
        <f t="shared" ref="K1238:L1238" si="1079">I1238/I986-1</f>
        <v>1.313315339631016E-2</v>
      </c>
      <c r="L1238" s="8">
        <f t="shared" si="1079"/>
        <v>0.24995888952363954</v>
      </c>
      <c r="M1238" s="8">
        <f t="shared" si="1052"/>
        <v>0.23682573612732938</v>
      </c>
    </row>
    <row r="1239" spans="1:13" x14ac:dyDescent="0.3">
      <c r="A1239" s="1">
        <v>46020</v>
      </c>
      <c r="B1239" s="5">
        <v>35609139.055072702</v>
      </c>
      <c r="C1239" s="5">
        <v>41006033.817845844</v>
      </c>
      <c r="D1239" s="5">
        <v>0</v>
      </c>
      <c r="E1239" s="5">
        <f t="shared" si="1056"/>
        <v>0</v>
      </c>
      <c r="F1239" s="5">
        <f t="shared" si="1056"/>
        <v>0</v>
      </c>
      <c r="G1239" s="9">
        <f t="shared" si="1058"/>
        <v>-4.6736224398459258E-3</v>
      </c>
      <c r="H1239" s="9">
        <f t="shared" si="1058"/>
        <v>-1.351914706787638E-3</v>
      </c>
      <c r="I1239" s="5">
        <f t="shared" si="1059"/>
        <v>21802432.158515804</v>
      </c>
      <c r="J1239" s="5">
        <f t="shared" si="1060"/>
        <v>24723168.732154299</v>
      </c>
      <c r="K1239" s="8">
        <f t="shared" ref="K1239:L1239" si="1080">I1239/I987-1</f>
        <v>5.6711430369709159E-3</v>
      </c>
      <c r="L1239" s="8">
        <f t="shared" si="1080"/>
        <v>0.23799868437235538</v>
      </c>
      <c r="M1239" s="8">
        <f t="shared" si="1052"/>
        <v>0.23232754133538447</v>
      </c>
    </row>
    <row r="1240" spans="1:13" x14ac:dyDescent="0.3">
      <c r="A1240" s="1">
        <v>46021</v>
      </c>
      <c r="B1240" s="5">
        <v>35624190.187905602</v>
      </c>
      <c r="C1240" s="5">
        <v>40863227.044607699</v>
      </c>
      <c r="D1240" s="5">
        <v>0</v>
      </c>
      <c r="E1240" s="5">
        <f t="shared" si="1056"/>
        <v>0</v>
      </c>
      <c r="F1240" s="5">
        <f t="shared" si="1056"/>
        <v>0</v>
      </c>
      <c r="G1240" s="9">
        <f t="shared" si="1058"/>
        <v>4.2267612282409495E-4</v>
      </c>
      <c r="H1240" s="9">
        <f t="shared" si="1058"/>
        <v>-3.4825795118960112E-3</v>
      </c>
      <c r="I1240" s="5">
        <f t="shared" si="1059"/>
        <v>21811647.526008699</v>
      </c>
      <c r="J1240" s="5">
        <f t="shared" si="1060"/>
        <v>24637068.33125855</v>
      </c>
      <c r="K1240" s="8">
        <f t="shared" ref="K1240:L1240" si="1081">I1240/I988-1</f>
        <v>5.7693934609519548E-3</v>
      </c>
      <c r="L1240" s="8">
        <f t="shared" si="1081"/>
        <v>0.21964083982783089</v>
      </c>
      <c r="M1240" s="8">
        <f t="shared" si="1052"/>
        <v>0.21387144636687894</v>
      </c>
    </row>
    <row r="1241" spans="1:13" x14ac:dyDescent="0.3">
      <c r="A1241" s="1">
        <v>46022</v>
      </c>
      <c r="B1241" s="5">
        <v>35985648.431904174</v>
      </c>
      <c r="C1241" s="5">
        <v>40592846.295814782</v>
      </c>
      <c r="D1241" s="5">
        <v>0</v>
      </c>
      <c r="E1241" s="5">
        <f>B1241</f>
        <v>35985648.431904174</v>
      </c>
      <c r="F1241" s="5">
        <f>C1241</f>
        <v>40592846.295814782</v>
      </c>
      <c r="G1241" s="9">
        <f t="shared" si="1058"/>
        <v>1.0146426966957112E-2</v>
      </c>
      <c r="H1241" s="9">
        <f t="shared" si="1058"/>
        <v>-6.6167253138808002E-3</v>
      </c>
      <c r="I1241" s="5">
        <f t="shared" si="1059"/>
        <v>22032957.814660355</v>
      </c>
      <c r="J1241" s="5">
        <f t="shared" si="1060"/>
        <v>24474051.617571302</v>
      </c>
      <c r="K1241" s="8">
        <f t="shared" ref="K1241:L1241" si="1082">I1241/I989-1</f>
        <v>1.1441541945013123E-2</v>
      </c>
      <c r="L1241" s="8">
        <f t="shared" si="1082"/>
        <v>0.2104010370638163</v>
      </c>
      <c r="M1241" s="8">
        <f t="shared" si="1052"/>
        <v>0.19895949511880318</v>
      </c>
    </row>
    <row r="1242" spans="1:13" x14ac:dyDescent="0.3">
      <c r="A1242" s="1"/>
      <c r="B1242" s="2"/>
      <c r="C1242" s="2"/>
    </row>
    <row r="1243" spans="1:13" x14ac:dyDescent="0.3">
      <c r="A1243" s="1"/>
      <c r="B1243" s="2"/>
      <c r="C1243" s="2"/>
    </row>
    <row r="1244" spans="1:13" x14ac:dyDescent="0.3">
      <c r="A1244" s="1"/>
      <c r="B1244" s="2"/>
      <c r="C1244" s="2"/>
    </row>
    <row r="1245" spans="1:13" x14ac:dyDescent="0.3">
      <c r="A1245" s="1"/>
      <c r="B1245" s="2"/>
      <c r="C1245" s="2"/>
    </row>
    <row r="1246" spans="1:13" x14ac:dyDescent="0.3">
      <c r="A1246" s="1"/>
      <c r="B1246" s="2"/>
      <c r="C1246" s="2"/>
    </row>
    <row r="1247" spans="1:13" x14ac:dyDescent="0.3">
      <c r="A1247" s="1"/>
      <c r="B1247" s="2"/>
      <c r="C1247" s="2"/>
    </row>
    <row r="1248" spans="1:13" x14ac:dyDescent="0.3">
      <c r="A1248" s="1"/>
      <c r="B1248" s="2"/>
      <c r="C1248" s="2"/>
    </row>
    <row r="1249" spans="1:3" x14ac:dyDescent="0.3">
      <c r="A1249" s="1"/>
      <c r="B1249" s="2"/>
      <c r="C1249" s="2"/>
    </row>
    <row r="1250" spans="1:3" x14ac:dyDescent="0.3">
      <c r="A1250" s="1"/>
      <c r="B1250" s="2"/>
      <c r="C1250" s="2"/>
    </row>
    <row r="1251" spans="1:3" x14ac:dyDescent="0.3">
      <c r="A1251" s="1"/>
      <c r="B1251" s="2"/>
      <c r="C1251" s="2"/>
    </row>
    <row r="1252" spans="1:3" x14ac:dyDescent="0.3">
      <c r="A1252" s="1"/>
      <c r="B1252" s="2"/>
      <c r="C1252" s="2"/>
    </row>
    <row r="1253" spans="1:3" x14ac:dyDescent="0.3">
      <c r="A1253" s="1"/>
      <c r="B1253" s="2"/>
      <c r="C1253" s="2"/>
    </row>
    <row r="1254" spans="1:3" x14ac:dyDescent="0.3">
      <c r="A1254" s="1"/>
      <c r="B1254" s="2"/>
      <c r="C1254" s="2"/>
    </row>
    <row r="1255" spans="1:3" x14ac:dyDescent="0.3">
      <c r="A1255" s="1"/>
      <c r="B1255" s="2"/>
      <c r="C1255" s="2"/>
    </row>
    <row r="1256" spans="1:3" x14ac:dyDescent="0.3">
      <c r="A1256" s="1"/>
      <c r="B1256" s="2"/>
      <c r="C1256" s="2"/>
    </row>
    <row r="1257" spans="1:3" x14ac:dyDescent="0.3">
      <c r="A1257" s="1"/>
      <c r="B1257" s="2"/>
      <c r="C1257" s="2"/>
    </row>
    <row r="1258" spans="1:3" x14ac:dyDescent="0.3">
      <c r="A1258" s="1"/>
      <c r="B1258" s="2"/>
      <c r="C1258" s="2"/>
    </row>
    <row r="1259" spans="1:3" x14ac:dyDescent="0.3">
      <c r="A1259" s="1"/>
      <c r="B1259" s="2"/>
      <c r="C1259" s="2"/>
    </row>
    <row r="1260" spans="1:3" x14ac:dyDescent="0.3">
      <c r="A1260" s="1"/>
      <c r="B1260" s="2"/>
      <c r="C1260" s="2"/>
    </row>
    <row r="1261" spans="1:3" x14ac:dyDescent="0.3">
      <c r="A1261" s="1"/>
      <c r="B1261" s="2"/>
      <c r="C1261" s="2"/>
    </row>
    <row r="1262" spans="1:3" x14ac:dyDescent="0.3">
      <c r="A1262" s="1"/>
      <c r="B1262" s="2"/>
      <c r="C1262" s="2"/>
    </row>
    <row r="1263" spans="1:3" x14ac:dyDescent="0.3">
      <c r="A1263" s="1"/>
      <c r="B1263" s="2"/>
      <c r="C1263" s="2"/>
    </row>
    <row r="1264" spans="1:3" x14ac:dyDescent="0.3">
      <c r="A1264" s="1"/>
      <c r="B1264" s="2"/>
      <c r="C1264" s="2"/>
    </row>
    <row r="1265" spans="1:3" x14ac:dyDescent="0.3">
      <c r="A1265" s="1"/>
      <c r="B1265" s="2"/>
      <c r="C1265" s="2"/>
    </row>
    <row r="1266" spans="1:3" x14ac:dyDescent="0.3">
      <c r="A1266" s="1"/>
      <c r="B1266" s="2"/>
      <c r="C1266" s="2"/>
    </row>
    <row r="1267" spans="1:3" x14ac:dyDescent="0.3">
      <c r="A1267" s="1"/>
      <c r="B1267" s="2"/>
      <c r="C1267" s="2"/>
    </row>
    <row r="1268" spans="1:3" x14ac:dyDescent="0.3">
      <c r="A1268" s="1"/>
      <c r="B1268" s="2"/>
      <c r="C1268" s="2"/>
    </row>
    <row r="1269" spans="1:3" x14ac:dyDescent="0.3">
      <c r="A1269" s="1"/>
      <c r="B1269" s="2"/>
      <c r="C1269" s="2"/>
    </row>
    <row r="1270" spans="1:3" x14ac:dyDescent="0.3">
      <c r="A1270" s="1"/>
      <c r="B1270" s="2"/>
      <c r="C1270" s="2"/>
    </row>
    <row r="1271" spans="1:3" x14ac:dyDescent="0.3">
      <c r="A1271" s="1"/>
      <c r="B1271" s="2"/>
      <c r="C1271" s="2"/>
    </row>
    <row r="1272" spans="1:3" x14ac:dyDescent="0.3">
      <c r="A1272" s="1"/>
      <c r="B1272" s="2"/>
      <c r="C1272" s="2"/>
    </row>
    <row r="1273" spans="1:3" x14ac:dyDescent="0.3">
      <c r="A1273" s="1"/>
      <c r="B1273" s="2"/>
      <c r="C1273" s="2"/>
    </row>
    <row r="1274" spans="1:3" x14ac:dyDescent="0.3">
      <c r="A1274" s="1"/>
      <c r="B1274" s="2"/>
      <c r="C1274" s="2"/>
    </row>
    <row r="1275" spans="1:3" x14ac:dyDescent="0.3">
      <c r="A1275" s="1"/>
      <c r="B1275" s="2"/>
      <c r="C1275" s="2"/>
    </row>
    <row r="1276" spans="1:3" x14ac:dyDescent="0.3">
      <c r="A1276" s="1"/>
      <c r="B1276" s="2"/>
      <c r="C1276" s="2"/>
    </row>
    <row r="1277" spans="1:3" x14ac:dyDescent="0.3">
      <c r="A1277" s="1"/>
      <c r="B1277" s="2"/>
      <c r="C1277" s="2"/>
    </row>
    <row r="1278" spans="1:3" x14ac:dyDescent="0.3">
      <c r="A1278" s="1"/>
      <c r="B1278" s="2"/>
      <c r="C1278" s="2"/>
    </row>
    <row r="1279" spans="1:3" x14ac:dyDescent="0.3">
      <c r="A1279" s="1"/>
      <c r="B1279" s="2"/>
      <c r="C1279" s="2"/>
    </row>
    <row r="1280" spans="1:3" x14ac:dyDescent="0.3">
      <c r="A1280" s="1"/>
      <c r="B1280" s="2"/>
      <c r="C1280" s="2"/>
    </row>
    <row r="1281" spans="1:3" x14ac:dyDescent="0.3">
      <c r="A1281" s="1"/>
      <c r="B1281" s="2"/>
      <c r="C1281" s="2"/>
    </row>
    <row r="1282" spans="1:3" x14ac:dyDescent="0.3">
      <c r="A1282" s="1"/>
      <c r="B1282" s="2"/>
      <c r="C1282" s="2"/>
    </row>
    <row r="1283" spans="1:3" x14ac:dyDescent="0.3">
      <c r="A1283" s="1"/>
      <c r="B1283" s="2"/>
      <c r="C1283" s="2"/>
    </row>
    <row r="1284" spans="1:3" x14ac:dyDescent="0.3">
      <c r="A1284" s="1"/>
      <c r="B1284" s="2"/>
      <c r="C1284" s="2"/>
    </row>
    <row r="1285" spans="1:3" x14ac:dyDescent="0.3">
      <c r="A1285" s="1"/>
      <c r="B1285" s="2"/>
      <c r="C1285" s="2"/>
    </row>
    <row r="1286" spans="1:3" x14ac:dyDescent="0.3">
      <c r="A1286" s="1"/>
      <c r="B1286" s="2"/>
      <c r="C1286" s="2"/>
    </row>
    <row r="1287" spans="1:3" x14ac:dyDescent="0.3">
      <c r="A1287" s="1"/>
      <c r="B1287" s="2"/>
      <c r="C1287" s="2"/>
    </row>
    <row r="1288" spans="1:3" x14ac:dyDescent="0.3">
      <c r="A1288" s="1"/>
      <c r="B1288" s="2"/>
      <c r="C1288" s="2"/>
    </row>
    <row r="1289" spans="1:3" x14ac:dyDescent="0.3">
      <c r="A1289" s="1"/>
      <c r="B1289" s="2"/>
      <c r="C1289" s="2"/>
    </row>
    <row r="1290" spans="1:3" x14ac:dyDescent="0.3">
      <c r="A1290" s="1"/>
      <c r="B1290" s="2"/>
      <c r="C1290" s="2"/>
    </row>
    <row r="1291" spans="1:3" x14ac:dyDescent="0.3">
      <c r="A1291" s="1"/>
      <c r="B1291" s="2"/>
      <c r="C1291" s="2"/>
    </row>
    <row r="1292" spans="1:3" x14ac:dyDescent="0.3">
      <c r="A1292" s="1"/>
      <c r="B1292" s="2"/>
      <c r="C1292" s="2"/>
    </row>
    <row r="1293" spans="1:3" x14ac:dyDescent="0.3">
      <c r="A1293" s="1"/>
      <c r="B1293" s="2"/>
      <c r="C1293" s="2"/>
    </row>
    <row r="1294" spans="1:3" x14ac:dyDescent="0.3">
      <c r="A1294" s="1"/>
      <c r="B1294" s="2"/>
      <c r="C1294" s="2"/>
    </row>
    <row r="1295" spans="1:3" x14ac:dyDescent="0.3">
      <c r="A1295" s="1"/>
      <c r="B1295" s="2"/>
      <c r="C1295" s="2"/>
    </row>
    <row r="1296" spans="1:3" x14ac:dyDescent="0.3">
      <c r="A1296" s="1"/>
      <c r="B1296" s="2"/>
      <c r="C1296" s="2"/>
    </row>
    <row r="1297" spans="1:3" x14ac:dyDescent="0.3">
      <c r="A1297" s="1"/>
      <c r="B1297" s="2"/>
      <c r="C1297" s="2"/>
    </row>
    <row r="1298" spans="1:3" x14ac:dyDescent="0.3">
      <c r="A1298" s="1"/>
      <c r="B1298" s="2"/>
      <c r="C1298" s="2"/>
    </row>
    <row r="1299" spans="1:3" x14ac:dyDescent="0.3">
      <c r="A1299" s="1"/>
      <c r="B1299" s="2"/>
      <c r="C1299" s="2"/>
    </row>
    <row r="1300" spans="1:3" x14ac:dyDescent="0.3">
      <c r="A1300" s="1"/>
      <c r="B1300" s="2"/>
      <c r="C1300" s="2"/>
    </row>
    <row r="1301" spans="1:3" x14ac:dyDescent="0.3">
      <c r="A1301" s="1"/>
      <c r="B1301" s="2"/>
      <c r="C1301" s="2"/>
    </row>
    <row r="1302" spans="1:3" x14ac:dyDescent="0.3">
      <c r="A1302" s="1"/>
      <c r="B1302" s="2"/>
      <c r="C1302" s="2"/>
    </row>
    <row r="1303" spans="1:3" x14ac:dyDescent="0.3">
      <c r="A1303" s="1"/>
      <c r="B1303" s="2"/>
      <c r="C1303" s="2"/>
    </row>
    <row r="1304" spans="1:3" x14ac:dyDescent="0.3">
      <c r="A1304" s="1"/>
      <c r="B1304" s="2"/>
      <c r="C1304" s="2"/>
    </row>
    <row r="1305" spans="1:3" x14ac:dyDescent="0.3">
      <c r="A1305" s="1"/>
      <c r="B1305" s="2"/>
      <c r="C1305" s="2"/>
    </row>
    <row r="1306" spans="1:3" x14ac:dyDescent="0.3">
      <c r="A1306" s="1"/>
      <c r="B1306" s="2"/>
      <c r="C1306" s="2"/>
    </row>
    <row r="1307" spans="1:3" x14ac:dyDescent="0.3">
      <c r="A1307" s="1"/>
      <c r="B1307" s="2"/>
      <c r="C1307" s="2"/>
    </row>
    <row r="1308" spans="1:3" x14ac:dyDescent="0.3">
      <c r="A1308" s="1"/>
      <c r="B1308" s="2"/>
      <c r="C1308" s="2"/>
    </row>
    <row r="1309" spans="1:3" x14ac:dyDescent="0.3">
      <c r="A1309" s="1"/>
      <c r="B1309" s="2"/>
      <c r="C1309" s="2"/>
    </row>
    <row r="1310" spans="1:3" x14ac:dyDescent="0.3">
      <c r="A1310" s="1"/>
      <c r="B1310" s="2"/>
      <c r="C1310" s="2"/>
    </row>
    <row r="1311" spans="1:3" x14ac:dyDescent="0.3">
      <c r="A1311" s="1"/>
      <c r="B1311" s="2"/>
      <c r="C1311" s="2"/>
    </row>
    <row r="1312" spans="1:3" x14ac:dyDescent="0.3">
      <c r="A1312" s="1"/>
      <c r="B1312" s="2"/>
      <c r="C1312" s="2"/>
    </row>
    <row r="1313" spans="1:3" x14ac:dyDescent="0.3">
      <c r="A1313" s="1"/>
      <c r="B1313" s="2"/>
      <c r="C1313" s="2"/>
    </row>
    <row r="1314" spans="1:3" x14ac:dyDescent="0.3">
      <c r="A1314" s="1"/>
      <c r="B1314" s="2"/>
      <c r="C1314" s="2"/>
    </row>
    <row r="1315" spans="1:3" x14ac:dyDescent="0.3">
      <c r="A1315" s="1"/>
      <c r="B1315" s="2"/>
      <c r="C1315" s="2"/>
    </row>
    <row r="1316" spans="1:3" x14ac:dyDescent="0.3">
      <c r="A1316" s="1"/>
      <c r="B1316" s="2"/>
      <c r="C1316" s="2"/>
    </row>
    <row r="1317" spans="1:3" x14ac:dyDescent="0.3">
      <c r="A1317" s="1"/>
      <c r="B1317" s="2"/>
      <c r="C1317" s="2"/>
    </row>
    <row r="1318" spans="1:3" x14ac:dyDescent="0.3">
      <c r="A1318" s="1"/>
      <c r="B1318" s="2"/>
      <c r="C1318" s="2"/>
    </row>
    <row r="1319" spans="1:3" x14ac:dyDescent="0.3">
      <c r="A1319" s="1"/>
      <c r="B1319" s="2"/>
      <c r="C1319" s="2"/>
    </row>
    <row r="1320" spans="1:3" x14ac:dyDescent="0.3">
      <c r="A1320" s="1"/>
      <c r="B1320" s="2"/>
      <c r="C1320" s="2"/>
    </row>
    <row r="1321" spans="1:3" x14ac:dyDescent="0.3">
      <c r="A1321" s="1"/>
      <c r="B1321" s="2"/>
      <c r="C1321" s="2"/>
    </row>
    <row r="1322" spans="1:3" x14ac:dyDescent="0.3">
      <c r="A1322" s="1"/>
      <c r="B1322" s="2"/>
      <c r="C1322" s="2"/>
    </row>
    <row r="1323" spans="1:3" x14ac:dyDescent="0.3">
      <c r="A1323" s="1"/>
      <c r="B1323" s="2"/>
      <c r="C1323" s="2"/>
    </row>
    <row r="1324" spans="1:3" x14ac:dyDescent="0.3">
      <c r="A1324" s="1"/>
      <c r="B1324" s="2"/>
      <c r="C1324" s="2"/>
    </row>
    <row r="1325" spans="1:3" x14ac:dyDescent="0.3">
      <c r="A1325" s="1"/>
      <c r="B1325" s="2"/>
      <c r="C1325" s="2"/>
    </row>
    <row r="1326" spans="1:3" x14ac:dyDescent="0.3">
      <c r="A1326" s="1"/>
      <c r="B1326" s="2"/>
      <c r="C1326" s="2"/>
    </row>
    <row r="1327" spans="1:3" x14ac:dyDescent="0.3">
      <c r="A1327" s="1"/>
      <c r="B1327" s="2"/>
      <c r="C1327" s="2"/>
    </row>
    <row r="1328" spans="1:3" x14ac:dyDescent="0.3">
      <c r="A1328" s="1"/>
      <c r="B1328" s="2"/>
      <c r="C1328" s="2"/>
    </row>
    <row r="1329" spans="1:3" x14ac:dyDescent="0.3">
      <c r="A1329" s="1"/>
      <c r="B1329" s="2"/>
      <c r="C1329" s="2"/>
    </row>
    <row r="1330" spans="1:3" x14ac:dyDescent="0.3">
      <c r="A1330" s="1"/>
      <c r="B1330" s="2"/>
      <c r="C1330" s="2"/>
    </row>
    <row r="1331" spans="1:3" x14ac:dyDescent="0.3">
      <c r="A1331" s="1"/>
      <c r="B1331" s="2"/>
      <c r="C1331" s="2"/>
    </row>
    <row r="1332" spans="1:3" x14ac:dyDescent="0.3">
      <c r="A1332" s="1"/>
      <c r="B1332" s="2"/>
      <c r="C1332" s="2"/>
    </row>
    <row r="1333" spans="1:3" x14ac:dyDescent="0.3">
      <c r="A1333" s="1"/>
      <c r="B1333" s="2"/>
      <c r="C1333" s="2"/>
    </row>
    <row r="1334" spans="1:3" x14ac:dyDescent="0.3">
      <c r="A1334" s="1"/>
      <c r="B1334" s="2"/>
      <c r="C1334" s="2"/>
    </row>
    <row r="1335" spans="1:3" x14ac:dyDescent="0.3">
      <c r="A1335" s="1"/>
      <c r="B1335" s="2"/>
      <c r="C1335" s="2"/>
    </row>
    <row r="1336" spans="1:3" x14ac:dyDescent="0.3">
      <c r="A1336" s="1"/>
      <c r="B1336" s="2"/>
      <c r="C1336" s="2"/>
    </row>
    <row r="1337" spans="1:3" x14ac:dyDescent="0.3">
      <c r="A1337" s="1"/>
      <c r="B1337" s="2"/>
      <c r="C1337" s="2"/>
    </row>
    <row r="1338" spans="1:3" x14ac:dyDescent="0.3">
      <c r="A1338" s="1"/>
      <c r="B1338" s="2"/>
      <c r="C1338" s="2"/>
    </row>
    <row r="1339" spans="1:3" x14ac:dyDescent="0.3">
      <c r="A1339" s="1"/>
      <c r="B1339" s="2"/>
      <c r="C1339" s="2"/>
    </row>
    <row r="1340" spans="1:3" x14ac:dyDescent="0.3">
      <c r="A1340" s="1"/>
      <c r="B1340" s="2"/>
      <c r="C1340" s="2"/>
    </row>
    <row r="1341" spans="1:3" x14ac:dyDescent="0.3">
      <c r="A1341" s="1"/>
      <c r="B1341" s="2"/>
      <c r="C1341" s="2"/>
    </row>
    <row r="1342" spans="1:3" x14ac:dyDescent="0.3">
      <c r="A1342" s="1"/>
      <c r="B1342" s="2"/>
      <c r="C1342" s="2"/>
    </row>
    <row r="1343" spans="1:3" x14ac:dyDescent="0.3">
      <c r="A1343" s="1"/>
      <c r="B1343" s="2"/>
      <c r="C1343" s="2"/>
    </row>
    <row r="1344" spans="1:3" x14ac:dyDescent="0.3">
      <c r="A1344" s="1"/>
      <c r="B1344" s="2"/>
      <c r="C1344" s="2"/>
    </row>
    <row r="1345" spans="1:3" x14ac:dyDescent="0.3">
      <c r="A1345" s="1"/>
      <c r="B1345" s="2"/>
      <c r="C1345" s="2"/>
    </row>
    <row r="1346" spans="1:3" x14ac:dyDescent="0.3">
      <c r="A1346" s="1"/>
      <c r="B1346" s="2"/>
      <c r="C1346" s="2"/>
    </row>
    <row r="1347" spans="1:3" x14ac:dyDescent="0.3">
      <c r="A1347" s="1"/>
      <c r="B1347" s="2"/>
      <c r="C1347" s="2"/>
    </row>
    <row r="1348" spans="1:3" x14ac:dyDescent="0.3">
      <c r="A1348" s="1"/>
      <c r="B1348" s="2"/>
      <c r="C1348" s="2"/>
    </row>
    <row r="1349" spans="1:3" x14ac:dyDescent="0.3">
      <c r="A1349" s="1"/>
      <c r="B1349" s="2"/>
      <c r="C1349" s="2"/>
    </row>
    <row r="1350" spans="1:3" x14ac:dyDescent="0.3">
      <c r="A1350" s="1"/>
      <c r="B1350" s="2"/>
      <c r="C1350" s="2"/>
    </row>
    <row r="1351" spans="1:3" x14ac:dyDescent="0.3">
      <c r="A1351" s="1"/>
      <c r="B1351" s="2"/>
      <c r="C1351" s="2"/>
    </row>
    <row r="1352" spans="1:3" x14ac:dyDescent="0.3">
      <c r="A1352" s="1"/>
      <c r="B1352" s="2"/>
      <c r="C1352" s="2"/>
    </row>
    <row r="1353" spans="1:3" x14ac:dyDescent="0.3">
      <c r="A1353" s="1"/>
      <c r="B1353" s="2"/>
      <c r="C1353" s="2"/>
    </row>
    <row r="1354" spans="1:3" x14ac:dyDescent="0.3">
      <c r="A1354" s="1"/>
      <c r="B1354" s="2"/>
      <c r="C1354" s="2"/>
    </row>
    <row r="1355" spans="1:3" x14ac:dyDescent="0.3">
      <c r="A1355" s="1"/>
      <c r="B1355" s="2"/>
      <c r="C1355" s="2"/>
    </row>
    <row r="1356" spans="1:3" x14ac:dyDescent="0.3">
      <c r="A1356" s="1"/>
      <c r="B1356" s="2"/>
      <c r="C1356" s="2"/>
    </row>
    <row r="1357" spans="1:3" x14ac:dyDescent="0.3">
      <c r="A1357" s="1"/>
      <c r="B1357" s="2"/>
      <c r="C1357" s="2"/>
    </row>
    <row r="1358" spans="1:3" x14ac:dyDescent="0.3">
      <c r="A1358" s="1"/>
      <c r="B1358" s="2"/>
      <c r="C1358" s="2"/>
    </row>
    <row r="1359" spans="1:3" x14ac:dyDescent="0.3">
      <c r="A1359" s="1"/>
      <c r="B1359" s="2"/>
      <c r="C1359" s="2"/>
    </row>
    <row r="1360" spans="1:3" x14ac:dyDescent="0.3">
      <c r="A1360" s="1"/>
      <c r="B1360" s="2"/>
      <c r="C1360" s="2"/>
    </row>
    <row r="1361" spans="1:3" x14ac:dyDescent="0.3">
      <c r="A1361" s="1"/>
      <c r="B1361" s="2"/>
      <c r="C1361" s="2"/>
    </row>
    <row r="1362" spans="1:3" x14ac:dyDescent="0.3">
      <c r="A1362" s="1"/>
      <c r="B1362" s="2"/>
      <c r="C1362" s="2"/>
    </row>
    <row r="1363" spans="1:3" x14ac:dyDescent="0.3">
      <c r="A1363" s="1"/>
      <c r="B1363" s="2"/>
      <c r="C1363" s="2"/>
    </row>
    <row r="1364" spans="1:3" x14ac:dyDescent="0.3">
      <c r="A1364" s="1"/>
      <c r="B1364" s="2"/>
      <c r="C1364" s="2"/>
    </row>
    <row r="1365" spans="1:3" x14ac:dyDescent="0.3">
      <c r="A1365" s="1"/>
      <c r="B1365" s="2"/>
      <c r="C1365" s="2"/>
    </row>
    <row r="1366" spans="1:3" x14ac:dyDescent="0.3">
      <c r="A1366" s="1"/>
      <c r="B1366" s="2"/>
      <c r="C1366" s="2"/>
    </row>
    <row r="1367" spans="1:3" x14ac:dyDescent="0.3">
      <c r="A1367" s="1"/>
      <c r="B1367" s="2"/>
      <c r="C1367" s="2"/>
    </row>
    <row r="1368" spans="1:3" x14ac:dyDescent="0.3">
      <c r="A1368" s="1"/>
      <c r="B1368" s="2"/>
      <c r="C1368" s="2"/>
    </row>
    <row r="1369" spans="1:3" x14ac:dyDescent="0.3">
      <c r="A1369" s="1"/>
      <c r="B1369" s="2"/>
      <c r="C1369" s="2"/>
    </row>
    <row r="1370" spans="1:3" x14ac:dyDescent="0.3">
      <c r="A1370" s="1"/>
      <c r="B1370" s="2"/>
      <c r="C1370" s="2"/>
    </row>
    <row r="1371" spans="1:3" x14ac:dyDescent="0.3">
      <c r="A1371" s="1"/>
      <c r="B1371" s="2"/>
      <c r="C1371" s="2"/>
    </row>
    <row r="1372" spans="1:3" x14ac:dyDescent="0.3">
      <c r="A1372" s="1"/>
      <c r="B1372" s="2"/>
      <c r="C1372" s="2"/>
    </row>
    <row r="1373" spans="1:3" x14ac:dyDescent="0.3">
      <c r="A1373" s="1"/>
      <c r="B1373" s="2"/>
      <c r="C1373" s="2"/>
    </row>
    <row r="1374" spans="1:3" x14ac:dyDescent="0.3">
      <c r="A1374" s="1"/>
      <c r="B1374" s="2"/>
      <c r="C1374" s="2"/>
    </row>
    <row r="1375" spans="1:3" x14ac:dyDescent="0.3">
      <c r="A1375" s="1"/>
      <c r="B1375" s="2"/>
      <c r="C1375" s="2"/>
    </row>
    <row r="1376" spans="1:3" x14ac:dyDescent="0.3">
      <c r="A1376" s="1"/>
      <c r="B1376" s="2"/>
      <c r="C1376" s="2"/>
    </row>
    <row r="1377" spans="1:3" x14ac:dyDescent="0.3">
      <c r="A1377" s="1"/>
      <c r="B1377" s="2"/>
      <c r="C1377" s="2"/>
    </row>
    <row r="1378" spans="1:3" x14ac:dyDescent="0.3">
      <c r="A1378" s="1"/>
      <c r="B1378" s="2"/>
      <c r="C1378" s="2"/>
    </row>
    <row r="1379" spans="1:3" x14ac:dyDescent="0.3">
      <c r="A1379" s="1"/>
      <c r="B1379" s="2"/>
      <c r="C1379" s="2"/>
    </row>
    <row r="1380" spans="1:3" x14ac:dyDescent="0.3">
      <c r="A1380" s="1"/>
      <c r="B1380" s="2"/>
      <c r="C1380" s="2"/>
    </row>
    <row r="1381" spans="1:3" x14ac:dyDescent="0.3">
      <c r="A1381" s="1"/>
      <c r="B1381" s="2"/>
      <c r="C1381" s="2"/>
    </row>
    <row r="1382" spans="1:3" x14ac:dyDescent="0.3">
      <c r="A1382" s="1"/>
      <c r="B1382" s="2"/>
      <c r="C1382" s="2"/>
    </row>
    <row r="1383" spans="1:3" x14ac:dyDescent="0.3">
      <c r="A1383" s="1"/>
      <c r="B1383" s="2"/>
      <c r="C1383" s="2"/>
    </row>
    <row r="1384" spans="1:3" x14ac:dyDescent="0.3">
      <c r="A1384" s="1"/>
      <c r="B1384" s="2"/>
      <c r="C1384" s="2"/>
    </row>
    <row r="1385" spans="1:3" x14ac:dyDescent="0.3">
      <c r="A1385" s="1"/>
      <c r="B1385" s="2"/>
      <c r="C1385" s="2"/>
    </row>
    <row r="1386" spans="1:3" x14ac:dyDescent="0.3">
      <c r="A1386" s="1"/>
      <c r="B1386" s="2"/>
      <c r="C1386" s="2"/>
    </row>
    <row r="1387" spans="1:3" x14ac:dyDescent="0.3">
      <c r="A1387" s="1"/>
      <c r="B1387" s="2"/>
      <c r="C1387" s="2"/>
    </row>
    <row r="1388" spans="1:3" x14ac:dyDescent="0.3">
      <c r="A1388" s="1"/>
      <c r="B1388" s="2"/>
      <c r="C1388" s="2"/>
    </row>
    <row r="1389" spans="1:3" x14ac:dyDescent="0.3">
      <c r="A1389" s="1"/>
      <c r="B1389" s="2"/>
      <c r="C1389" s="2"/>
    </row>
    <row r="1390" spans="1:3" x14ac:dyDescent="0.3">
      <c r="A1390" s="1"/>
      <c r="B1390" s="2"/>
      <c r="C1390" s="2"/>
    </row>
    <row r="1391" spans="1:3" x14ac:dyDescent="0.3">
      <c r="A1391" s="1"/>
      <c r="B1391" s="2"/>
      <c r="C1391" s="2"/>
    </row>
    <row r="1392" spans="1:3" x14ac:dyDescent="0.3">
      <c r="A1392" s="1"/>
      <c r="B1392" s="2"/>
      <c r="C1392" s="2"/>
    </row>
    <row r="1393" spans="1:3" x14ac:dyDescent="0.3">
      <c r="A1393" s="1"/>
      <c r="B1393" s="2"/>
      <c r="C1393" s="2"/>
    </row>
    <row r="1394" spans="1:3" x14ac:dyDescent="0.3">
      <c r="A1394" s="1"/>
      <c r="B1394" s="2"/>
      <c r="C1394" s="2"/>
    </row>
    <row r="1395" spans="1:3" x14ac:dyDescent="0.3">
      <c r="A1395" s="1"/>
      <c r="B1395" s="2"/>
      <c r="C1395" s="2"/>
    </row>
    <row r="1396" spans="1:3" x14ac:dyDescent="0.3">
      <c r="A1396" s="1"/>
      <c r="B1396" s="2"/>
      <c r="C1396" s="2"/>
    </row>
    <row r="1397" spans="1:3" x14ac:dyDescent="0.3">
      <c r="A1397" s="1"/>
      <c r="B1397" s="2"/>
      <c r="C1397" s="2"/>
    </row>
    <row r="1398" spans="1:3" x14ac:dyDescent="0.3">
      <c r="A1398" s="1"/>
      <c r="B1398" s="2"/>
      <c r="C1398" s="2"/>
    </row>
    <row r="1399" spans="1:3" x14ac:dyDescent="0.3">
      <c r="A1399" s="1"/>
      <c r="B1399" s="2"/>
      <c r="C1399" s="2"/>
    </row>
    <row r="1400" spans="1:3" x14ac:dyDescent="0.3">
      <c r="A1400" s="1"/>
      <c r="B1400" s="2"/>
      <c r="C1400" s="2"/>
    </row>
    <row r="1401" spans="1:3" x14ac:dyDescent="0.3">
      <c r="A1401" s="1"/>
      <c r="B1401" s="2"/>
      <c r="C1401" s="2"/>
    </row>
    <row r="1402" spans="1:3" x14ac:dyDescent="0.3">
      <c r="A1402" s="1"/>
      <c r="B1402" s="2"/>
      <c r="C1402" s="2"/>
    </row>
    <row r="1403" spans="1:3" x14ac:dyDescent="0.3">
      <c r="A1403" s="1"/>
      <c r="B1403" s="2"/>
      <c r="C1403" s="2"/>
    </row>
    <row r="1404" spans="1:3" x14ac:dyDescent="0.3">
      <c r="A1404" s="1"/>
      <c r="B1404" s="2"/>
      <c r="C1404" s="2"/>
    </row>
    <row r="1405" spans="1:3" x14ac:dyDescent="0.3">
      <c r="A1405" s="1"/>
      <c r="B1405" s="2"/>
      <c r="C1405" s="2"/>
    </row>
    <row r="1406" spans="1:3" x14ac:dyDescent="0.3">
      <c r="A1406" s="1"/>
      <c r="B1406" s="2"/>
      <c r="C1406" s="2"/>
    </row>
    <row r="1407" spans="1:3" x14ac:dyDescent="0.3">
      <c r="A1407" s="1"/>
      <c r="B1407" s="2"/>
      <c r="C1407" s="2"/>
    </row>
    <row r="1408" spans="1:3" x14ac:dyDescent="0.3">
      <c r="A1408" s="1"/>
      <c r="B1408" s="2"/>
      <c r="C1408" s="2"/>
    </row>
    <row r="1409" spans="1:3" x14ac:dyDescent="0.3">
      <c r="A1409" s="1"/>
      <c r="B1409" s="2"/>
      <c r="C1409" s="2"/>
    </row>
    <row r="1410" spans="1:3" x14ac:dyDescent="0.3">
      <c r="A1410" s="1"/>
      <c r="B1410" s="2"/>
      <c r="C1410" s="2"/>
    </row>
    <row r="1411" spans="1:3" x14ac:dyDescent="0.3">
      <c r="A1411" s="1"/>
      <c r="B1411" s="2"/>
      <c r="C1411" s="2"/>
    </row>
    <row r="1412" spans="1:3" x14ac:dyDescent="0.3">
      <c r="A1412" s="1"/>
      <c r="B1412" s="2"/>
      <c r="C1412" s="2"/>
    </row>
    <row r="1413" spans="1:3" x14ac:dyDescent="0.3">
      <c r="A1413" s="1"/>
      <c r="B1413" s="2"/>
      <c r="C1413" s="2"/>
    </row>
    <row r="1414" spans="1:3" x14ac:dyDescent="0.3">
      <c r="A1414" s="1"/>
      <c r="B1414" s="2"/>
      <c r="C1414" s="2"/>
    </row>
    <row r="1415" spans="1:3" x14ac:dyDescent="0.3">
      <c r="A1415" s="1"/>
      <c r="B1415" s="2"/>
      <c r="C1415" s="2"/>
    </row>
    <row r="1416" spans="1:3" x14ac:dyDescent="0.3">
      <c r="A1416" s="1"/>
      <c r="B1416" s="2"/>
      <c r="C1416" s="2"/>
    </row>
    <row r="1417" spans="1:3" x14ac:dyDescent="0.3">
      <c r="A1417" s="1"/>
      <c r="B1417" s="2"/>
      <c r="C1417" s="2"/>
    </row>
    <row r="1418" spans="1:3" x14ac:dyDescent="0.3">
      <c r="A1418" s="1"/>
      <c r="B1418" s="2"/>
      <c r="C1418" s="2"/>
    </row>
    <row r="1419" spans="1:3" x14ac:dyDescent="0.3">
      <c r="A1419" s="1"/>
      <c r="B1419" s="2"/>
      <c r="C1419" s="2"/>
    </row>
    <row r="1420" spans="1:3" x14ac:dyDescent="0.3">
      <c r="A1420" s="1"/>
      <c r="B1420" s="2"/>
      <c r="C1420" s="2"/>
    </row>
    <row r="1421" spans="1:3" x14ac:dyDescent="0.3">
      <c r="A1421" s="1"/>
      <c r="B1421" s="2"/>
      <c r="C1421" s="2"/>
    </row>
    <row r="1422" spans="1:3" x14ac:dyDescent="0.3">
      <c r="A1422" s="1"/>
      <c r="B1422" s="2"/>
      <c r="C1422" s="2"/>
    </row>
    <row r="1423" spans="1:3" x14ac:dyDescent="0.3">
      <c r="A1423" s="1"/>
      <c r="B1423" s="2"/>
      <c r="C1423" s="2"/>
    </row>
    <row r="1424" spans="1:3" x14ac:dyDescent="0.3">
      <c r="A1424" s="1"/>
      <c r="B1424" s="2"/>
      <c r="C1424" s="2"/>
    </row>
    <row r="1425" spans="1:3" x14ac:dyDescent="0.3">
      <c r="A1425" s="1"/>
      <c r="B1425" s="2"/>
      <c r="C1425" s="2"/>
    </row>
    <row r="1426" spans="1:3" x14ac:dyDescent="0.3">
      <c r="A1426" s="1"/>
      <c r="B1426" s="2"/>
      <c r="C1426" s="2"/>
    </row>
    <row r="1427" spans="1:3" x14ac:dyDescent="0.3">
      <c r="A1427" s="1"/>
      <c r="B1427" s="2"/>
      <c r="C1427" s="2"/>
    </row>
    <row r="1428" spans="1:3" x14ac:dyDescent="0.3">
      <c r="A1428" s="1"/>
      <c r="B1428" s="2"/>
      <c r="C1428" s="2"/>
    </row>
    <row r="1429" spans="1:3" x14ac:dyDescent="0.3">
      <c r="A1429" s="1"/>
      <c r="B1429" s="2"/>
      <c r="C1429" s="2"/>
    </row>
    <row r="1430" spans="1:3" x14ac:dyDescent="0.3">
      <c r="A1430" s="1"/>
      <c r="B1430" s="2"/>
      <c r="C1430" s="2"/>
    </row>
    <row r="1431" spans="1:3" x14ac:dyDescent="0.3">
      <c r="A1431" s="1"/>
      <c r="B1431" s="2"/>
      <c r="C1431" s="2"/>
    </row>
    <row r="1432" spans="1:3" x14ac:dyDescent="0.3">
      <c r="A1432" s="1"/>
      <c r="B1432" s="2"/>
      <c r="C1432" s="2"/>
    </row>
    <row r="1433" spans="1:3" x14ac:dyDescent="0.3">
      <c r="A1433" s="1"/>
      <c r="B1433" s="2"/>
      <c r="C1433" s="2"/>
    </row>
    <row r="1434" spans="1:3" x14ac:dyDescent="0.3">
      <c r="A1434" s="1"/>
      <c r="B1434" s="2"/>
      <c r="C1434" s="2"/>
    </row>
    <row r="1435" spans="1:3" x14ac:dyDescent="0.3">
      <c r="A1435" s="1"/>
      <c r="B1435" s="2"/>
      <c r="C1435" s="2"/>
    </row>
    <row r="1436" spans="1:3" x14ac:dyDescent="0.3">
      <c r="A1436" s="1"/>
      <c r="B1436" s="2"/>
      <c r="C1436" s="2"/>
    </row>
    <row r="1437" spans="1:3" x14ac:dyDescent="0.3">
      <c r="A1437" s="1"/>
      <c r="B1437" s="2"/>
      <c r="C1437" s="2"/>
    </row>
    <row r="1438" spans="1:3" x14ac:dyDescent="0.3">
      <c r="A1438" s="1"/>
      <c r="B1438" s="2"/>
      <c r="C1438" s="2"/>
    </row>
    <row r="1439" spans="1:3" x14ac:dyDescent="0.3">
      <c r="A1439" s="1"/>
      <c r="B1439" s="2"/>
      <c r="C1439" s="2"/>
    </row>
    <row r="1440" spans="1:3" x14ac:dyDescent="0.3">
      <c r="A1440" s="1"/>
      <c r="B1440" s="2"/>
      <c r="C1440" s="2"/>
    </row>
    <row r="1441" spans="1:3" x14ac:dyDescent="0.3">
      <c r="A1441" s="1"/>
      <c r="B1441" s="2"/>
      <c r="C1441" s="2"/>
    </row>
    <row r="1442" spans="1:3" x14ac:dyDescent="0.3">
      <c r="A1442" s="1"/>
      <c r="B1442" s="2"/>
      <c r="C1442" s="2"/>
    </row>
    <row r="1443" spans="1:3" x14ac:dyDescent="0.3">
      <c r="A1443" s="1"/>
      <c r="B1443" s="2"/>
      <c r="C1443" s="2"/>
    </row>
    <row r="1444" spans="1:3" x14ac:dyDescent="0.3">
      <c r="A1444" s="1"/>
      <c r="B1444" s="2"/>
      <c r="C1444" s="2"/>
    </row>
    <row r="1445" spans="1:3" x14ac:dyDescent="0.3">
      <c r="A1445" s="1"/>
      <c r="B1445" s="2"/>
      <c r="C1445" s="2"/>
    </row>
    <row r="1446" spans="1:3" x14ac:dyDescent="0.3">
      <c r="A1446" s="1"/>
      <c r="B1446" s="2"/>
      <c r="C1446" s="2"/>
    </row>
    <row r="1447" spans="1:3" x14ac:dyDescent="0.3">
      <c r="A1447" s="1"/>
      <c r="B1447" s="2"/>
      <c r="C1447" s="2"/>
    </row>
    <row r="1448" spans="1:3" x14ac:dyDescent="0.3">
      <c r="A1448" s="1"/>
      <c r="B1448" s="2"/>
      <c r="C1448" s="2"/>
    </row>
    <row r="1449" spans="1:3" x14ac:dyDescent="0.3">
      <c r="A1449" s="1"/>
      <c r="B1449" s="2"/>
      <c r="C1449" s="2"/>
    </row>
    <row r="1450" spans="1:3" x14ac:dyDescent="0.3">
      <c r="A1450" s="1"/>
      <c r="B1450" s="2"/>
      <c r="C1450" s="2"/>
    </row>
    <row r="1451" spans="1:3" x14ac:dyDescent="0.3">
      <c r="A1451" s="1"/>
      <c r="B1451" s="2"/>
      <c r="C1451" s="2"/>
    </row>
    <row r="1452" spans="1:3" x14ac:dyDescent="0.3">
      <c r="A1452" s="1"/>
      <c r="B1452" s="2"/>
      <c r="C1452" s="2"/>
    </row>
    <row r="1453" spans="1:3" x14ac:dyDescent="0.3">
      <c r="A1453" s="1"/>
      <c r="B1453" s="2"/>
      <c r="C1453" s="2"/>
    </row>
    <row r="1454" spans="1:3" x14ac:dyDescent="0.3">
      <c r="A1454" s="1"/>
      <c r="B1454" s="2"/>
      <c r="C1454" s="2"/>
    </row>
    <row r="1455" spans="1:3" x14ac:dyDescent="0.3">
      <c r="A1455" s="1"/>
      <c r="B1455" s="2"/>
      <c r="C1455" s="2"/>
    </row>
    <row r="1456" spans="1:3" x14ac:dyDescent="0.3">
      <c r="A1456" s="1"/>
      <c r="B1456" s="2"/>
      <c r="C1456" s="2"/>
    </row>
    <row r="1457" spans="1:3" x14ac:dyDescent="0.3">
      <c r="A1457" s="1"/>
      <c r="B1457" s="2"/>
      <c r="C1457" s="2"/>
    </row>
    <row r="1458" spans="1:3" x14ac:dyDescent="0.3">
      <c r="A1458" s="1"/>
      <c r="B1458" s="2"/>
      <c r="C1458" s="2"/>
    </row>
    <row r="1459" spans="1:3" x14ac:dyDescent="0.3">
      <c r="A1459" s="1"/>
      <c r="B1459" s="2"/>
      <c r="C1459" s="2"/>
    </row>
    <row r="1460" spans="1:3" x14ac:dyDescent="0.3">
      <c r="A1460" s="1"/>
      <c r="B1460" s="2"/>
      <c r="C1460" s="2"/>
    </row>
    <row r="1461" spans="1:3" x14ac:dyDescent="0.3">
      <c r="A1461" s="1"/>
      <c r="B1461" s="2"/>
      <c r="C1461" s="2"/>
    </row>
    <row r="1462" spans="1:3" x14ac:dyDescent="0.3">
      <c r="A1462" s="1"/>
      <c r="B1462" s="2"/>
      <c r="C1462" s="2"/>
    </row>
    <row r="1463" spans="1:3" x14ac:dyDescent="0.3">
      <c r="A1463" s="1"/>
      <c r="B1463" s="2"/>
      <c r="C1463" s="2"/>
    </row>
    <row r="1464" spans="1:3" x14ac:dyDescent="0.3">
      <c r="A1464" s="1"/>
      <c r="B1464" s="2"/>
      <c r="C1464" s="2"/>
    </row>
    <row r="1465" spans="1:3" x14ac:dyDescent="0.3">
      <c r="A1465" s="1"/>
      <c r="B1465" s="2"/>
      <c r="C1465" s="2"/>
    </row>
    <row r="1466" spans="1:3" x14ac:dyDescent="0.3">
      <c r="A1466" s="1"/>
      <c r="B1466" s="2"/>
      <c r="C1466" s="2"/>
    </row>
    <row r="1467" spans="1:3" x14ac:dyDescent="0.3">
      <c r="A1467" s="1"/>
      <c r="B1467" s="2"/>
      <c r="C1467" s="2"/>
    </row>
    <row r="1468" spans="1:3" x14ac:dyDescent="0.3">
      <c r="A1468" s="1"/>
      <c r="B1468" s="2"/>
      <c r="C1468" s="2"/>
    </row>
    <row r="1469" spans="1:3" x14ac:dyDescent="0.3">
      <c r="A1469" s="1"/>
      <c r="B1469" s="2"/>
      <c r="C1469" s="2"/>
    </row>
    <row r="1470" spans="1:3" x14ac:dyDescent="0.3">
      <c r="A1470" s="1"/>
      <c r="B1470" s="2"/>
      <c r="C1470" s="2"/>
    </row>
    <row r="1471" spans="1:3" x14ac:dyDescent="0.3">
      <c r="A1471" s="1"/>
      <c r="B1471" s="2"/>
      <c r="C1471" s="2"/>
    </row>
    <row r="1472" spans="1:3" x14ac:dyDescent="0.3">
      <c r="A1472" s="1"/>
      <c r="B1472" s="2"/>
      <c r="C1472" s="2"/>
    </row>
    <row r="1473" spans="1:3" x14ac:dyDescent="0.3">
      <c r="A1473" s="1"/>
      <c r="B1473" s="2"/>
      <c r="C1473" s="2"/>
    </row>
    <row r="1474" spans="1:3" x14ac:dyDescent="0.3">
      <c r="A1474" s="1"/>
      <c r="B1474" s="2"/>
      <c r="C1474" s="2"/>
    </row>
    <row r="1475" spans="1:3" x14ac:dyDescent="0.3">
      <c r="A1475" s="1"/>
      <c r="B1475" s="2"/>
      <c r="C1475" s="2"/>
    </row>
    <row r="1476" spans="1:3" x14ac:dyDescent="0.3">
      <c r="A1476" s="1"/>
      <c r="B1476" s="2"/>
      <c r="C1476" s="2"/>
    </row>
    <row r="1477" spans="1:3" x14ac:dyDescent="0.3">
      <c r="A1477" s="1"/>
      <c r="B1477" s="2"/>
      <c r="C1477" s="2"/>
    </row>
    <row r="1478" spans="1:3" x14ac:dyDescent="0.3">
      <c r="A1478" s="1"/>
      <c r="B1478" s="2"/>
      <c r="C1478" s="2"/>
    </row>
    <row r="1479" spans="1:3" x14ac:dyDescent="0.3">
      <c r="A1479" s="1"/>
      <c r="B1479" s="2"/>
      <c r="C1479" s="2"/>
    </row>
    <row r="1480" spans="1:3" x14ac:dyDescent="0.3">
      <c r="A1480" s="1"/>
      <c r="B1480" s="2"/>
      <c r="C1480" s="2"/>
    </row>
    <row r="1481" spans="1:3" x14ac:dyDescent="0.3">
      <c r="A1481" s="1"/>
      <c r="B1481" s="2"/>
      <c r="C1481" s="2"/>
    </row>
    <row r="1482" spans="1:3" x14ac:dyDescent="0.3">
      <c r="A1482" s="1"/>
      <c r="B1482" s="2"/>
      <c r="C1482" s="2"/>
    </row>
    <row r="1483" spans="1:3" x14ac:dyDescent="0.3">
      <c r="A1483" s="1"/>
      <c r="B1483" s="2"/>
      <c r="C1483" s="2"/>
    </row>
    <row r="1484" spans="1:3" x14ac:dyDescent="0.3">
      <c r="A1484" s="1"/>
      <c r="B1484" s="2"/>
      <c r="C1484" s="2"/>
    </row>
    <row r="1485" spans="1:3" x14ac:dyDescent="0.3">
      <c r="A1485" s="1"/>
      <c r="B1485" s="2"/>
      <c r="C1485" s="2"/>
    </row>
    <row r="1486" spans="1:3" x14ac:dyDescent="0.3">
      <c r="A1486" s="1"/>
      <c r="B1486" s="2"/>
      <c r="C1486" s="2"/>
    </row>
    <row r="1487" spans="1:3" x14ac:dyDescent="0.3">
      <c r="A1487" s="1"/>
      <c r="B1487" s="2"/>
      <c r="C1487" s="2"/>
    </row>
    <row r="1488" spans="1:3" x14ac:dyDescent="0.3">
      <c r="A1488" s="1"/>
      <c r="B1488" s="2"/>
      <c r="C1488" s="2"/>
    </row>
    <row r="1489" spans="1:3" x14ac:dyDescent="0.3">
      <c r="A1489" s="1"/>
      <c r="B1489" s="2"/>
      <c r="C1489" s="2"/>
    </row>
    <row r="1490" spans="1:3" x14ac:dyDescent="0.3">
      <c r="A1490" s="1"/>
      <c r="B1490" s="2"/>
      <c r="C1490" s="2"/>
    </row>
    <row r="1491" spans="1:3" x14ac:dyDescent="0.3">
      <c r="A1491" s="1"/>
      <c r="B1491" s="2"/>
      <c r="C1491" s="2"/>
    </row>
    <row r="1492" spans="1:3" x14ac:dyDescent="0.3">
      <c r="A1492" s="1"/>
      <c r="B1492" s="2"/>
      <c r="C1492" s="2"/>
    </row>
    <row r="1493" spans="1:3" x14ac:dyDescent="0.3">
      <c r="A1493" s="1"/>
      <c r="B1493" s="2"/>
      <c r="C1493" s="2"/>
    </row>
    <row r="1494" spans="1:3" x14ac:dyDescent="0.3">
      <c r="A1494" s="1"/>
      <c r="B1494" s="2"/>
      <c r="C1494" s="2"/>
    </row>
    <row r="1495" spans="1:3" x14ac:dyDescent="0.3">
      <c r="A1495" s="1"/>
      <c r="B1495" s="2"/>
      <c r="C1495" s="2"/>
    </row>
    <row r="1496" spans="1:3" x14ac:dyDescent="0.3">
      <c r="A1496" s="1"/>
      <c r="B1496" s="2"/>
      <c r="C1496" s="2"/>
    </row>
    <row r="1497" spans="1:3" x14ac:dyDescent="0.3">
      <c r="A1497" s="1"/>
      <c r="B1497" s="2"/>
      <c r="C1497" s="2"/>
    </row>
    <row r="1498" spans="1:3" x14ac:dyDescent="0.3">
      <c r="A1498" s="1"/>
      <c r="B1498" s="2"/>
      <c r="C1498" s="2"/>
    </row>
    <row r="1499" spans="1:3" x14ac:dyDescent="0.3">
      <c r="A1499" s="1"/>
      <c r="B1499" s="2"/>
      <c r="C1499" s="2"/>
    </row>
    <row r="1500" spans="1:3" x14ac:dyDescent="0.3">
      <c r="A1500" s="1"/>
      <c r="B1500" s="2"/>
      <c r="C1500" s="2"/>
    </row>
    <row r="1501" spans="1:3" x14ac:dyDescent="0.3">
      <c r="A1501" s="1"/>
      <c r="B1501" s="2"/>
      <c r="C1501" s="2"/>
    </row>
    <row r="1502" spans="1:3" x14ac:dyDescent="0.3">
      <c r="A1502" s="1"/>
      <c r="B1502" s="2"/>
      <c r="C1502" s="2"/>
    </row>
    <row r="1503" spans="1:3" x14ac:dyDescent="0.3">
      <c r="A1503" s="1"/>
      <c r="B1503" s="2"/>
      <c r="C1503" s="2"/>
    </row>
    <row r="1504" spans="1:3" x14ac:dyDescent="0.3">
      <c r="A1504" s="1"/>
      <c r="B1504" s="2"/>
      <c r="C1504" s="2"/>
    </row>
    <row r="1505" spans="1:3" x14ac:dyDescent="0.3">
      <c r="A1505" s="1"/>
      <c r="B1505" s="2"/>
      <c r="C1505" s="2"/>
    </row>
    <row r="1506" spans="1:3" x14ac:dyDescent="0.3">
      <c r="A1506" s="1"/>
      <c r="B1506" s="2"/>
      <c r="C1506" s="2"/>
    </row>
    <row r="1507" spans="1:3" x14ac:dyDescent="0.3">
      <c r="A1507" s="1"/>
      <c r="B1507" s="2"/>
      <c r="C1507" s="2"/>
    </row>
    <row r="1508" spans="1:3" x14ac:dyDescent="0.3">
      <c r="A1508" s="1"/>
      <c r="B1508" s="2"/>
      <c r="C1508" s="2"/>
    </row>
    <row r="1509" spans="1:3" x14ac:dyDescent="0.3">
      <c r="A1509" s="1"/>
      <c r="B1509" s="2"/>
      <c r="C1509" s="2"/>
    </row>
    <row r="1510" spans="1:3" x14ac:dyDescent="0.3">
      <c r="A1510" s="1"/>
      <c r="B1510" s="2"/>
      <c r="C1510" s="2"/>
    </row>
    <row r="1511" spans="1:3" x14ac:dyDescent="0.3">
      <c r="A1511" s="1"/>
      <c r="B1511" s="2"/>
      <c r="C1511" s="2"/>
    </row>
    <row r="1512" spans="1:3" x14ac:dyDescent="0.3">
      <c r="A1512" s="1"/>
      <c r="B1512" s="2"/>
      <c r="C1512" s="2"/>
    </row>
    <row r="1513" spans="1:3" x14ac:dyDescent="0.3">
      <c r="A1513" s="1"/>
      <c r="B1513" s="2"/>
      <c r="C1513" s="2"/>
    </row>
    <row r="1514" spans="1:3" x14ac:dyDescent="0.3">
      <c r="A1514" s="1"/>
      <c r="B1514" s="2"/>
      <c r="C1514" s="2"/>
    </row>
    <row r="1515" spans="1:3" x14ac:dyDescent="0.3">
      <c r="A1515" s="1"/>
      <c r="B1515" s="2"/>
      <c r="C1515" s="2"/>
    </row>
    <row r="1516" spans="1:3" x14ac:dyDescent="0.3">
      <c r="A1516" s="1"/>
      <c r="B1516" s="2"/>
      <c r="C1516" s="2"/>
    </row>
    <row r="1517" spans="1:3" x14ac:dyDescent="0.3">
      <c r="A1517" s="1"/>
      <c r="B1517" s="2"/>
      <c r="C1517" s="2"/>
    </row>
    <row r="1518" spans="1:3" x14ac:dyDescent="0.3">
      <c r="A1518" s="1"/>
      <c r="B1518" s="2"/>
      <c r="C1518" s="2"/>
    </row>
    <row r="1519" spans="1:3" x14ac:dyDescent="0.3">
      <c r="A1519" s="1"/>
      <c r="B1519" s="2"/>
      <c r="C1519" s="2"/>
    </row>
    <row r="1520" spans="1:3" x14ac:dyDescent="0.3">
      <c r="A1520" s="1"/>
      <c r="B1520" s="2"/>
      <c r="C1520" s="2"/>
    </row>
    <row r="1521" spans="1:3" x14ac:dyDescent="0.3">
      <c r="A1521" s="1"/>
      <c r="B1521" s="2"/>
      <c r="C1521" s="2"/>
    </row>
    <row r="1522" spans="1:3" x14ac:dyDescent="0.3">
      <c r="A1522" s="1"/>
      <c r="B1522" s="2"/>
      <c r="C1522" s="2"/>
    </row>
    <row r="1523" spans="1:3" x14ac:dyDescent="0.3">
      <c r="A1523" s="1"/>
      <c r="B1523" s="2"/>
      <c r="C1523" s="2"/>
    </row>
    <row r="1524" spans="1:3" x14ac:dyDescent="0.3">
      <c r="A1524" s="1"/>
      <c r="B1524" s="2"/>
      <c r="C1524" s="2"/>
    </row>
    <row r="1525" spans="1:3" x14ac:dyDescent="0.3">
      <c r="A1525" s="1"/>
      <c r="B1525" s="2"/>
      <c r="C1525" s="2"/>
    </row>
    <row r="1526" spans="1:3" x14ac:dyDescent="0.3">
      <c r="A1526" s="1"/>
      <c r="B1526" s="2"/>
      <c r="C1526" s="2"/>
    </row>
    <row r="1527" spans="1:3" x14ac:dyDescent="0.3">
      <c r="A1527" s="1"/>
      <c r="B1527" s="2"/>
      <c r="C1527" s="2"/>
    </row>
    <row r="1528" spans="1:3" x14ac:dyDescent="0.3">
      <c r="A1528" s="1"/>
      <c r="B1528" s="2"/>
      <c r="C1528" s="2"/>
    </row>
    <row r="1529" spans="1:3" x14ac:dyDescent="0.3">
      <c r="A1529" s="1"/>
      <c r="B1529" s="2"/>
      <c r="C1529" s="2"/>
    </row>
    <row r="1530" spans="1:3" x14ac:dyDescent="0.3">
      <c r="A1530" s="1"/>
      <c r="B1530" s="2"/>
      <c r="C1530" s="2"/>
    </row>
    <row r="1531" spans="1:3" x14ac:dyDescent="0.3">
      <c r="A1531" s="1"/>
      <c r="B1531" s="2"/>
      <c r="C1531" s="2"/>
    </row>
    <row r="1532" spans="1:3" x14ac:dyDescent="0.3">
      <c r="A1532" s="1"/>
      <c r="B1532" s="2"/>
      <c r="C1532" s="2"/>
    </row>
    <row r="1533" spans="1:3" x14ac:dyDescent="0.3">
      <c r="A1533" s="1"/>
      <c r="B1533" s="2"/>
      <c r="C1533" s="2"/>
    </row>
    <row r="1534" spans="1:3" x14ac:dyDescent="0.3">
      <c r="A1534" s="1"/>
      <c r="B1534" s="2"/>
      <c r="C1534" s="2"/>
    </row>
    <row r="1535" spans="1:3" x14ac:dyDescent="0.3">
      <c r="A1535" s="1"/>
      <c r="B1535" s="2"/>
      <c r="C1535" s="2"/>
    </row>
    <row r="1536" spans="1:3" x14ac:dyDescent="0.3">
      <c r="A1536" s="1"/>
      <c r="B1536" s="2"/>
      <c r="C1536" s="2"/>
    </row>
    <row r="1537" spans="1:3" x14ac:dyDescent="0.3">
      <c r="A1537" s="1"/>
      <c r="B1537" s="2"/>
      <c r="C1537" s="2"/>
    </row>
    <row r="1538" spans="1:3" x14ac:dyDescent="0.3">
      <c r="A1538" s="1"/>
      <c r="B1538" s="2"/>
      <c r="C1538" s="2"/>
    </row>
    <row r="1539" spans="1:3" x14ac:dyDescent="0.3">
      <c r="A1539" s="1"/>
      <c r="B1539" s="2"/>
      <c r="C1539" s="2"/>
    </row>
    <row r="1540" spans="1:3" x14ac:dyDescent="0.3">
      <c r="A1540" s="1"/>
      <c r="B1540" s="2"/>
      <c r="C1540" s="2"/>
    </row>
    <row r="1541" spans="1:3" x14ac:dyDescent="0.3">
      <c r="A1541" s="1"/>
      <c r="B1541" s="2"/>
      <c r="C1541" s="2"/>
    </row>
    <row r="1542" spans="1:3" x14ac:dyDescent="0.3">
      <c r="A1542" s="1"/>
      <c r="B1542" s="2"/>
      <c r="C1542" s="2"/>
    </row>
    <row r="1543" spans="1:3" x14ac:dyDescent="0.3">
      <c r="A1543" s="1"/>
      <c r="B1543" s="2"/>
      <c r="C1543" s="2"/>
    </row>
    <row r="1544" spans="1:3" x14ac:dyDescent="0.3">
      <c r="A1544" s="1"/>
      <c r="B1544" s="2"/>
      <c r="C1544" s="2"/>
    </row>
    <row r="1545" spans="1:3" x14ac:dyDescent="0.3">
      <c r="A1545" s="1"/>
      <c r="B1545" s="2"/>
      <c r="C1545" s="2"/>
    </row>
    <row r="1546" spans="1:3" x14ac:dyDescent="0.3">
      <c r="A1546" s="1"/>
      <c r="B1546" s="2"/>
      <c r="C1546" s="2"/>
    </row>
    <row r="1547" spans="1:3" x14ac:dyDescent="0.3">
      <c r="A1547" s="1"/>
      <c r="B1547" s="2"/>
      <c r="C1547" s="2"/>
    </row>
    <row r="1548" spans="1:3" x14ac:dyDescent="0.3">
      <c r="A1548" s="1"/>
      <c r="B1548" s="2"/>
      <c r="C1548" s="2"/>
    </row>
    <row r="1549" spans="1:3" x14ac:dyDescent="0.3">
      <c r="A1549" s="1"/>
      <c r="B1549" s="2"/>
      <c r="C1549" s="2"/>
    </row>
    <row r="1550" spans="1:3" x14ac:dyDescent="0.3">
      <c r="A1550" s="1"/>
      <c r="B1550" s="2"/>
      <c r="C1550" s="2"/>
    </row>
    <row r="1551" spans="1:3" x14ac:dyDescent="0.3">
      <c r="A1551" s="1"/>
      <c r="B1551" s="2"/>
      <c r="C1551" s="2"/>
    </row>
    <row r="1552" spans="1:3" x14ac:dyDescent="0.3">
      <c r="A1552" s="1"/>
      <c r="B1552" s="2"/>
      <c r="C1552" s="2"/>
    </row>
    <row r="1553" spans="1:3" x14ac:dyDescent="0.3">
      <c r="A1553" s="1"/>
      <c r="B1553" s="2"/>
      <c r="C1553" s="2"/>
    </row>
    <row r="1554" spans="1:3" x14ac:dyDescent="0.3">
      <c r="A1554" s="1"/>
      <c r="B1554" s="2"/>
      <c r="C1554" s="2"/>
    </row>
    <row r="1555" spans="1:3" x14ac:dyDescent="0.3">
      <c r="A1555" s="1"/>
      <c r="B1555" s="2"/>
      <c r="C1555" s="2"/>
    </row>
    <row r="1556" spans="1:3" x14ac:dyDescent="0.3">
      <c r="A1556" s="1"/>
      <c r="B1556" s="2"/>
      <c r="C1556" s="2"/>
    </row>
    <row r="1557" spans="1:3" x14ac:dyDescent="0.3">
      <c r="A1557" s="1"/>
      <c r="B1557" s="2"/>
      <c r="C1557" s="2"/>
    </row>
    <row r="1558" spans="1:3" x14ac:dyDescent="0.3">
      <c r="A1558" s="1"/>
      <c r="B1558" s="2"/>
      <c r="C1558" s="2"/>
    </row>
    <row r="1559" spans="1:3" x14ac:dyDescent="0.3">
      <c r="A1559" s="1"/>
      <c r="B1559" s="2"/>
      <c r="C1559" s="2"/>
    </row>
    <row r="1560" spans="1:3" x14ac:dyDescent="0.3">
      <c r="A1560" s="1"/>
      <c r="B1560" s="2"/>
      <c r="C1560" s="2"/>
    </row>
    <row r="1561" spans="1:3" x14ac:dyDescent="0.3">
      <c r="A1561" s="1"/>
      <c r="B1561" s="2"/>
      <c r="C1561" s="2"/>
    </row>
    <row r="1562" spans="1:3" x14ac:dyDescent="0.3">
      <c r="A1562" s="1"/>
      <c r="B1562" s="2"/>
      <c r="C1562" s="2"/>
    </row>
    <row r="1563" spans="1:3" x14ac:dyDescent="0.3">
      <c r="A1563" s="1"/>
      <c r="B1563" s="2"/>
      <c r="C1563" s="2"/>
    </row>
    <row r="1564" spans="1:3" x14ac:dyDescent="0.3">
      <c r="A1564" s="1"/>
      <c r="B1564" s="2"/>
      <c r="C1564" s="2"/>
    </row>
    <row r="1565" spans="1:3" x14ac:dyDescent="0.3">
      <c r="A1565" s="1"/>
      <c r="B1565" s="2"/>
      <c r="C1565" s="2"/>
    </row>
    <row r="1566" spans="1:3" x14ac:dyDescent="0.3">
      <c r="A1566" s="1"/>
      <c r="B1566" s="2"/>
      <c r="C1566" s="2"/>
    </row>
    <row r="1567" spans="1:3" x14ac:dyDescent="0.3">
      <c r="A1567" s="1"/>
      <c r="B1567" s="2"/>
      <c r="C1567" s="2"/>
    </row>
    <row r="1568" spans="1:3" x14ac:dyDescent="0.3">
      <c r="A1568" s="1"/>
      <c r="B1568" s="2"/>
      <c r="C1568" s="2"/>
    </row>
    <row r="1569" spans="1:3" x14ac:dyDescent="0.3">
      <c r="A1569" s="1"/>
      <c r="B1569" s="2"/>
      <c r="C1569" s="2"/>
    </row>
    <row r="1570" spans="1:3" x14ac:dyDescent="0.3">
      <c r="A1570" s="1"/>
      <c r="B1570" s="2"/>
      <c r="C1570" s="2"/>
    </row>
    <row r="1571" spans="1:3" x14ac:dyDescent="0.3">
      <c r="A1571" s="1"/>
      <c r="B1571" s="2"/>
      <c r="C1571" s="2"/>
    </row>
    <row r="1572" spans="1:3" x14ac:dyDescent="0.3">
      <c r="A1572" s="1"/>
      <c r="B1572" s="2"/>
      <c r="C1572" s="2"/>
    </row>
    <row r="1573" spans="1:3" x14ac:dyDescent="0.3">
      <c r="A1573" s="1"/>
      <c r="B1573" s="2"/>
      <c r="C1573" s="2"/>
    </row>
    <row r="1574" spans="1:3" x14ac:dyDescent="0.3">
      <c r="A1574" s="1"/>
      <c r="B1574" s="2"/>
      <c r="C1574" s="2"/>
    </row>
    <row r="1575" spans="1:3" x14ac:dyDescent="0.3">
      <c r="A1575" s="1"/>
      <c r="B1575" s="2"/>
      <c r="C1575" s="2"/>
    </row>
    <row r="1576" spans="1:3" x14ac:dyDescent="0.3">
      <c r="A1576" s="1"/>
      <c r="B1576" s="2"/>
      <c r="C1576" s="2"/>
    </row>
    <row r="1577" spans="1:3" x14ac:dyDescent="0.3">
      <c r="A1577" s="1"/>
      <c r="B1577" s="2"/>
      <c r="C1577" s="2"/>
    </row>
    <row r="1578" spans="1:3" x14ac:dyDescent="0.3">
      <c r="A1578" s="1"/>
      <c r="B1578" s="2"/>
      <c r="C1578" s="2"/>
    </row>
    <row r="1579" spans="1:3" x14ac:dyDescent="0.3">
      <c r="A1579" s="1"/>
      <c r="B1579" s="2"/>
      <c r="C1579" s="2"/>
    </row>
    <row r="1580" spans="1:3" x14ac:dyDescent="0.3">
      <c r="A1580" s="1"/>
      <c r="B1580" s="2"/>
      <c r="C1580" s="2"/>
    </row>
    <row r="1581" spans="1:3" x14ac:dyDescent="0.3">
      <c r="A1581" s="1"/>
      <c r="B1581" s="2"/>
      <c r="C1581" s="2"/>
    </row>
    <row r="1582" spans="1:3" x14ac:dyDescent="0.3">
      <c r="A1582" s="1"/>
      <c r="B1582" s="2"/>
      <c r="C1582" s="2"/>
    </row>
    <row r="1583" spans="1:3" x14ac:dyDescent="0.3">
      <c r="A1583" s="1"/>
      <c r="B1583" s="2"/>
      <c r="C1583" s="2"/>
    </row>
    <row r="1584" spans="1:3" x14ac:dyDescent="0.3">
      <c r="A1584" s="1"/>
      <c r="B1584" s="2"/>
      <c r="C1584" s="2"/>
    </row>
    <row r="1585" spans="1:3" x14ac:dyDescent="0.3">
      <c r="A1585" s="1"/>
      <c r="B1585" s="2"/>
      <c r="C1585" s="2"/>
    </row>
    <row r="1586" spans="1:3" x14ac:dyDescent="0.3">
      <c r="A1586" s="1"/>
      <c r="B1586" s="2"/>
      <c r="C1586" s="2"/>
    </row>
    <row r="1587" spans="1:3" x14ac:dyDescent="0.3">
      <c r="A1587" s="1"/>
      <c r="B1587" s="2"/>
      <c r="C1587" s="2"/>
    </row>
    <row r="1588" spans="1:3" x14ac:dyDescent="0.3">
      <c r="A1588" s="1"/>
      <c r="B1588" s="2"/>
      <c r="C1588" s="2"/>
    </row>
    <row r="1589" spans="1:3" x14ac:dyDescent="0.3">
      <c r="A1589" s="1"/>
      <c r="B1589" s="2"/>
      <c r="C1589" s="2"/>
    </row>
    <row r="1590" spans="1:3" x14ac:dyDescent="0.3">
      <c r="A1590" s="1"/>
      <c r="B1590" s="2"/>
      <c r="C1590" s="2"/>
    </row>
    <row r="1591" spans="1:3" x14ac:dyDescent="0.3">
      <c r="A1591" s="1"/>
      <c r="B1591" s="2"/>
      <c r="C1591" s="2"/>
    </row>
    <row r="1592" spans="1:3" x14ac:dyDescent="0.3">
      <c r="A1592" s="1"/>
      <c r="B1592" s="2"/>
      <c r="C1592" s="2"/>
    </row>
    <row r="1593" spans="1:3" x14ac:dyDescent="0.3">
      <c r="A1593" s="1"/>
      <c r="B1593" s="2"/>
      <c r="C1593" s="2"/>
    </row>
    <row r="1594" spans="1:3" x14ac:dyDescent="0.3">
      <c r="A1594" s="1"/>
      <c r="B1594" s="2"/>
      <c r="C1594" s="2"/>
    </row>
    <row r="1595" spans="1:3" x14ac:dyDescent="0.3">
      <c r="A1595" s="1"/>
      <c r="B1595" s="2"/>
      <c r="C1595" s="2"/>
    </row>
    <row r="1596" spans="1:3" x14ac:dyDescent="0.3">
      <c r="A1596" s="1"/>
      <c r="B1596" s="2"/>
      <c r="C1596" s="2"/>
    </row>
    <row r="1597" spans="1:3" x14ac:dyDescent="0.3">
      <c r="A1597" s="1"/>
      <c r="B1597" s="2"/>
      <c r="C1597" s="2"/>
    </row>
    <row r="1598" spans="1:3" x14ac:dyDescent="0.3">
      <c r="A1598" s="1"/>
      <c r="B1598" s="2"/>
      <c r="C1598" s="2"/>
    </row>
    <row r="1599" spans="1:3" x14ac:dyDescent="0.3">
      <c r="A1599" s="1"/>
      <c r="B1599" s="2"/>
      <c r="C1599" s="2"/>
    </row>
    <row r="1600" spans="1:3" x14ac:dyDescent="0.3">
      <c r="A1600" s="1"/>
      <c r="B1600" s="2"/>
      <c r="C1600" s="2"/>
    </row>
    <row r="1601" spans="1:3" x14ac:dyDescent="0.3">
      <c r="A1601" s="1"/>
      <c r="B1601" s="2"/>
      <c r="C1601" s="2"/>
    </row>
    <row r="1602" spans="1:3" x14ac:dyDescent="0.3">
      <c r="A1602" s="1"/>
      <c r="B1602" s="2"/>
      <c r="C1602" s="2"/>
    </row>
    <row r="1603" spans="1:3" x14ac:dyDescent="0.3">
      <c r="A1603" s="1"/>
      <c r="B1603" s="2"/>
      <c r="C1603" s="2"/>
    </row>
    <row r="1604" spans="1:3" x14ac:dyDescent="0.3">
      <c r="A1604" s="1"/>
      <c r="B1604" s="2"/>
      <c r="C1604" s="2"/>
    </row>
    <row r="1605" spans="1:3" x14ac:dyDescent="0.3">
      <c r="A1605" s="1"/>
      <c r="B1605" s="2"/>
      <c r="C1605" s="2"/>
    </row>
    <row r="1606" spans="1:3" x14ac:dyDescent="0.3">
      <c r="A1606" s="1"/>
      <c r="B1606" s="2"/>
      <c r="C1606" s="2"/>
    </row>
    <row r="1607" spans="1:3" x14ac:dyDescent="0.3">
      <c r="A1607" s="1"/>
      <c r="B1607" s="2"/>
      <c r="C1607" s="2"/>
    </row>
    <row r="1608" spans="1:3" x14ac:dyDescent="0.3">
      <c r="A1608" s="1"/>
      <c r="B1608" s="2"/>
      <c r="C1608" s="2"/>
    </row>
    <row r="1609" spans="1:3" x14ac:dyDescent="0.3">
      <c r="A1609" s="1"/>
      <c r="B1609" s="2"/>
      <c r="C1609" s="2"/>
    </row>
    <row r="1610" spans="1:3" x14ac:dyDescent="0.3">
      <c r="A1610" s="1"/>
      <c r="B1610" s="2"/>
      <c r="C1610" s="2"/>
    </row>
    <row r="1611" spans="1:3" x14ac:dyDescent="0.3">
      <c r="A1611" s="1"/>
      <c r="B1611" s="2"/>
      <c r="C1611" s="2"/>
    </row>
    <row r="1612" spans="1:3" x14ac:dyDescent="0.3">
      <c r="A1612" s="1"/>
      <c r="B1612" s="2"/>
      <c r="C1612" s="2"/>
    </row>
    <row r="1613" spans="1:3" x14ac:dyDescent="0.3">
      <c r="A1613" s="1"/>
      <c r="B1613" s="2"/>
      <c r="C1613" s="2"/>
    </row>
    <row r="1614" spans="1:3" x14ac:dyDescent="0.3">
      <c r="A1614" s="1"/>
      <c r="B1614" s="2"/>
      <c r="C1614" s="2"/>
    </row>
    <row r="1615" spans="1:3" x14ac:dyDescent="0.3">
      <c r="A1615" s="1"/>
      <c r="B1615" s="2"/>
      <c r="C1615" s="2"/>
    </row>
    <row r="1616" spans="1:3" x14ac:dyDescent="0.3">
      <c r="A1616" s="1"/>
      <c r="B1616" s="2"/>
      <c r="C1616" s="2"/>
    </row>
    <row r="1617" spans="1:3" x14ac:dyDescent="0.3">
      <c r="A1617" s="1"/>
      <c r="B1617" s="2"/>
      <c r="C1617" s="2"/>
    </row>
    <row r="1618" spans="1:3" x14ac:dyDescent="0.3">
      <c r="A1618" s="1"/>
      <c r="B1618" s="2"/>
      <c r="C1618" s="2"/>
    </row>
    <row r="1619" spans="1:3" x14ac:dyDescent="0.3">
      <c r="A1619" s="1"/>
      <c r="B1619" s="2"/>
      <c r="C1619" s="2"/>
    </row>
    <row r="1620" spans="1:3" x14ac:dyDescent="0.3">
      <c r="A1620" s="1"/>
      <c r="B1620" s="2"/>
      <c r="C1620" s="2"/>
    </row>
    <row r="1621" spans="1:3" x14ac:dyDescent="0.3">
      <c r="A1621" s="1"/>
      <c r="B1621" s="2"/>
      <c r="C1621" s="2"/>
    </row>
    <row r="1622" spans="1:3" x14ac:dyDescent="0.3">
      <c r="A1622" s="1"/>
      <c r="B1622" s="2"/>
      <c r="C1622" s="2"/>
    </row>
    <row r="1623" spans="1:3" x14ac:dyDescent="0.3">
      <c r="A1623" s="1"/>
      <c r="B1623" s="2"/>
      <c r="C1623" s="2"/>
    </row>
    <row r="1624" spans="1:3" x14ac:dyDescent="0.3">
      <c r="A1624" s="1"/>
      <c r="B1624" s="2"/>
      <c r="C1624" s="2"/>
    </row>
    <row r="1625" spans="1:3" x14ac:dyDescent="0.3">
      <c r="A1625" s="1"/>
      <c r="B1625" s="2"/>
      <c r="C1625" s="2"/>
    </row>
    <row r="1626" spans="1:3" x14ac:dyDescent="0.3">
      <c r="A1626" s="1"/>
      <c r="B1626" s="2"/>
      <c r="C1626" s="2"/>
    </row>
    <row r="1627" spans="1:3" x14ac:dyDescent="0.3">
      <c r="A1627" s="1"/>
      <c r="B1627" s="2"/>
      <c r="C1627" s="2"/>
    </row>
    <row r="1628" spans="1:3" x14ac:dyDescent="0.3">
      <c r="A1628" s="1"/>
      <c r="B1628" s="2"/>
      <c r="C1628" s="2"/>
    </row>
    <row r="1629" spans="1:3" x14ac:dyDescent="0.3">
      <c r="A1629" s="1"/>
      <c r="B1629" s="2"/>
      <c r="C1629" s="2"/>
    </row>
    <row r="1630" spans="1:3" x14ac:dyDescent="0.3">
      <c r="A1630" s="1"/>
      <c r="B1630" s="2"/>
      <c r="C1630" s="2"/>
    </row>
    <row r="1631" spans="1:3" x14ac:dyDescent="0.3">
      <c r="A1631" s="1"/>
      <c r="B1631" s="2"/>
      <c r="C1631" s="2"/>
    </row>
    <row r="1632" spans="1:3" x14ac:dyDescent="0.3">
      <c r="A1632" s="1"/>
      <c r="B1632" s="2"/>
      <c r="C1632" s="2"/>
    </row>
    <row r="1633" spans="1:3" x14ac:dyDescent="0.3">
      <c r="A1633" s="1"/>
      <c r="B1633" s="2"/>
      <c r="C1633" s="2"/>
    </row>
    <row r="1634" spans="1:3" x14ac:dyDescent="0.3">
      <c r="A1634" s="1"/>
      <c r="B1634" s="2"/>
      <c r="C1634" s="2"/>
    </row>
    <row r="1635" spans="1:3" x14ac:dyDescent="0.3">
      <c r="A1635" s="1"/>
      <c r="B1635" s="2"/>
      <c r="C1635" s="2"/>
    </row>
    <row r="1636" spans="1:3" x14ac:dyDescent="0.3">
      <c r="A1636" s="1"/>
      <c r="B1636" s="2"/>
      <c r="C1636" s="2"/>
    </row>
    <row r="1637" spans="1:3" x14ac:dyDescent="0.3">
      <c r="A1637" s="1"/>
      <c r="B1637" s="2"/>
      <c r="C1637" s="2"/>
    </row>
    <row r="1638" spans="1:3" x14ac:dyDescent="0.3">
      <c r="A1638" s="1"/>
      <c r="B1638" s="2"/>
      <c r="C1638" s="2"/>
    </row>
    <row r="1639" spans="1:3" x14ac:dyDescent="0.3">
      <c r="A1639" s="1"/>
      <c r="B1639" s="2"/>
      <c r="C1639" s="2"/>
    </row>
    <row r="1640" spans="1:3" x14ac:dyDescent="0.3">
      <c r="A1640" s="1"/>
      <c r="B1640" s="2"/>
      <c r="C1640" s="2"/>
    </row>
    <row r="1641" spans="1:3" x14ac:dyDescent="0.3">
      <c r="A1641" s="1"/>
      <c r="B1641" s="2"/>
      <c r="C1641" s="2"/>
    </row>
    <row r="1642" spans="1:3" x14ac:dyDescent="0.3">
      <c r="A1642" s="1"/>
      <c r="B1642" s="2"/>
      <c r="C1642" s="2"/>
    </row>
    <row r="1643" spans="1:3" x14ac:dyDescent="0.3">
      <c r="A1643" s="1"/>
      <c r="B1643" s="2"/>
      <c r="C1643" s="2"/>
    </row>
    <row r="1644" spans="1:3" x14ac:dyDescent="0.3">
      <c r="A1644" s="1"/>
      <c r="B1644" s="2"/>
      <c r="C1644" s="2"/>
    </row>
    <row r="1645" spans="1:3" x14ac:dyDescent="0.3">
      <c r="A1645" s="1"/>
      <c r="B1645" s="2"/>
      <c r="C1645" s="2"/>
    </row>
    <row r="1646" spans="1:3" x14ac:dyDescent="0.3">
      <c r="A1646" s="1"/>
      <c r="B1646" s="2"/>
      <c r="C1646" s="2"/>
    </row>
    <row r="1647" spans="1:3" x14ac:dyDescent="0.3">
      <c r="A1647" s="1"/>
      <c r="B1647" s="2"/>
      <c r="C1647" s="2"/>
    </row>
    <row r="1648" spans="1:3" x14ac:dyDescent="0.3">
      <c r="A1648" s="1"/>
      <c r="B1648" s="2"/>
      <c r="C1648" s="2"/>
    </row>
    <row r="1649" spans="1:3" x14ac:dyDescent="0.3">
      <c r="A1649" s="1"/>
      <c r="B1649" s="2"/>
      <c r="C1649" s="2"/>
    </row>
    <row r="1650" spans="1:3" x14ac:dyDescent="0.3">
      <c r="A1650" s="1"/>
      <c r="B1650" s="2"/>
      <c r="C1650" s="2"/>
    </row>
    <row r="1651" spans="1:3" x14ac:dyDescent="0.3">
      <c r="A1651" s="1"/>
      <c r="B1651" s="2"/>
      <c r="C1651" s="2"/>
    </row>
    <row r="1652" spans="1:3" x14ac:dyDescent="0.3">
      <c r="A1652" s="1"/>
      <c r="B1652" s="2"/>
      <c r="C1652" s="2"/>
    </row>
    <row r="1653" spans="1:3" x14ac:dyDescent="0.3">
      <c r="A1653" s="1"/>
      <c r="B1653" s="2"/>
      <c r="C1653" s="2"/>
    </row>
    <row r="1654" spans="1:3" x14ac:dyDescent="0.3">
      <c r="A1654" s="1"/>
      <c r="B1654" s="2"/>
      <c r="C1654" s="2"/>
    </row>
    <row r="1655" spans="1:3" x14ac:dyDescent="0.3">
      <c r="A1655" s="1"/>
      <c r="B1655" s="2"/>
      <c r="C1655" s="2"/>
    </row>
    <row r="1656" spans="1:3" x14ac:dyDescent="0.3">
      <c r="A1656" s="1"/>
      <c r="B1656" s="2"/>
      <c r="C1656" s="2"/>
    </row>
    <row r="1657" spans="1:3" x14ac:dyDescent="0.3">
      <c r="A1657" s="1"/>
      <c r="B1657" s="2"/>
      <c r="C1657" s="2"/>
    </row>
    <row r="1658" spans="1:3" x14ac:dyDescent="0.3">
      <c r="A1658" s="1"/>
      <c r="B1658" s="2"/>
      <c r="C1658" s="2"/>
    </row>
    <row r="1659" spans="1:3" x14ac:dyDescent="0.3">
      <c r="A1659" s="1"/>
      <c r="B1659" s="2"/>
      <c r="C1659" s="2"/>
    </row>
    <row r="1660" spans="1:3" x14ac:dyDescent="0.3">
      <c r="A1660" s="1"/>
      <c r="B1660" s="2"/>
      <c r="C1660" s="2"/>
    </row>
    <row r="1661" spans="1:3" x14ac:dyDescent="0.3">
      <c r="A1661" s="1"/>
      <c r="B1661" s="2"/>
      <c r="C1661" s="2"/>
    </row>
    <row r="1662" spans="1:3" x14ac:dyDescent="0.3">
      <c r="A1662" s="1"/>
      <c r="B1662" s="2"/>
      <c r="C1662" s="2"/>
    </row>
    <row r="1663" spans="1:3" x14ac:dyDescent="0.3">
      <c r="A1663" s="1"/>
      <c r="B1663" s="2"/>
      <c r="C1663" s="2"/>
    </row>
    <row r="1664" spans="1:3" x14ac:dyDescent="0.3">
      <c r="A1664" s="1"/>
      <c r="B1664" s="2"/>
      <c r="C1664" s="2"/>
    </row>
    <row r="1665" spans="1:3" x14ac:dyDescent="0.3">
      <c r="A1665" s="1"/>
      <c r="B1665" s="2"/>
      <c r="C1665" s="2"/>
    </row>
    <row r="1666" spans="1:3" x14ac:dyDescent="0.3">
      <c r="A1666" s="1"/>
      <c r="B1666" s="2"/>
      <c r="C1666" s="2"/>
    </row>
    <row r="1667" spans="1:3" x14ac:dyDescent="0.3">
      <c r="A1667" s="1"/>
      <c r="B1667" s="2"/>
      <c r="C1667" s="2"/>
    </row>
    <row r="1668" spans="1:3" x14ac:dyDescent="0.3">
      <c r="A1668" s="1"/>
      <c r="B1668" s="2"/>
      <c r="C1668" s="2"/>
    </row>
    <row r="1669" spans="1:3" x14ac:dyDescent="0.3">
      <c r="A1669" s="1"/>
      <c r="B1669" s="2"/>
      <c r="C1669" s="2"/>
    </row>
    <row r="1670" spans="1:3" x14ac:dyDescent="0.3">
      <c r="A1670" s="1"/>
      <c r="B1670" s="2"/>
      <c r="C1670" s="2"/>
    </row>
    <row r="1671" spans="1:3" x14ac:dyDescent="0.3">
      <c r="A1671" s="1"/>
      <c r="B1671" s="2"/>
      <c r="C1671" s="2"/>
    </row>
    <row r="1672" spans="1:3" x14ac:dyDescent="0.3">
      <c r="A1672" s="1"/>
      <c r="B1672" s="2"/>
      <c r="C1672" s="2"/>
    </row>
    <row r="1673" spans="1:3" x14ac:dyDescent="0.3">
      <c r="A1673" s="1"/>
      <c r="B1673" s="2"/>
      <c r="C1673" s="2"/>
    </row>
    <row r="1674" spans="1:3" x14ac:dyDescent="0.3">
      <c r="A1674" s="1"/>
      <c r="B1674" s="2"/>
      <c r="C1674" s="2"/>
    </row>
    <row r="1675" spans="1:3" x14ac:dyDescent="0.3">
      <c r="A1675" s="1"/>
      <c r="B1675" s="2"/>
      <c r="C1675" s="2"/>
    </row>
    <row r="1676" spans="1:3" x14ac:dyDescent="0.3">
      <c r="A1676" s="1"/>
      <c r="B1676" s="2"/>
      <c r="C1676" s="2"/>
    </row>
    <row r="1677" spans="1:3" x14ac:dyDescent="0.3">
      <c r="A1677" s="1"/>
      <c r="B1677" s="2"/>
      <c r="C1677" s="2"/>
    </row>
    <row r="1678" spans="1:3" x14ac:dyDescent="0.3">
      <c r="A1678" s="1"/>
      <c r="B1678" s="2"/>
      <c r="C1678" s="2"/>
    </row>
    <row r="1679" spans="1:3" x14ac:dyDescent="0.3">
      <c r="A1679" s="1"/>
      <c r="B1679" s="2"/>
      <c r="C1679" s="2"/>
    </row>
    <row r="1680" spans="1:3" x14ac:dyDescent="0.3">
      <c r="A1680" s="1"/>
      <c r="B1680" s="2"/>
      <c r="C1680" s="2"/>
    </row>
    <row r="1681" spans="1:3" x14ac:dyDescent="0.3">
      <c r="A1681" s="1"/>
      <c r="B1681" s="2"/>
      <c r="C1681" s="2"/>
    </row>
    <row r="1682" spans="1:3" x14ac:dyDescent="0.3">
      <c r="A1682" s="1"/>
      <c r="B1682" s="2"/>
      <c r="C1682" s="2"/>
    </row>
    <row r="1683" spans="1:3" x14ac:dyDescent="0.3">
      <c r="A1683" s="1"/>
      <c r="B1683" s="2"/>
      <c r="C1683" s="2"/>
    </row>
    <row r="1684" spans="1:3" x14ac:dyDescent="0.3">
      <c r="A1684" s="1"/>
      <c r="B1684" s="2"/>
      <c r="C1684" s="2"/>
    </row>
    <row r="1685" spans="1:3" x14ac:dyDescent="0.3">
      <c r="A1685" s="1"/>
      <c r="B1685" s="2"/>
      <c r="C1685" s="2"/>
    </row>
    <row r="1686" spans="1:3" x14ac:dyDescent="0.3">
      <c r="A1686" s="1"/>
      <c r="B1686" s="2"/>
      <c r="C1686" s="2"/>
    </row>
    <row r="1687" spans="1:3" x14ac:dyDescent="0.3">
      <c r="A1687" s="1"/>
      <c r="B1687" s="2"/>
      <c r="C1687" s="2"/>
    </row>
    <row r="1688" spans="1:3" x14ac:dyDescent="0.3">
      <c r="A1688" s="1"/>
      <c r="B1688" s="2"/>
      <c r="C1688" s="2"/>
    </row>
    <row r="1689" spans="1:3" x14ac:dyDescent="0.3">
      <c r="A1689" s="1"/>
      <c r="B1689" s="2"/>
      <c r="C1689" s="2"/>
    </row>
    <row r="1690" spans="1:3" x14ac:dyDescent="0.3">
      <c r="A1690" s="1"/>
      <c r="B1690" s="2"/>
      <c r="C1690" s="2"/>
    </row>
    <row r="1691" spans="1:3" x14ac:dyDescent="0.3">
      <c r="A1691" s="1"/>
      <c r="B1691" s="2"/>
      <c r="C1691" s="2"/>
    </row>
    <row r="1692" spans="1:3" x14ac:dyDescent="0.3">
      <c r="A1692" s="1"/>
      <c r="B1692" s="2"/>
      <c r="C1692" s="2"/>
    </row>
    <row r="1693" spans="1:3" x14ac:dyDescent="0.3">
      <c r="A1693" s="1"/>
      <c r="B1693" s="2"/>
      <c r="C1693" s="2"/>
    </row>
    <row r="1694" spans="1:3" x14ac:dyDescent="0.3">
      <c r="A1694" s="1"/>
      <c r="B1694" s="2"/>
      <c r="C1694" s="2"/>
    </row>
    <row r="1695" spans="1:3" x14ac:dyDescent="0.3">
      <c r="A1695" s="1"/>
      <c r="B1695" s="2"/>
      <c r="C1695" s="2"/>
    </row>
    <row r="1696" spans="1:3" x14ac:dyDescent="0.3">
      <c r="A1696" s="1"/>
      <c r="B1696" s="2"/>
      <c r="C1696" s="2"/>
    </row>
    <row r="1697" spans="1:3" x14ac:dyDescent="0.3">
      <c r="A1697" s="1"/>
      <c r="B1697" s="2"/>
      <c r="C1697" s="2"/>
    </row>
    <row r="1698" spans="1:3" x14ac:dyDescent="0.3">
      <c r="A1698" s="1"/>
      <c r="B1698" s="2"/>
      <c r="C1698" s="2"/>
    </row>
    <row r="1699" spans="1:3" x14ac:dyDescent="0.3">
      <c r="A1699" s="1"/>
      <c r="B1699" s="2"/>
      <c r="C1699" s="2"/>
    </row>
    <row r="1700" spans="1:3" x14ac:dyDescent="0.3">
      <c r="A1700" s="1"/>
      <c r="B1700" s="2"/>
      <c r="C1700" s="2"/>
    </row>
    <row r="1701" spans="1:3" x14ac:dyDescent="0.3">
      <c r="A1701" s="1"/>
      <c r="B1701" s="2"/>
      <c r="C1701" s="2"/>
    </row>
    <row r="1702" spans="1:3" x14ac:dyDescent="0.3">
      <c r="A1702" s="1"/>
      <c r="B1702" s="2"/>
      <c r="C1702" s="2"/>
    </row>
    <row r="1703" spans="1:3" x14ac:dyDescent="0.3">
      <c r="A1703" s="1"/>
      <c r="B1703" s="2"/>
      <c r="C1703" s="2"/>
    </row>
    <row r="1704" spans="1:3" x14ac:dyDescent="0.3">
      <c r="A1704" s="1"/>
      <c r="B1704" s="2"/>
      <c r="C1704" s="2"/>
    </row>
    <row r="1705" spans="1:3" x14ac:dyDescent="0.3">
      <c r="A1705" s="1"/>
      <c r="B1705" s="2"/>
      <c r="C1705" s="2"/>
    </row>
    <row r="1706" spans="1:3" x14ac:dyDescent="0.3">
      <c r="A1706" s="1"/>
      <c r="B1706" s="2"/>
      <c r="C1706" s="2"/>
    </row>
    <row r="1707" spans="1:3" x14ac:dyDescent="0.3">
      <c r="A1707" s="1"/>
      <c r="B1707" s="2"/>
      <c r="C1707" s="2"/>
    </row>
    <row r="1708" spans="1:3" x14ac:dyDescent="0.3">
      <c r="A1708" s="1"/>
      <c r="B1708" s="2"/>
      <c r="C1708" s="2"/>
    </row>
    <row r="1709" spans="1:3" x14ac:dyDescent="0.3">
      <c r="A1709" s="1"/>
      <c r="B1709" s="2"/>
      <c r="C1709" s="2"/>
    </row>
    <row r="1710" spans="1:3" x14ac:dyDescent="0.3">
      <c r="A1710" s="1"/>
      <c r="B1710" s="2"/>
      <c r="C1710" s="2"/>
    </row>
    <row r="1711" spans="1:3" x14ac:dyDescent="0.3">
      <c r="A1711" s="1"/>
      <c r="B1711" s="2"/>
      <c r="C1711" s="2"/>
    </row>
    <row r="1712" spans="1:3" x14ac:dyDescent="0.3">
      <c r="A1712" s="1"/>
      <c r="B1712" s="2"/>
      <c r="C1712" s="2"/>
    </row>
    <row r="1713" spans="1:3" x14ac:dyDescent="0.3">
      <c r="A1713" s="1"/>
      <c r="B1713" s="2"/>
      <c r="C1713" s="2"/>
    </row>
    <row r="1714" spans="1:3" x14ac:dyDescent="0.3">
      <c r="A1714" s="1"/>
      <c r="B1714" s="2"/>
      <c r="C1714" s="2"/>
    </row>
    <row r="1715" spans="1:3" x14ac:dyDescent="0.3">
      <c r="A1715" s="1"/>
      <c r="B1715" s="2"/>
      <c r="C1715" s="2"/>
    </row>
    <row r="1716" spans="1:3" x14ac:dyDescent="0.3">
      <c r="A1716" s="1"/>
      <c r="B1716" s="2"/>
      <c r="C1716" s="2"/>
    </row>
    <row r="1717" spans="1:3" x14ac:dyDescent="0.3">
      <c r="A1717" s="1"/>
      <c r="B1717" s="2"/>
      <c r="C1717" s="2"/>
    </row>
    <row r="1718" spans="1:3" x14ac:dyDescent="0.3">
      <c r="A1718" s="1"/>
      <c r="B1718" s="2"/>
      <c r="C1718" s="2"/>
    </row>
    <row r="1719" spans="1:3" x14ac:dyDescent="0.3">
      <c r="A1719" s="1"/>
      <c r="B1719" s="2"/>
      <c r="C1719" s="2"/>
    </row>
    <row r="1720" spans="1:3" x14ac:dyDescent="0.3">
      <c r="A1720" s="1"/>
      <c r="B1720" s="2"/>
      <c r="C1720" s="2"/>
    </row>
    <row r="1721" spans="1:3" x14ac:dyDescent="0.3">
      <c r="A1721" s="1"/>
      <c r="B1721" s="2"/>
      <c r="C1721" s="2"/>
    </row>
    <row r="1722" spans="1:3" x14ac:dyDescent="0.3">
      <c r="A1722" s="1"/>
      <c r="B1722" s="2"/>
      <c r="C1722" s="2"/>
    </row>
    <row r="1723" spans="1:3" x14ac:dyDescent="0.3">
      <c r="A1723" s="1"/>
      <c r="B1723" s="2"/>
      <c r="C1723" s="2"/>
    </row>
    <row r="1724" spans="1:3" x14ac:dyDescent="0.3">
      <c r="A1724" s="1"/>
      <c r="B1724" s="2"/>
      <c r="C1724" s="2"/>
    </row>
    <row r="1725" spans="1:3" x14ac:dyDescent="0.3">
      <c r="A1725" s="1"/>
      <c r="B1725" s="2"/>
      <c r="C1725" s="2"/>
    </row>
    <row r="1726" spans="1:3" x14ac:dyDescent="0.3">
      <c r="A1726" s="1"/>
      <c r="B1726" s="2"/>
      <c r="C1726" s="2"/>
    </row>
    <row r="1727" spans="1:3" x14ac:dyDescent="0.3">
      <c r="A1727" s="1"/>
      <c r="B1727" s="2"/>
      <c r="C1727" s="2"/>
    </row>
    <row r="1728" spans="1:3" x14ac:dyDescent="0.3">
      <c r="A1728" s="1"/>
      <c r="B1728" s="2"/>
      <c r="C1728" s="2"/>
    </row>
    <row r="1729" spans="1:3" x14ac:dyDescent="0.3">
      <c r="A1729" s="1"/>
      <c r="B1729" s="2"/>
      <c r="C1729" s="2"/>
    </row>
    <row r="1730" spans="1:3" x14ac:dyDescent="0.3">
      <c r="A1730" s="1"/>
      <c r="B1730" s="2"/>
      <c r="C1730" s="2"/>
    </row>
    <row r="1731" spans="1:3" x14ac:dyDescent="0.3">
      <c r="A1731" s="1"/>
      <c r="B1731" s="2"/>
      <c r="C1731" s="2"/>
    </row>
    <row r="1732" spans="1:3" x14ac:dyDescent="0.3">
      <c r="A1732" s="1"/>
      <c r="B1732" s="2"/>
      <c r="C1732" s="2"/>
    </row>
    <row r="1733" spans="1:3" x14ac:dyDescent="0.3">
      <c r="A1733" s="1"/>
      <c r="B1733" s="2"/>
      <c r="C1733" s="2"/>
    </row>
    <row r="1734" spans="1:3" x14ac:dyDescent="0.3">
      <c r="A1734" s="1"/>
      <c r="B1734" s="2"/>
      <c r="C1734" s="2"/>
    </row>
    <row r="1735" spans="1:3" x14ac:dyDescent="0.3">
      <c r="A1735" s="1"/>
      <c r="B1735" s="2"/>
      <c r="C1735" s="2"/>
    </row>
    <row r="1736" spans="1:3" x14ac:dyDescent="0.3">
      <c r="A1736" s="1"/>
      <c r="B1736" s="2"/>
      <c r="C1736" s="2"/>
    </row>
    <row r="1737" spans="1:3" x14ac:dyDescent="0.3">
      <c r="A1737" s="1"/>
      <c r="B1737" s="2"/>
      <c r="C1737" s="2"/>
    </row>
    <row r="1738" spans="1:3" x14ac:dyDescent="0.3">
      <c r="A1738" s="1"/>
      <c r="B1738" s="2"/>
      <c r="C1738" s="2"/>
    </row>
    <row r="1739" spans="1:3" x14ac:dyDescent="0.3">
      <c r="A1739" s="1"/>
      <c r="B1739" s="2"/>
      <c r="C1739" s="2"/>
    </row>
    <row r="1740" spans="1:3" x14ac:dyDescent="0.3">
      <c r="A1740" s="1"/>
      <c r="B1740" s="2"/>
      <c r="C1740" s="2"/>
    </row>
    <row r="1741" spans="1:3" x14ac:dyDescent="0.3">
      <c r="A1741" s="1"/>
      <c r="B1741" s="2"/>
      <c r="C1741" s="2"/>
    </row>
    <row r="1742" spans="1:3" x14ac:dyDescent="0.3">
      <c r="A1742" s="1"/>
      <c r="B1742" s="2"/>
      <c r="C1742" s="2"/>
    </row>
    <row r="1743" spans="1:3" x14ac:dyDescent="0.3">
      <c r="A1743" s="1"/>
      <c r="B1743" s="2"/>
      <c r="C1743" s="2"/>
    </row>
    <row r="1744" spans="1:3" x14ac:dyDescent="0.3">
      <c r="A1744" s="1"/>
      <c r="B1744" s="2"/>
      <c r="C1744" s="2"/>
    </row>
    <row r="1745" spans="1:3" x14ac:dyDescent="0.3">
      <c r="A1745" s="1"/>
      <c r="B1745" s="2"/>
      <c r="C1745" s="2"/>
    </row>
    <row r="1746" spans="1:3" x14ac:dyDescent="0.3">
      <c r="A1746" s="1"/>
      <c r="B1746" s="2"/>
      <c r="C1746" s="2"/>
    </row>
    <row r="1747" spans="1:3" x14ac:dyDescent="0.3">
      <c r="A1747" s="1"/>
      <c r="B1747" s="2"/>
      <c r="C1747" s="2"/>
    </row>
    <row r="1748" spans="1:3" x14ac:dyDescent="0.3">
      <c r="A1748" s="1"/>
      <c r="B1748" s="2"/>
      <c r="C1748" s="2"/>
    </row>
    <row r="1749" spans="1:3" x14ac:dyDescent="0.3">
      <c r="A1749" s="1"/>
      <c r="B1749" s="2"/>
      <c r="C1749" s="2"/>
    </row>
    <row r="1750" spans="1:3" x14ac:dyDescent="0.3">
      <c r="A1750" s="1"/>
      <c r="B1750" s="2"/>
      <c r="C1750" s="2"/>
    </row>
    <row r="1751" spans="1:3" x14ac:dyDescent="0.3">
      <c r="A1751" s="1"/>
      <c r="B1751" s="2"/>
      <c r="C1751" s="2"/>
    </row>
    <row r="1752" spans="1:3" x14ac:dyDescent="0.3">
      <c r="A1752" s="1"/>
      <c r="B1752" s="2"/>
      <c r="C1752" s="2"/>
    </row>
    <row r="1753" spans="1:3" x14ac:dyDescent="0.3">
      <c r="A1753" s="1"/>
      <c r="B1753" s="2"/>
      <c r="C1753" s="2"/>
    </row>
    <row r="1754" spans="1:3" x14ac:dyDescent="0.3">
      <c r="A1754" s="1"/>
      <c r="B1754" s="2"/>
      <c r="C1754" s="2"/>
    </row>
    <row r="1755" spans="1:3" x14ac:dyDescent="0.3">
      <c r="A1755" s="1"/>
      <c r="B1755" s="2"/>
      <c r="C1755" s="2"/>
    </row>
    <row r="1756" spans="1:3" x14ac:dyDescent="0.3">
      <c r="A1756" s="1"/>
      <c r="B1756" s="2"/>
      <c r="C1756" s="2"/>
    </row>
    <row r="1757" spans="1:3" x14ac:dyDescent="0.3">
      <c r="A1757" s="1"/>
      <c r="B1757" s="2"/>
      <c r="C1757" s="2"/>
    </row>
    <row r="1758" spans="1:3" x14ac:dyDescent="0.3">
      <c r="A1758" s="1"/>
      <c r="B1758" s="2"/>
      <c r="C1758" s="2"/>
    </row>
    <row r="1759" spans="1:3" x14ac:dyDescent="0.3">
      <c r="A1759" s="1"/>
      <c r="B1759" s="2"/>
      <c r="C1759" s="2"/>
    </row>
    <row r="1760" spans="1:3" x14ac:dyDescent="0.3">
      <c r="A1760" s="1"/>
      <c r="B1760" s="2"/>
      <c r="C1760" s="2"/>
    </row>
    <row r="1761" spans="1:3" x14ac:dyDescent="0.3">
      <c r="A1761" s="1"/>
      <c r="B1761" s="2"/>
      <c r="C1761" s="2"/>
    </row>
    <row r="1762" spans="1:3" x14ac:dyDescent="0.3">
      <c r="A1762" s="1"/>
      <c r="B1762" s="2"/>
      <c r="C1762" s="2"/>
    </row>
    <row r="1763" spans="1:3" x14ac:dyDescent="0.3">
      <c r="A1763" s="1"/>
      <c r="B1763" s="2"/>
      <c r="C1763" s="2"/>
    </row>
    <row r="1764" spans="1:3" x14ac:dyDescent="0.3">
      <c r="A1764" s="1"/>
      <c r="B1764" s="2"/>
      <c r="C1764" s="2"/>
    </row>
    <row r="1765" spans="1:3" x14ac:dyDescent="0.3">
      <c r="A1765" s="1"/>
      <c r="B1765" s="2"/>
      <c r="C1765" s="2"/>
    </row>
    <row r="1766" spans="1:3" x14ac:dyDescent="0.3">
      <c r="A1766" s="1"/>
      <c r="B1766" s="2"/>
      <c r="C1766" s="2"/>
    </row>
    <row r="1767" spans="1:3" x14ac:dyDescent="0.3">
      <c r="A1767" s="1"/>
      <c r="B1767" s="2"/>
      <c r="C1767" s="2"/>
    </row>
    <row r="1768" spans="1:3" x14ac:dyDescent="0.3">
      <c r="A1768" s="1"/>
      <c r="B1768" s="2"/>
      <c r="C1768" s="2"/>
    </row>
    <row r="1769" spans="1:3" x14ac:dyDescent="0.3">
      <c r="A1769" s="1"/>
      <c r="B1769" s="2"/>
      <c r="C1769" s="2"/>
    </row>
    <row r="1770" spans="1:3" x14ac:dyDescent="0.3">
      <c r="A1770" s="1"/>
      <c r="B1770" s="2"/>
      <c r="C1770" s="2"/>
    </row>
    <row r="1771" spans="1:3" x14ac:dyDescent="0.3">
      <c r="A1771" s="1"/>
      <c r="B1771" s="2"/>
      <c r="C1771" s="2"/>
    </row>
    <row r="1772" spans="1:3" x14ac:dyDescent="0.3">
      <c r="A1772" s="1"/>
      <c r="B1772" s="2"/>
      <c r="C1772" s="2"/>
    </row>
    <row r="1773" spans="1:3" x14ac:dyDescent="0.3">
      <c r="A1773" s="1"/>
      <c r="B1773" s="2"/>
      <c r="C1773" s="2"/>
    </row>
    <row r="1774" spans="1:3" x14ac:dyDescent="0.3">
      <c r="A1774" s="1"/>
      <c r="B1774" s="2"/>
      <c r="C1774" s="2"/>
    </row>
    <row r="1775" spans="1:3" x14ac:dyDescent="0.3">
      <c r="A1775" s="1"/>
      <c r="B1775" s="2"/>
      <c r="C1775" s="2"/>
    </row>
    <row r="1776" spans="1:3" x14ac:dyDescent="0.3">
      <c r="A1776" s="1"/>
      <c r="B1776" s="2"/>
      <c r="C1776" s="2"/>
    </row>
    <row r="1777" spans="1:3" x14ac:dyDescent="0.3">
      <c r="A1777" s="1"/>
      <c r="B1777" s="2"/>
      <c r="C1777" s="2"/>
    </row>
    <row r="1778" spans="1:3" x14ac:dyDescent="0.3">
      <c r="A1778" s="1"/>
      <c r="B1778" s="2"/>
      <c r="C1778" s="2"/>
    </row>
    <row r="1779" spans="1:3" x14ac:dyDescent="0.3">
      <c r="A1779" s="1"/>
      <c r="B1779" s="2"/>
      <c r="C1779" s="2"/>
    </row>
    <row r="1780" spans="1:3" x14ac:dyDescent="0.3">
      <c r="A1780" s="1"/>
      <c r="B1780" s="2"/>
      <c r="C1780" s="2"/>
    </row>
    <row r="1781" spans="1:3" x14ac:dyDescent="0.3">
      <c r="A1781" s="1"/>
      <c r="B1781" s="2"/>
      <c r="C1781" s="2"/>
    </row>
    <row r="1782" spans="1:3" x14ac:dyDescent="0.3">
      <c r="A1782" s="1"/>
      <c r="B1782" s="2"/>
      <c r="C1782" s="2"/>
    </row>
    <row r="1783" spans="1:3" x14ac:dyDescent="0.3">
      <c r="A1783" s="1"/>
      <c r="B1783" s="2"/>
      <c r="C1783" s="2"/>
    </row>
    <row r="1784" spans="1:3" x14ac:dyDescent="0.3">
      <c r="A1784" s="1"/>
      <c r="B1784" s="2"/>
      <c r="C1784" s="2"/>
    </row>
    <row r="1785" spans="1:3" x14ac:dyDescent="0.3">
      <c r="A1785" s="1"/>
      <c r="B1785" s="2"/>
      <c r="C1785" s="2"/>
    </row>
    <row r="1786" spans="1:3" x14ac:dyDescent="0.3">
      <c r="A1786" s="1"/>
      <c r="B1786" s="2"/>
      <c r="C1786" s="2"/>
    </row>
    <row r="1787" spans="1:3" x14ac:dyDescent="0.3">
      <c r="A1787" s="1"/>
      <c r="B1787" s="2"/>
      <c r="C1787" s="2"/>
    </row>
    <row r="1788" spans="1:3" x14ac:dyDescent="0.3">
      <c r="A1788" s="1"/>
      <c r="B1788" s="2"/>
      <c r="C1788" s="2"/>
    </row>
    <row r="1789" spans="1:3" x14ac:dyDescent="0.3">
      <c r="A1789" s="1"/>
      <c r="B1789" s="2"/>
      <c r="C1789" s="2"/>
    </row>
    <row r="1790" spans="1:3" x14ac:dyDescent="0.3">
      <c r="A1790" s="1"/>
      <c r="B1790" s="2"/>
      <c r="C1790" s="2"/>
    </row>
    <row r="1791" spans="1:3" x14ac:dyDescent="0.3">
      <c r="A1791" s="1"/>
      <c r="B1791" s="2"/>
      <c r="C1791" s="2"/>
    </row>
    <row r="1792" spans="1:3" x14ac:dyDescent="0.3">
      <c r="A1792" s="1"/>
      <c r="B1792" s="2"/>
      <c r="C1792" s="2"/>
    </row>
    <row r="1793" spans="1:3" x14ac:dyDescent="0.3">
      <c r="A1793" s="1"/>
      <c r="B1793" s="2"/>
      <c r="C1793" s="2"/>
    </row>
    <row r="1794" spans="1:3" x14ac:dyDescent="0.3">
      <c r="A1794" s="1"/>
      <c r="B1794" s="2"/>
      <c r="C1794" s="2"/>
    </row>
    <row r="1795" spans="1:3" x14ac:dyDescent="0.3">
      <c r="A1795" s="1"/>
      <c r="B1795" s="2"/>
      <c r="C1795" s="2"/>
    </row>
    <row r="1796" spans="1:3" x14ac:dyDescent="0.3">
      <c r="A1796" s="1"/>
      <c r="B1796" s="2"/>
      <c r="C1796" s="2"/>
    </row>
    <row r="1797" spans="1:3" x14ac:dyDescent="0.3">
      <c r="A1797" s="1"/>
      <c r="B1797" s="2"/>
      <c r="C1797" s="2"/>
    </row>
    <row r="1798" spans="1:3" x14ac:dyDescent="0.3">
      <c r="A1798" s="1"/>
      <c r="B1798" s="2"/>
      <c r="C1798" s="2"/>
    </row>
    <row r="1799" spans="1:3" x14ac:dyDescent="0.3">
      <c r="A1799" s="1"/>
      <c r="B1799" s="2"/>
      <c r="C1799" s="2"/>
    </row>
    <row r="1800" spans="1:3" x14ac:dyDescent="0.3">
      <c r="A1800" s="1"/>
      <c r="B1800" s="2"/>
      <c r="C1800" s="2"/>
    </row>
    <row r="1801" spans="1:3" x14ac:dyDescent="0.3">
      <c r="A1801" s="1"/>
      <c r="B1801" s="2"/>
      <c r="C1801" s="2"/>
    </row>
    <row r="1802" spans="1:3" x14ac:dyDescent="0.3">
      <c r="A1802" s="1"/>
      <c r="B1802" s="2"/>
      <c r="C1802" s="2"/>
    </row>
    <row r="1803" spans="1:3" x14ac:dyDescent="0.3">
      <c r="A1803" s="1"/>
      <c r="B1803" s="2"/>
      <c r="C1803" s="2"/>
    </row>
    <row r="1804" spans="1:3" x14ac:dyDescent="0.3">
      <c r="A1804" s="1"/>
      <c r="B1804" s="2"/>
      <c r="C1804" s="2"/>
    </row>
    <row r="1805" spans="1:3" x14ac:dyDescent="0.3">
      <c r="A1805" s="1"/>
      <c r="B1805" s="2"/>
      <c r="C1805" s="2"/>
    </row>
    <row r="1806" spans="1:3" x14ac:dyDescent="0.3">
      <c r="A1806" s="1"/>
      <c r="B1806" s="2"/>
      <c r="C1806" s="2"/>
    </row>
    <row r="1807" spans="1:3" x14ac:dyDescent="0.3">
      <c r="A1807" s="1"/>
      <c r="B1807" s="2"/>
      <c r="C1807" s="2"/>
    </row>
    <row r="1808" spans="1:3" x14ac:dyDescent="0.3">
      <c r="A1808" s="1"/>
      <c r="B1808" s="2"/>
      <c r="C1808" s="2"/>
    </row>
    <row r="1809" spans="1:3" x14ac:dyDescent="0.3">
      <c r="A1809" s="1"/>
      <c r="B1809" s="2"/>
      <c r="C1809" s="2"/>
    </row>
    <row r="1810" spans="1:3" x14ac:dyDescent="0.3">
      <c r="A1810" s="1"/>
      <c r="B1810" s="2"/>
      <c r="C1810" s="2"/>
    </row>
    <row r="1811" spans="1:3" x14ac:dyDescent="0.3">
      <c r="A1811" s="1"/>
      <c r="B1811" s="2"/>
      <c r="C1811" s="2"/>
    </row>
    <row r="1812" spans="1:3" x14ac:dyDescent="0.3">
      <c r="A1812" s="1"/>
      <c r="B1812" s="2"/>
      <c r="C1812" s="2"/>
    </row>
    <row r="1813" spans="1:3" x14ac:dyDescent="0.3">
      <c r="A1813" s="1"/>
      <c r="B1813" s="2"/>
      <c r="C1813" s="2"/>
    </row>
    <row r="1814" spans="1:3" x14ac:dyDescent="0.3">
      <c r="A1814" s="1"/>
      <c r="B1814" s="2"/>
      <c r="C1814" s="2"/>
    </row>
    <row r="1815" spans="1:3" x14ac:dyDescent="0.3">
      <c r="A1815" s="1"/>
      <c r="B1815" s="2"/>
      <c r="C1815" s="2"/>
    </row>
    <row r="1816" spans="1:3" x14ac:dyDescent="0.3">
      <c r="A1816" s="1"/>
      <c r="B1816" s="2"/>
      <c r="C1816" s="2"/>
    </row>
    <row r="1817" spans="1:3" x14ac:dyDescent="0.3">
      <c r="A1817" s="1"/>
      <c r="B1817" s="2"/>
      <c r="C1817" s="2"/>
    </row>
    <row r="1818" spans="1:3" x14ac:dyDescent="0.3">
      <c r="A1818" s="1"/>
      <c r="B1818" s="2"/>
      <c r="C1818" s="2"/>
    </row>
    <row r="1819" spans="1:3" x14ac:dyDescent="0.3">
      <c r="A1819" s="1"/>
      <c r="B1819" s="2"/>
      <c r="C1819" s="2"/>
    </row>
    <row r="1820" spans="1:3" x14ac:dyDescent="0.3">
      <c r="A1820" s="1"/>
      <c r="B1820" s="2"/>
      <c r="C1820" s="2"/>
    </row>
    <row r="1821" spans="1:3" x14ac:dyDescent="0.3">
      <c r="A1821" s="1"/>
      <c r="B1821" s="2"/>
      <c r="C1821" s="2"/>
    </row>
    <row r="1822" spans="1:3" x14ac:dyDescent="0.3">
      <c r="A1822" s="1"/>
      <c r="B1822" s="2"/>
      <c r="C1822" s="2"/>
    </row>
    <row r="1823" spans="1:3" x14ac:dyDescent="0.3">
      <c r="A1823" s="1"/>
      <c r="B1823" s="2"/>
      <c r="C1823" s="2"/>
    </row>
    <row r="1824" spans="1:3" x14ac:dyDescent="0.3">
      <c r="A1824" s="1"/>
      <c r="B1824" s="2"/>
      <c r="C1824" s="2"/>
    </row>
    <row r="1825" spans="1:3" x14ac:dyDescent="0.3">
      <c r="A1825" s="1"/>
      <c r="B1825" s="2"/>
      <c r="C1825" s="2"/>
    </row>
    <row r="1826" spans="1:3" x14ac:dyDescent="0.3">
      <c r="A1826" s="1"/>
      <c r="B1826" s="2"/>
      <c r="C1826" s="2"/>
    </row>
    <row r="1827" spans="1:3" x14ac:dyDescent="0.3">
      <c r="A1827" s="1"/>
      <c r="B1827" s="2"/>
      <c r="C1827" s="2"/>
    </row>
    <row r="1828" spans="1:3" x14ac:dyDescent="0.3">
      <c r="A1828" s="1"/>
      <c r="B1828" s="2"/>
      <c r="C1828" s="2"/>
    </row>
    <row r="1829" spans="1:3" x14ac:dyDescent="0.3">
      <c r="A1829" s="1"/>
      <c r="B1829" s="2"/>
      <c r="C1829" s="2"/>
    </row>
    <row r="1830" spans="1:3" x14ac:dyDescent="0.3">
      <c r="A1830" s="1"/>
      <c r="B1830" s="2"/>
      <c r="C1830" s="2"/>
    </row>
    <row r="1831" spans="1:3" x14ac:dyDescent="0.3">
      <c r="A1831" s="1"/>
      <c r="B1831" s="2"/>
      <c r="C1831" s="2"/>
    </row>
    <row r="1832" spans="1:3" x14ac:dyDescent="0.3">
      <c r="A1832" s="1"/>
      <c r="B1832" s="2"/>
      <c r="C1832" s="2"/>
    </row>
    <row r="1833" spans="1:3" x14ac:dyDescent="0.3">
      <c r="A1833" s="1"/>
      <c r="B1833" s="2"/>
      <c r="C1833" s="2"/>
    </row>
    <row r="1834" spans="1:3" x14ac:dyDescent="0.3">
      <c r="A1834" s="1"/>
      <c r="B1834" s="2"/>
      <c r="C1834" s="2"/>
    </row>
    <row r="1835" spans="1:3" x14ac:dyDescent="0.3">
      <c r="A1835" s="1"/>
      <c r="B1835" s="2"/>
      <c r="C1835" s="2"/>
    </row>
    <row r="1836" spans="1:3" x14ac:dyDescent="0.3">
      <c r="A1836" s="1"/>
      <c r="B1836" s="2"/>
      <c r="C1836" s="2"/>
    </row>
    <row r="1837" spans="1:3" x14ac:dyDescent="0.3">
      <c r="A1837" s="1"/>
      <c r="B1837" s="2"/>
      <c r="C1837" s="2"/>
    </row>
    <row r="1838" spans="1:3" x14ac:dyDescent="0.3">
      <c r="A1838" s="1"/>
      <c r="B1838" s="2"/>
      <c r="C1838" s="2"/>
    </row>
    <row r="1839" spans="1:3" x14ac:dyDescent="0.3">
      <c r="A1839" s="1"/>
      <c r="B1839" s="2"/>
      <c r="C1839" s="2"/>
    </row>
    <row r="1840" spans="1:3" x14ac:dyDescent="0.3">
      <c r="A1840" s="1"/>
      <c r="B1840" s="2"/>
      <c r="C1840" s="2"/>
    </row>
    <row r="1841" spans="1:3" x14ac:dyDescent="0.3">
      <c r="A1841" s="1"/>
      <c r="B1841" s="2"/>
      <c r="C1841" s="2"/>
    </row>
    <row r="1842" spans="1:3" x14ac:dyDescent="0.3">
      <c r="A1842" s="1"/>
      <c r="B1842" s="2"/>
      <c r="C1842" s="2"/>
    </row>
    <row r="1843" spans="1:3" x14ac:dyDescent="0.3">
      <c r="A1843" s="1"/>
      <c r="B1843" s="2"/>
      <c r="C1843" s="2"/>
    </row>
    <row r="1844" spans="1:3" x14ac:dyDescent="0.3">
      <c r="A1844" s="1"/>
      <c r="B1844" s="2"/>
      <c r="C1844" s="2"/>
    </row>
    <row r="1845" spans="1:3" x14ac:dyDescent="0.3">
      <c r="A1845" s="1"/>
      <c r="B1845" s="2"/>
      <c r="C1845" s="2"/>
    </row>
    <row r="1846" spans="1:3" x14ac:dyDescent="0.3">
      <c r="A1846" s="1"/>
      <c r="B1846" s="2"/>
      <c r="C1846" s="2"/>
    </row>
    <row r="1847" spans="1:3" x14ac:dyDescent="0.3">
      <c r="A1847" s="1"/>
      <c r="B1847" s="2"/>
      <c r="C1847" s="2"/>
    </row>
    <row r="1848" spans="1:3" x14ac:dyDescent="0.3">
      <c r="A1848" s="1"/>
      <c r="B1848" s="2"/>
      <c r="C1848" s="2"/>
    </row>
    <row r="1849" spans="1:3" x14ac:dyDescent="0.3">
      <c r="A1849" s="1"/>
      <c r="B1849" s="2"/>
      <c r="C1849" s="2"/>
    </row>
    <row r="1850" spans="1:3" x14ac:dyDescent="0.3">
      <c r="A1850" s="1"/>
      <c r="B1850" s="2"/>
      <c r="C1850" s="2"/>
    </row>
    <row r="1851" spans="1:3" x14ac:dyDescent="0.3">
      <c r="A1851" s="1"/>
      <c r="B1851" s="2"/>
      <c r="C1851" s="2"/>
    </row>
    <row r="1852" spans="1:3" x14ac:dyDescent="0.3">
      <c r="A1852" s="1"/>
      <c r="B1852" s="2"/>
      <c r="C1852" s="2"/>
    </row>
    <row r="1853" spans="1:3" x14ac:dyDescent="0.3">
      <c r="A1853" s="1"/>
      <c r="B1853" s="2"/>
      <c r="C1853" s="2"/>
    </row>
    <row r="1854" spans="1:3" x14ac:dyDescent="0.3">
      <c r="A1854" s="1"/>
      <c r="B1854" s="2"/>
      <c r="C1854" s="2"/>
    </row>
    <row r="1855" spans="1:3" x14ac:dyDescent="0.3">
      <c r="A1855" s="1"/>
      <c r="B1855" s="2"/>
      <c r="C1855" s="2"/>
    </row>
    <row r="1856" spans="1:3" x14ac:dyDescent="0.3">
      <c r="A1856" s="1"/>
      <c r="B1856" s="2"/>
      <c r="C1856" s="2"/>
    </row>
    <row r="1857" spans="1:3" x14ac:dyDescent="0.3">
      <c r="A1857" s="1"/>
      <c r="B1857" s="2"/>
      <c r="C1857" s="2"/>
    </row>
    <row r="1858" spans="1:3" x14ac:dyDescent="0.3">
      <c r="A1858" s="1"/>
      <c r="B1858" s="2"/>
      <c r="C1858" s="2"/>
    </row>
    <row r="1859" spans="1:3" x14ac:dyDescent="0.3">
      <c r="A1859" s="1"/>
      <c r="B1859" s="2"/>
      <c r="C1859" s="2"/>
    </row>
    <row r="1860" spans="1:3" x14ac:dyDescent="0.3">
      <c r="A1860" s="1"/>
      <c r="B1860" s="2"/>
      <c r="C1860" s="2"/>
    </row>
    <row r="1861" spans="1:3" x14ac:dyDescent="0.3">
      <c r="A1861" s="1"/>
      <c r="B1861" s="2"/>
      <c r="C1861" s="2"/>
    </row>
    <row r="1862" spans="1:3" x14ac:dyDescent="0.3">
      <c r="A1862" s="1"/>
      <c r="B1862" s="2"/>
      <c r="C1862" s="2"/>
    </row>
    <row r="1863" spans="1:3" x14ac:dyDescent="0.3">
      <c r="A1863" s="1"/>
      <c r="B1863" s="2"/>
      <c r="C1863" s="2"/>
    </row>
    <row r="1864" spans="1:3" x14ac:dyDescent="0.3">
      <c r="A1864" s="1"/>
      <c r="B1864" s="2"/>
      <c r="C1864" s="2"/>
    </row>
    <row r="1865" spans="1:3" x14ac:dyDescent="0.3">
      <c r="A1865" s="1"/>
      <c r="B1865" s="2"/>
      <c r="C1865" s="2"/>
    </row>
    <row r="1866" spans="1:3" x14ac:dyDescent="0.3">
      <c r="A1866" s="1"/>
      <c r="B1866" s="2"/>
      <c r="C1866" s="2"/>
    </row>
    <row r="1867" spans="1:3" x14ac:dyDescent="0.3">
      <c r="A1867" s="1"/>
      <c r="B1867" s="2"/>
      <c r="C1867" s="2"/>
    </row>
    <row r="1868" spans="1:3" x14ac:dyDescent="0.3">
      <c r="A1868" s="1"/>
      <c r="B1868" s="2"/>
      <c r="C1868" s="2"/>
    </row>
    <row r="1869" spans="1:3" x14ac:dyDescent="0.3">
      <c r="A1869" s="1"/>
      <c r="B1869" s="2"/>
      <c r="C1869" s="2"/>
    </row>
    <row r="1870" spans="1:3" x14ac:dyDescent="0.3">
      <c r="A1870" s="1"/>
      <c r="B1870" s="2"/>
      <c r="C1870" s="2"/>
    </row>
    <row r="1871" spans="1:3" x14ac:dyDescent="0.3">
      <c r="A1871" s="1"/>
      <c r="B1871" s="2"/>
      <c r="C1871" s="2"/>
    </row>
    <row r="1872" spans="1:3" x14ac:dyDescent="0.3">
      <c r="A1872" s="1"/>
      <c r="B1872" s="2"/>
      <c r="C1872" s="2"/>
    </row>
    <row r="1873" spans="1:3" x14ac:dyDescent="0.3">
      <c r="A1873" s="1"/>
      <c r="B1873" s="2"/>
      <c r="C1873" s="2"/>
    </row>
    <row r="1874" spans="1:3" x14ac:dyDescent="0.3">
      <c r="A1874" s="1"/>
      <c r="B1874" s="2"/>
      <c r="C1874" s="2"/>
    </row>
    <row r="1875" spans="1:3" x14ac:dyDescent="0.3">
      <c r="A1875" s="1"/>
      <c r="B1875" s="2"/>
      <c r="C1875" s="2"/>
    </row>
    <row r="1876" spans="1:3" x14ac:dyDescent="0.3">
      <c r="A1876" s="1"/>
      <c r="B1876" s="2"/>
      <c r="C1876" s="2"/>
    </row>
    <row r="1877" spans="1:3" x14ac:dyDescent="0.3">
      <c r="A1877" s="1"/>
      <c r="B1877" s="2"/>
      <c r="C1877" s="2"/>
    </row>
    <row r="1878" spans="1:3" x14ac:dyDescent="0.3">
      <c r="A1878" s="1"/>
      <c r="B1878" s="2"/>
      <c r="C1878" s="2"/>
    </row>
    <row r="1879" spans="1:3" x14ac:dyDescent="0.3">
      <c r="A1879" s="1"/>
      <c r="B1879" s="2"/>
      <c r="C1879" s="2"/>
    </row>
    <row r="1880" spans="1:3" x14ac:dyDescent="0.3">
      <c r="A1880" s="1"/>
      <c r="B1880" s="2"/>
      <c r="C1880" s="2"/>
    </row>
    <row r="1881" spans="1:3" x14ac:dyDescent="0.3">
      <c r="A1881" s="1"/>
      <c r="B1881" s="2"/>
      <c r="C1881" s="2"/>
    </row>
    <row r="1882" spans="1:3" x14ac:dyDescent="0.3">
      <c r="A1882" s="1"/>
      <c r="B1882" s="2"/>
      <c r="C1882" s="2"/>
    </row>
    <row r="1883" spans="1:3" x14ac:dyDescent="0.3">
      <c r="A1883" s="1"/>
      <c r="B1883" s="2"/>
      <c r="C1883" s="2"/>
    </row>
    <row r="1884" spans="1:3" x14ac:dyDescent="0.3">
      <c r="A1884" s="1"/>
      <c r="B1884" s="2"/>
      <c r="C1884" s="2"/>
    </row>
    <row r="1885" spans="1:3" x14ac:dyDescent="0.3">
      <c r="A1885" s="1"/>
      <c r="B1885" s="2"/>
      <c r="C1885" s="2"/>
    </row>
    <row r="1886" spans="1:3" x14ac:dyDescent="0.3">
      <c r="A1886" s="1"/>
      <c r="B1886" s="2"/>
      <c r="C1886" s="2"/>
    </row>
    <row r="1887" spans="1:3" x14ac:dyDescent="0.3">
      <c r="A1887" s="1"/>
      <c r="B1887" s="2"/>
      <c r="C1887" s="2"/>
    </row>
    <row r="1888" spans="1:3" x14ac:dyDescent="0.3">
      <c r="A1888" s="1"/>
      <c r="B1888" s="2"/>
      <c r="C1888" s="2"/>
    </row>
    <row r="1889" spans="1:3" x14ac:dyDescent="0.3">
      <c r="A1889" s="1"/>
      <c r="B1889" s="2"/>
      <c r="C1889" s="2"/>
    </row>
    <row r="1890" spans="1:3" x14ac:dyDescent="0.3">
      <c r="A1890" s="1"/>
      <c r="B1890" s="2"/>
      <c r="C1890" s="2"/>
    </row>
    <row r="1891" spans="1:3" x14ac:dyDescent="0.3">
      <c r="A1891" s="1"/>
      <c r="B1891" s="2"/>
      <c r="C1891" s="2"/>
    </row>
    <row r="1892" spans="1:3" x14ac:dyDescent="0.3">
      <c r="A1892" s="1"/>
      <c r="B1892" s="2"/>
      <c r="C1892" s="2"/>
    </row>
    <row r="1893" spans="1:3" x14ac:dyDescent="0.3">
      <c r="A1893" s="1"/>
      <c r="B1893" s="2"/>
      <c r="C1893" s="2"/>
    </row>
    <row r="1894" spans="1:3" x14ac:dyDescent="0.3">
      <c r="A1894" s="1"/>
      <c r="B1894" s="2"/>
      <c r="C1894" s="2"/>
    </row>
    <row r="1895" spans="1:3" x14ac:dyDescent="0.3">
      <c r="A1895" s="1"/>
      <c r="B1895" s="2"/>
      <c r="C1895" s="2"/>
    </row>
    <row r="1896" spans="1:3" x14ac:dyDescent="0.3">
      <c r="A1896" s="1"/>
      <c r="B1896" s="2"/>
      <c r="C1896" s="2"/>
    </row>
    <row r="1897" spans="1:3" x14ac:dyDescent="0.3">
      <c r="A1897" s="1"/>
      <c r="B1897" s="2"/>
      <c r="C1897" s="2"/>
    </row>
    <row r="1898" spans="1:3" x14ac:dyDescent="0.3">
      <c r="A1898" s="1"/>
      <c r="B1898" s="2"/>
      <c r="C1898" s="2"/>
    </row>
    <row r="1899" spans="1:3" x14ac:dyDescent="0.3">
      <c r="A1899" s="1"/>
      <c r="B1899" s="2"/>
      <c r="C1899" s="2"/>
    </row>
    <row r="1900" spans="1:3" x14ac:dyDescent="0.3">
      <c r="A1900" s="1"/>
      <c r="B1900" s="2"/>
      <c r="C1900" s="2"/>
    </row>
    <row r="1901" spans="1:3" x14ac:dyDescent="0.3">
      <c r="A1901" s="1"/>
      <c r="B1901" s="2"/>
      <c r="C1901" s="2"/>
    </row>
    <row r="1902" spans="1:3" x14ac:dyDescent="0.3">
      <c r="A1902" s="1"/>
      <c r="B1902" s="2"/>
      <c r="C1902" s="2"/>
    </row>
    <row r="1903" spans="1:3" x14ac:dyDescent="0.3">
      <c r="A1903" s="1"/>
      <c r="B1903" s="2"/>
      <c r="C1903" s="2"/>
    </row>
    <row r="1904" spans="1:3" x14ac:dyDescent="0.3">
      <c r="A1904" s="1"/>
      <c r="B1904" s="2"/>
      <c r="C1904" s="2"/>
    </row>
    <row r="1905" spans="1:3" x14ac:dyDescent="0.3">
      <c r="A1905" s="1"/>
      <c r="B1905" s="2"/>
      <c r="C1905" s="2"/>
    </row>
    <row r="1906" spans="1:3" x14ac:dyDescent="0.3">
      <c r="A1906" s="1"/>
      <c r="B1906" s="2"/>
      <c r="C1906" s="2"/>
    </row>
    <row r="1907" spans="1:3" x14ac:dyDescent="0.3">
      <c r="A1907" s="1"/>
      <c r="B1907" s="2"/>
      <c r="C1907" s="2"/>
    </row>
    <row r="1908" spans="1:3" x14ac:dyDescent="0.3">
      <c r="A1908" s="1"/>
      <c r="B1908" s="2"/>
      <c r="C1908" s="2"/>
    </row>
    <row r="1909" spans="1:3" x14ac:dyDescent="0.3">
      <c r="A1909" s="1"/>
      <c r="B1909" s="2"/>
      <c r="C1909" s="2"/>
    </row>
    <row r="1910" spans="1:3" x14ac:dyDescent="0.3">
      <c r="A1910" s="1"/>
      <c r="B1910" s="2"/>
      <c r="C1910" s="2"/>
    </row>
    <row r="1911" spans="1:3" x14ac:dyDescent="0.3">
      <c r="A1911" s="1"/>
      <c r="B1911" s="2"/>
      <c r="C1911" s="2"/>
    </row>
    <row r="1912" spans="1:3" x14ac:dyDescent="0.3">
      <c r="A1912" s="1"/>
      <c r="B1912" s="2"/>
      <c r="C1912" s="2"/>
    </row>
    <row r="1913" spans="1:3" x14ac:dyDescent="0.3">
      <c r="A1913" s="1"/>
      <c r="B1913" s="2"/>
      <c r="C1913" s="2"/>
    </row>
    <row r="1914" spans="1:3" x14ac:dyDescent="0.3">
      <c r="A1914" s="1"/>
      <c r="B1914" s="2"/>
      <c r="C1914" s="2"/>
    </row>
    <row r="1915" spans="1:3" x14ac:dyDescent="0.3">
      <c r="A1915" s="1"/>
      <c r="B1915" s="2"/>
      <c r="C1915" s="2"/>
    </row>
    <row r="1916" spans="1:3" x14ac:dyDescent="0.3">
      <c r="A1916" s="1"/>
      <c r="B1916" s="2"/>
      <c r="C1916" s="2"/>
    </row>
    <row r="1917" spans="1:3" x14ac:dyDescent="0.3">
      <c r="A1917" s="1"/>
      <c r="B1917" s="2"/>
      <c r="C1917" s="2"/>
    </row>
    <row r="1918" spans="1:3" x14ac:dyDescent="0.3">
      <c r="A1918" s="1"/>
      <c r="B1918" s="2"/>
      <c r="C1918" s="2"/>
    </row>
    <row r="1919" spans="1:3" x14ac:dyDescent="0.3">
      <c r="A1919" s="1"/>
      <c r="B1919" s="2"/>
      <c r="C1919" s="2"/>
    </row>
    <row r="1920" spans="1:3" x14ac:dyDescent="0.3">
      <c r="A1920" s="1"/>
      <c r="B1920" s="2"/>
      <c r="C1920" s="2"/>
    </row>
    <row r="1921" spans="1:3" x14ac:dyDescent="0.3">
      <c r="A1921" s="1"/>
      <c r="B1921" s="2"/>
      <c r="C1921" s="2"/>
    </row>
    <row r="1922" spans="1:3" x14ac:dyDescent="0.3">
      <c r="A1922" s="1"/>
      <c r="B1922" s="2"/>
      <c r="C1922" s="2"/>
    </row>
    <row r="1923" spans="1:3" x14ac:dyDescent="0.3">
      <c r="A1923" s="1"/>
      <c r="B1923" s="2"/>
      <c r="C1923" s="2"/>
    </row>
    <row r="1924" spans="1:3" x14ac:dyDescent="0.3">
      <c r="A1924" s="1"/>
      <c r="B1924" s="2"/>
      <c r="C1924" s="2"/>
    </row>
    <row r="1925" spans="1:3" x14ac:dyDescent="0.3">
      <c r="A1925" s="1"/>
      <c r="B1925" s="2"/>
      <c r="C1925" s="2"/>
    </row>
    <row r="1926" spans="1:3" x14ac:dyDescent="0.3">
      <c r="A1926" s="1"/>
      <c r="B1926" s="2"/>
      <c r="C1926" s="2"/>
    </row>
    <row r="1927" spans="1:3" x14ac:dyDescent="0.3">
      <c r="A1927" s="1"/>
      <c r="B1927" s="2"/>
      <c r="C1927" s="2"/>
    </row>
    <row r="1928" spans="1:3" x14ac:dyDescent="0.3">
      <c r="A1928" s="1"/>
      <c r="B1928" s="2"/>
      <c r="C1928" s="2"/>
    </row>
    <row r="1929" spans="1:3" x14ac:dyDescent="0.3">
      <c r="A1929" s="1"/>
      <c r="B1929" s="2"/>
      <c r="C1929" s="2"/>
    </row>
    <row r="1930" spans="1:3" x14ac:dyDescent="0.3">
      <c r="A1930" s="1"/>
      <c r="B1930" s="2"/>
      <c r="C1930" s="2"/>
    </row>
    <row r="1931" spans="1:3" x14ac:dyDescent="0.3">
      <c r="A1931" s="1"/>
      <c r="B1931" s="2"/>
      <c r="C1931" s="2"/>
    </row>
    <row r="1932" spans="1:3" x14ac:dyDescent="0.3">
      <c r="A1932" s="1"/>
      <c r="B1932" s="2"/>
      <c r="C1932" s="2"/>
    </row>
    <row r="1933" spans="1:3" x14ac:dyDescent="0.3">
      <c r="A1933" s="1"/>
      <c r="B1933" s="2"/>
      <c r="C1933" s="2"/>
    </row>
    <row r="1934" spans="1:3" x14ac:dyDescent="0.3">
      <c r="A1934" s="1"/>
      <c r="B1934" s="2"/>
      <c r="C1934" s="2"/>
    </row>
    <row r="1935" spans="1:3" x14ac:dyDescent="0.3">
      <c r="A1935" s="1"/>
      <c r="B1935" s="2"/>
      <c r="C1935" s="2"/>
    </row>
    <row r="1936" spans="1:3" x14ac:dyDescent="0.3">
      <c r="A1936" s="1"/>
      <c r="B1936" s="2"/>
      <c r="C1936" s="2"/>
    </row>
    <row r="1937" spans="1:3" x14ac:dyDescent="0.3">
      <c r="A1937" s="1"/>
      <c r="B1937" s="2"/>
      <c r="C1937" s="2"/>
    </row>
    <row r="1938" spans="1:3" x14ac:dyDescent="0.3">
      <c r="A1938" s="1"/>
      <c r="B1938" s="2"/>
      <c r="C1938" s="2"/>
    </row>
    <row r="1939" spans="1:3" x14ac:dyDescent="0.3">
      <c r="A1939" s="1"/>
      <c r="B1939" s="2"/>
      <c r="C1939" s="2"/>
    </row>
    <row r="1940" spans="1:3" x14ac:dyDescent="0.3">
      <c r="A1940" s="1"/>
      <c r="B1940" s="2"/>
      <c r="C1940" s="2"/>
    </row>
    <row r="1941" spans="1:3" x14ac:dyDescent="0.3">
      <c r="A1941" s="1"/>
      <c r="B1941" s="2"/>
      <c r="C1941" s="2"/>
    </row>
    <row r="1942" spans="1:3" x14ac:dyDescent="0.3">
      <c r="A1942" s="1"/>
      <c r="B1942" s="2"/>
      <c r="C1942" s="2"/>
    </row>
    <row r="1943" spans="1:3" x14ac:dyDescent="0.3">
      <c r="A1943" s="1"/>
      <c r="B1943" s="2"/>
      <c r="C1943" s="2"/>
    </row>
    <row r="1944" spans="1:3" x14ac:dyDescent="0.3">
      <c r="A1944" s="1"/>
      <c r="B1944" s="2"/>
      <c r="C1944" s="2"/>
    </row>
    <row r="1945" spans="1:3" x14ac:dyDescent="0.3">
      <c r="A1945" s="1"/>
      <c r="B1945" s="2"/>
      <c r="C1945" s="2"/>
    </row>
    <row r="1946" spans="1:3" x14ac:dyDescent="0.3">
      <c r="A1946" s="1"/>
      <c r="B1946" s="2"/>
      <c r="C1946" s="2"/>
    </row>
    <row r="1947" spans="1:3" x14ac:dyDescent="0.3">
      <c r="A1947" s="1"/>
      <c r="B1947" s="2"/>
      <c r="C1947" s="2"/>
    </row>
    <row r="1948" spans="1:3" x14ac:dyDescent="0.3">
      <c r="A1948" s="1"/>
      <c r="B1948" s="2"/>
      <c r="C1948" s="2"/>
    </row>
    <row r="1949" spans="1:3" x14ac:dyDescent="0.3">
      <c r="A1949" s="1"/>
      <c r="B1949" s="2"/>
      <c r="C1949" s="2"/>
    </row>
    <row r="1950" spans="1:3" x14ac:dyDescent="0.3">
      <c r="A1950" s="1"/>
      <c r="B1950" s="2"/>
      <c r="C1950" s="2"/>
    </row>
    <row r="1951" spans="1:3" x14ac:dyDescent="0.3">
      <c r="A1951" s="1"/>
      <c r="B1951" s="2"/>
      <c r="C1951" s="2"/>
    </row>
    <row r="1952" spans="1:3" x14ac:dyDescent="0.3">
      <c r="A1952" s="1"/>
      <c r="B1952" s="2"/>
      <c r="C1952" s="2"/>
    </row>
    <row r="1953" spans="1:3" x14ac:dyDescent="0.3">
      <c r="A1953" s="1"/>
      <c r="B1953" s="2"/>
      <c r="C1953" s="2"/>
    </row>
    <row r="1954" spans="1:3" x14ac:dyDescent="0.3">
      <c r="A1954" s="1"/>
      <c r="B1954" s="2"/>
      <c r="C1954" s="2"/>
    </row>
    <row r="1955" spans="1:3" x14ac:dyDescent="0.3">
      <c r="A1955" s="1"/>
      <c r="B1955" s="2"/>
      <c r="C1955" s="2"/>
    </row>
    <row r="1956" spans="1:3" x14ac:dyDescent="0.3">
      <c r="A1956" s="1"/>
      <c r="B1956" s="2"/>
      <c r="C1956" s="2"/>
    </row>
    <row r="1957" spans="1:3" x14ac:dyDescent="0.3">
      <c r="A1957" s="1"/>
      <c r="B1957" s="2"/>
      <c r="C1957" s="2"/>
    </row>
    <row r="1958" spans="1:3" x14ac:dyDescent="0.3">
      <c r="A1958" s="1"/>
      <c r="B1958" s="2"/>
      <c r="C1958" s="2"/>
    </row>
    <row r="1959" spans="1:3" x14ac:dyDescent="0.3">
      <c r="A1959" s="1"/>
      <c r="B1959" s="2"/>
      <c r="C1959" s="2"/>
    </row>
    <row r="1960" spans="1:3" x14ac:dyDescent="0.3">
      <c r="A1960" s="1"/>
      <c r="B1960" s="2"/>
      <c r="C1960" s="2"/>
    </row>
    <row r="1961" spans="1:3" x14ac:dyDescent="0.3">
      <c r="A1961" s="1"/>
      <c r="B1961" s="2"/>
      <c r="C1961" s="2"/>
    </row>
    <row r="1962" spans="1:3" x14ac:dyDescent="0.3">
      <c r="A1962" s="1"/>
      <c r="B1962" s="2"/>
      <c r="C1962" s="2"/>
    </row>
    <row r="1963" spans="1:3" x14ac:dyDescent="0.3">
      <c r="A1963" s="1"/>
      <c r="B1963" s="2"/>
      <c r="C1963" s="2"/>
    </row>
    <row r="1964" spans="1:3" x14ac:dyDescent="0.3">
      <c r="A1964" s="1"/>
      <c r="B1964" s="2"/>
      <c r="C1964" s="2"/>
    </row>
    <row r="1965" spans="1:3" x14ac:dyDescent="0.3">
      <c r="A1965" s="1"/>
      <c r="B1965" s="2"/>
      <c r="C1965" s="2"/>
    </row>
    <row r="1966" spans="1:3" x14ac:dyDescent="0.3">
      <c r="A1966" s="1"/>
      <c r="B1966" s="2"/>
      <c r="C1966" s="2"/>
    </row>
    <row r="1967" spans="1:3" x14ac:dyDescent="0.3">
      <c r="A1967" s="1"/>
      <c r="B1967" s="2"/>
      <c r="C1967" s="2"/>
    </row>
    <row r="1968" spans="1:3" x14ac:dyDescent="0.3">
      <c r="A1968" s="1"/>
      <c r="B1968" s="2"/>
      <c r="C1968" s="2"/>
    </row>
    <row r="1969" spans="1:3" x14ac:dyDescent="0.3">
      <c r="A1969" s="1"/>
      <c r="B1969" s="2"/>
      <c r="C1969" s="2"/>
    </row>
    <row r="1970" spans="1:3" x14ac:dyDescent="0.3">
      <c r="A1970" s="1"/>
      <c r="B1970" s="2"/>
      <c r="C1970" s="2"/>
    </row>
    <row r="1971" spans="1:3" x14ac:dyDescent="0.3">
      <c r="A1971" s="1"/>
      <c r="B1971" s="2"/>
      <c r="C1971" s="2"/>
    </row>
    <row r="1972" spans="1:3" x14ac:dyDescent="0.3">
      <c r="A1972" s="1"/>
      <c r="B1972" s="2"/>
      <c r="C1972" s="2"/>
    </row>
    <row r="1973" spans="1:3" x14ac:dyDescent="0.3">
      <c r="A1973" s="1"/>
      <c r="B1973" s="2"/>
      <c r="C1973" s="2"/>
    </row>
    <row r="1974" spans="1:3" x14ac:dyDescent="0.3">
      <c r="A1974" s="1"/>
      <c r="B1974" s="2"/>
      <c r="C1974" s="2"/>
    </row>
    <row r="1975" spans="1:3" x14ac:dyDescent="0.3">
      <c r="A1975" s="1"/>
      <c r="B1975" s="2"/>
      <c r="C1975" s="2"/>
    </row>
    <row r="1976" spans="1:3" x14ac:dyDescent="0.3">
      <c r="A1976" s="1"/>
      <c r="B1976" s="2"/>
      <c r="C1976" s="2"/>
    </row>
    <row r="1977" spans="1:3" x14ac:dyDescent="0.3">
      <c r="A1977" s="1"/>
      <c r="B1977" s="2"/>
      <c r="C1977" s="2"/>
    </row>
    <row r="1978" spans="1:3" x14ac:dyDescent="0.3">
      <c r="A1978" s="1"/>
      <c r="B1978" s="2"/>
      <c r="C1978" s="2"/>
    </row>
    <row r="1979" spans="1:3" x14ac:dyDescent="0.3">
      <c r="A1979" s="1"/>
      <c r="B1979" s="2"/>
      <c r="C1979" s="2"/>
    </row>
    <row r="1980" spans="1:3" x14ac:dyDescent="0.3">
      <c r="A1980" s="1"/>
      <c r="B1980" s="2"/>
      <c r="C1980" s="2"/>
    </row>
    <row r="1981" spans="1:3" x14ac:dyDescent="0.3">
      <c r="A1981" s="1"/>
      <c r="B1981" s="2"/>
      <c r="C1981" s="2"/>
    </row>
    <row r="1982" spans="1:3" x14ac:dyDescent="0.3">
      <c r="A1982" s="1"/>
      <c r="B1982" s="2"/>
      <c r="C1982" s="2"/>
    </row>
    <row r="1983" spans="1:3" x14ac:dyDescent="0.3">
      <c r="A1983" s="1"/>
      <c r="B1983" s="2"/>
      <c r="C1983" s="2"/>
    </row>
    <row r="1984" spans="1:3" x14ac:dyDescent="0.3">
      <c r="A1984" s="1"/>
      <c r="B1984" s="2"/>
      <c r="C1984" s="2"/>
    </row>
    <row r="1985" spans="1:3" x14ac:dyDescent="0.3">
      <c r="A1985" s="1"/>
      <c r="B1985" s="2"/>
      <c r="C1985" s="2"/>
    </row>
    <row r="1986" spans="1:3" x14ac:dyDescent="0.3">
      <c r="A1986" s="1"/>
      <c r="B1986" s="2"/>
      <c r="C1986" s="2"/>
    </row>
    <row r="1987" spans="1:3" x14ac:dyDescent="0.3">
      <c r="A1987" s="1"/>
      <c r="B1987" s="2"/>
      <c r="C1987" s="2"/>
    </row>
    <row r="1988" spans="1:3" x14ac:dyDescent="0.3">
      <c r="A1988" s="1"/>
      <c r="B1988" s="2"/>
      <c r="C1988" s="2"/>
    </row>
    <row r="1989" spans="1:3" x14ac:dyDescent="0.3">
      <c r="A1989" s="1"/>
      <c r="B1989" s="2"/>
      <c r="C1989" s="2"/>
    </row>
    <row r="1990" spans="1:3" x14ac:dyDescent="0.3">
      <c r="A1990" s="1"/>
      <c r="B1990" s="2"/>
      <c r="C1990" s="2"/>
    </row>
    <row r="1991" spans="1:3" x14ac:dyDescent="0.3">
      <c r="A1991" s="1"/>
      <c r="B1991" s="2"/>
      <c r="C1991" s="2"/>
    </row>
    <row r="1992" spans="1:3" x14ac:dyDescent="0.3">
      <c r="A1992" s="1"/>
      <c r="B1992" s="2"/>
      <c r="C1992" s="2"/>
    </row>
    <row r="1993" spans="1:3" x14ac:dyDescent="0.3">
      <c r="A1993" s="1"/>
      <c r="B1993" s="2"/>
      <c r="C1993" s="2"/>
    </row>
    <row r="1994" spans="1:3" x14ac:dyDescent="0.3">
      <c r="A1994" s="1"/>
      <c r="B1994" s="2"/>
      <c r="C1994" s="2"/>
    </row>
    <row r="1995" spans="1:3" x14ac:dyDescent="0.3">
      <c r="A1995" s="1"/>
      <c r="B1995" s="2"/>
      <c r="C1995" s="2"/>
    </row>
    <row r="1996" spans="1:3" x14ac:dyDescent="0.3">
      <c r="A1996" s="1"/>
      <c r="B1996" s="2"/>
      <c r="C1996" s="2"/>
    </row>
    <row r="1997" spans="1:3" x14ac:dyDescent="0.3">
      <c r="A1997" s="1"/>
      <c r="B1997" s="2"/>
      <c r="C1997" s="2"/>
    </row>
    <row r="1998" spans="1:3" x14ac:dyDescent="0.3">
      <c r="A1998" s="1"/>
      <c r="B1998" s="2"/>
      <c r="C1998" s="2"/>
    </row>
    <row r="1999" spans="1:3" x14ac:dyDescent="0.3">
      <c r="A1999" s="1"/>
      <c r="B1999" s="2"/>
      <c r="C1999" s="2"/>
    </row>
    <row r="2000" spans="1:3" x14ac:dyDescent="0.3">
      <c r="A2000" s="1"/>
      <c r="B2000" s="2"/>
      <c r="C2000" s="2"/>
    </row>
    <row r="2001" spans="1:3" x14ac:dyDescent="0.3">
      <c r="A2001" s="1"/>
      <c r="B2001" s="2"/>
      <c r="C2001" s="2"/>
    </row>
    <row r="2002" spans="1:3" x14ac:dyDescent="0.3">
      <c r="A2002" s="1"/>
      <c r="B2002" s="2"/>
      <c r="C2002" s="2"/>
    </row>
    <row r="2003" spans="1:3" x14ac:dyDescent="0.3">
      <c r="A2003" s="1"/>
      <c r="B2003" s="2"/>
      <c r="C2003" s="2"/>
    </row>
    <row r="2004" spans="1:3" x14ac:dyDescent="0.3">
      <c r="A2004" s="1"/>
      <c r="B2004" s="2"/>
      <c r="C2004" s="2"/>
    </row>
    <row r="2005" spans="1:3" x14ac:dyDescent="0.3">
      <c r="A2005" s="1"/>
      <c r="B2005" s="2"/>
      <c r="C2005" s="2"/>
    </row>
    <row r="2006" spans="1:3" x14ac:dyDescent="0.3">
      <c r="A2006" s="1"/>
      <c r="B2006" s="2"/>
      <c r="C2006" s="2"/>
    </row>
    <row r="2007" spans="1:3" x14ac:dyDescent="0.3">
      <c r="A2007" s="1"/>
      <c r="B2007" s="2"/>
      <c r="C2007" s="2"/>
    </row>
    <row r="2008" spans="1:3" x14ac:dyDescent="0.3">
      <c r="A2008" s="1"/>
      <c r="B2008" s="2"/>
      <c r="C2008" s="2"/>
    </row>
    <row r="2009" spans="1:3" x14ac:dyDescent="0.3">
      <c r="A2009" s="1"/>
      <c r="B2009" s="2"/>
      <c r="C2009" s="2"/>
    </row>
    <row r="2010" spans="1:3" x14ac:dyDescent="0.3">
      <c r="A2010" s="1"/>
      <c r="B2010" s="2"/>
      <c r="C2010" s="2"/>
    </row>
    <row r="2011" spans="1:3" x14ac:dyDescent="0.3">
      <c r="A2011" s="1"/>
      <c r="B2011" s="2"/>
      <c r="C2011" s="2"/>
    </row>
    <row r="2012" spans="1:3" x14ac:dyDescent="0.3">
      <c r="A2012" s="1"/>
      <c r="B2012" s="2"/>
      <c r="C2012" s="2"/>
    </row>
    <row r="2013" spans="1:3" x14ac:dyDescent="0.3">
      <c r="A2013" s="1"/>
      <c r="B2013" s="2"/>
      <c r="C2013" s="2"/>
    </row>
    <row r="2014" spans="1:3" x14ac:dyDescent="0.3">
      <c r="A2014" s="1"/>
      <c r="B2014" s="2"/>
      <c r="C2014" s="2"/>
    </row>
    <row r="2015" spans="1:3" x14ac:dyDescent="0.3">
      <c r="A2015" s="1"/>
      <c r="B2015" s="2"/>
      <c r="C2015" s="2"/>
    </row>
    <row r="2016" spans="1:3" x14ac:dyDescent="0.3">
      <c r="A2016" s="1"/>
      <c r="B2016" s="2"/>
      <c r="C2016" s="2"/>
    </row>
    <row r="2017" spans="1:3" x14ac:dyDescent="0.3">
      <c r="A2017" s="1"/>
      <c r="B2017" s="2"/>
      <c r="C2017" s="2"/>
    </row>
    <row r="2018" spans="1:3" x14ac:dyDescent="0.3">
      <c r="A2018" s="1"/>
      <c r="B2018" s="2"/>
      <c r="C2018" s="2"/>
    </row>
    <row r="2019" spans="1:3" x14ac:dyDescent="0.3">
      <c r="A2019" s="1"/>
      <c r="B2019" s="2"/>
      <c r="C2019" s="2"/>
    </row>
    <row r="2020" spans="1:3" x14ac:dyDescent="0.3">
      <c r="A2020" s="1"/>
      <c r="B2020" s="2"/>
      <c r="C2020" s="2"/>
    </row>
    <row r="2021" spans="1:3" x14ac:dyDescent="0.3">
      <c r="A2021" s="1"/>
      <c r="B2021" s="2"/>
      <c r="C2021" s="2"/>
    </row>
    <row r="2022" spans="1:3" x14ac:dyDescent="0.3">
      <c r="A2022" s="1"/>
      <c r="B2022" s="2"/>
      <c r="C2022" s="2"/>
    </row>
    <row r="2023" spans="1:3" x14ac:dyDescent="0.3">
      <c r="A2023" s="1"/>
      <c r="B2023" s="2"/>
      <c r="C2023" s="2"/>
    </row>
    <row r="2024" spans="1:3" x14ac:dyDescent="0.3">
      <c r="A2024" s="1"/>
      <c r="B2024" s="2"/>
      <c r="C2024" s="2"/>
    </row>
    <row r="2025" spans="1:3" x14ac:dyDescent="0.3">
      <c r="A2025" s="1"/>
      <c r="B2025" s="2"/>
      <c r="C2025" s="2"/>
    </row>
    <row r="2026" spans="1:3" x14ac:dyDescent="0.3">
      <c r="A2026" s="1"/>
      <c r="B2026" s="2"/>
      <c r="C2026" s="2"/>
    </row>
    <row r="2027" spans="1:3" x14ac:dyDescent="0.3">
      <c r="A2027" s="1"/>
      <c r="B2027" s="2"/>
      <c r="C2027" s="2"/>
    </row>
    <row r="2028" spans="1:3" x14ac:dyDescent="0.3">
      <c r="A2028" s="1"/>
      <c r="B2028" s="2"/>
      <c r="C2028" s="2"/>
    </row>
    <row r="2029" spans="1:3" x14ac:dyDescent="0.3">
      <c r="A2029" s="1"/>
      <c r="B2029" s="2"/>
      <c r="C2029" s="2"/>
    </row>
    <row r="2030" spans="1:3" x14ac:dyDescent="0.3">
      <c r="A2030" s="1"/>
      <c r="B2030" s="2"/>
      <c r="C2030" s="2"/>
    </row>
    <row r="2031" spans="1:3" x14ac:dyDescent="0.3">
      <c r="A2031" s="1"/>
      <c r="B2031" s="2"/>
      <c r="C2031" s="2"/>
    </row>
    <row r="2032" spans="1:3" x14ac:dyDescent="0.3">
      <c r="A2032" s="1"/>
      <c r="B2032" s="2"/>
      <c r="C2032" s="2"/>
    </row>
    <row r="2033" spans="1:3" x14ac:dyDescent="0.3">
      <c r="A2033" s="1"/>
      <c r="B2033" s="2"/>
      <c r="C2033" s="2"/>
    </row>
    <row r="2034" spans="1:3" x14ac:dyDescent="0.3">
      <c r="A2034" s="1"/>
      <c r="B2034" s="2"/>
      <c r="C2034" s="2"/>
    </row>
    <row r="2035" spans="1:3" x14ac:dyDescent="0.3">
      <c r="A2035" s="1"/>
      <c r="B2035" s="2"/>
      <c r="C2035" s="2"/>
    </row>
    <row r="2036" spans="1:3" x14ac:dyDescent="0.3">
      <c r="A2036" s="1"/>
      <c r="B2036" s="2"/>
      <c r="C2036" s="2"/>
    </row>
    <row r="2037" spans="1:3" x14ac:dyDescent="0.3">
      <c r="A2037" s="1"/>
      <c r="B2037" s="2"/>
      <c r="C2037" s="2"/>
    </row>
    <row r="2038" spans="1:3" x14ac:dyDescent="0.3">
      <c r="A2038" s="1"/>
      <c r="B2038" s="2"/>
      <c r="C2038" s="2"/>
    </row>
    <row r="2039" spans="1:3" x14ac:dyDescent="0.3">
      <c r="A2039" s="1"/>
      <c r="B2039" s="2"/>
      <c r="C2039" s="2"/>
    </row>
    <row r="2040" spans="1:3" x14ac:dyDescent="0.3">
      <c r="A2040" s="1"/>
      <c r="B2040" s="2"/>
      <c r="C2040" s="2"/>
    </row>
    <row r="2041" spans="1:3" x14ac:dyDescent="0.3">
      <c r="A2041" s="1"/>
      <c r="B2041" s="2"/>
      <c r="C2041" s="2"/>
    </row>
    <row r="2042" spans="1:3" x14ac:dyDescent="0.3">
      <c r="A2042" s="1"/>
      <c r="B2042" s="2"/>
      <c r="C2042" s="2"/>
    </row>
    <row r="2043" spans="1:3" x14ac:dyDescent="0.3">
      <c r="A2043" s="1"/>
      <c r="B2043" s="2"/>
      <c r="C2043" s="2"/>
    </row>
    <row r="2044" spans="1:3" x14ac:dyDescent="0.3">
      <c r="A2044" s="1"/>
      <c r="B2044" s="2"/>
      <c r="C2044" s="2"/>
    </row>
    <row r="2045" spans="1:3" x14ac:dyDescent="0.3">
      <c r="A2045" s="1"/>
      <c r="B2045" s="2"/>
      <c r="C2045" s="2"/>
    </row>
    <row r="2046" spans="1:3" x14ac:dyDescent="0.3">
      <c r="A2046" s="1"/>
      <c r="B2046" s="2"/>
      <c r="C2046" s="2"/>
    </row>
    <row r="2047" spans="1:3" x14ac:dyDescent="0.3">
      <c r="A2047" s="1"/>
      <c r="B2047" s="2"/>
      <c r="C2047" s="2"/>
    </row>
    <row r="2048" spans="1:3" x14ac:dyDescent="0.3">
      <c r="A2048" s="1"/>
      <c r="B2048" s="2"/>
      <c r="C2048" s="2"/>
    </row>
    <row r="2049" spans="1:3" x14ac:dyDescent="0.3">
      <c r="A2049" s="1"/>
      <c r="B2049" s="2"/>
      <c r="C2049" s="2"/>
    </row>
    <row r="2050" spans="1:3" x14ac:dyDescent="0.3">
      <c r="A2050" s="1"/>
      <c r="B2050" s="2"/>
      <c r="C2050" s="2"/>
    </row>
    <row r="2051" spans="1:3" x14ac:dyDescent="0.3">
      <c r="A2051" s="1"/>
      <c r="B2051" s="2"/>
      <c r="C2051" s="2"/>
    </row>
    <row r="2052" spans="1:3" x14ac:dyDescent="0.3">
      <c r="A2052" s="1"/>
      <c r="B2052" s="2"/>
      <c r="C2052" s="2"/>
    </row>
    <row r="2053" spans="1:3" x14ac:dyDescent="0.3">
      <c r="A2053" s="1"/>
      <c r="B2053" s="2"/>
      <c r="C2053" s="2"/>
    </row>
    <row r="2054" spans="1:3" x14ac:dyDescent="0.3">
      <c r="A2054" s="1"/>
      <c r="B2054" s="2"/>
      <c r="C2054" s="2"/>
    </row>
    <row r="2055" spans="1:3" x14ac:dyDescent="0.3">
      <c r="A2055" s="1"/>
      <c r="B2055" s="2"/>
      <c r="C2055" s="2"/>
    </row>
    <row r="2056" spans="1:3" x14ac:dyDescent="0.3">
      <c r="A2056" s="1"/>
      <c r="B2056" s="2"/>
      <c r="C2056" s="2"/>
    </row>
    <row r="2057" spans="1:3" x14ac:dyDescent="0.3">
      <c r="A2057" s="1"/>
      <c r="B2057" s="2"/>
      <c r="C2057" s="2"/>
    </row>
    <row r="2058" spans="1:3" x14ac:dyDescent="0.3">
      <c r="A2058" s="1"/>
      <c r="B2058" s="2"/>
      <c r="C2058" s="2"/>
    </row>
    <row r="2059" spans="1:3" x14ac:dyDescent="0.3">
      <c r="A2059" s="1"/>
      <c r="B2059" s="2"/>
      <c r="C2059" s="2"/>
    </row>
    <row r="2060" spans="1:3" x14ac:dyDescent="0.3">
      <c r="A2060" s="1"/>
      <c r="B2060" s="2"/>
      <c r="C2060" s="2"/>
    </row>
    <row r="2061" spans="1:3" x14ac:dyDescent="0.3">
      <c r="A2061" s="1"/>
      <c r="B2061" s="2"/>
      <c r="C2061" s="2"/>
    </row>
    <row r="2062" spans="1:3" x14ac:dyDescent="0.3">
      <c r="A2062" s="1"/>
      <c r="B2062" s="2"/>
      <c r="C2062" s="2"/>
    </row>
    <row r="2063" spans="1:3" x14ac:dyDescent="0.3">
      <c r="A2063" s="1"/>
      <c r="B2063" s="2"/>
      <c r="C2063" s="2"/>
    </row>
    <row r="2064" spans="1:3" x14ac:dyDescent="0.3">
      <c r="A2064" s="1"/>
      <c r="B2064" s="2"/>
      <c r="C2064" s="2"/>
    </row>
    <row r="2065" spans="1:3" x14ac:dyDescent="0.3">
      <c r="A2065" s="1"/>
      <c r="B2065" s="2"/>
      <c r="C2065" s="2"/>
    </row>
    <row r="2066" spans="1:3" x14ac:dyDescent="0.3">
      <c r="A2066" s="1"/>
      <c r="B2066" s="2"/>
      <c r="C2066" s="2"/>
    </row>
    <row r="2067" spans="1:3" x14ac:dyDescent="0.3">
      <c r="A2067" s="1"/>
      <c r="B2067" s="2"/>
      <c r="C2067" s="2"/>
    </row>
    <row r="2068" spans="1:3" x14ac:dyDescent="0.3">
      <c r="A2068" s="1"/>
      <c r="B2068" s="2"/>
      <c r="C2068" s="2"/>
    </row>
    <row r="2069" spans="1:3" x14ac:dyDescent="0.3">
      <c r="A2069" s="1"/>
      <c r="B2069" s="2"/>
      <c r="C2069" s="2"/>
    </row>
    <row r="2070" spans="1:3" x14ac:dyDescent="0.3">
      <c r="A2070" s="1"/>
      <c r="B2070" s="2"/>
      <c r="C2070" s="2"/>
    </row>
    <row r="2071" spans="1:3" x14ac:dyDescent="0.3">
      <c r="A2071" s="1"/>
      <c r="B2071" s="2"/>
      <c r="C2071" s="2"/>
    </row>
    <row r="2072" spans="1:3" x14ac:dyDescent="0.3">
      <c r="A2072" s="1"/>
      <c r="B2072" s="2"/>
      <c r="C2072" s="2"/>
    </row>
    <row r="2073" spans="1:3" x14ac:dyDescent="0.3">
      <c r="A2073" s="1"/>
      <c r="B2073" s="2"/>
      <c r="C2073" s="2"/>
    </row>
    <row r="2074" spans="1:3" x14ac:dyDescent="0.3">
      <c r="A2074" s="1"/>
      <c r="B2074" s="2"/>
      <c r="C2074" s="2"/>
    </row>
    <row r="2075" spans="1:3" x14ac:dyDescent="0.3">
      <c r="A2075" s="1"/>
      <c r="B2075" s="2"/>
      <c r="C2075" s="2"/>
    </row>
    <row r="2076" spans="1:3" x14ac:dyDescent="0.3">
      <c r="A2076" s="1"/>
      <c r="B2076" s="2"/>
      <c r="C2076" s="2"/>
    </row>
    <row r="2077" spans="1:3" x14ac:dyDescent="0.3">
      <c r="A2077" s="1"/>
      <c r="B2077" s="2"/>
      <c r="C2077" s="2"/>
    </row>
    <row r="2078" spans="1:3" x14ac:dyDescent="0.3">
      <c r="A2078" s="1"/>
      <c r="B2078" s="2"/>
      <c r="C2078" s="2"/>
    </row>
    <row r="2079" spans="1:3" x14ac:dyDescent="0.3">
      <c r="A2079" s="1"/>
      <c r="B2079" s="2"/>
      <c r="C2079" s="2"/>
    </row>
    <row r="2080" spans="1:3" x14ac:dyDescent="0.3">
      <c r="A2080" s="1"/>
      <c r="B2080" s="2"/>
      <c r="C2080" s="2"/>
    </row>
    <row r="2081" spans="1:3" x14ac:dyDescent="0.3">
      <c r="A2081" s="1"/>
      <c r="B2081" s="2"/>
      <c r="C2081" s="2"/>
    </row>
    <row r="2082" spans="1:3" x14ac:dyDescent="0.3">
      <c r="A2082" s="1"/>
      <c r="B2082" s="2"/>
      <c r="C2082" s="2"/>
    </row>
    <row r="2083" spans="1:3" x14ac:dyDescent="0.3">
      <c r="A2083" s="1"/>
      <c r="B2083" s="2"/>
      <c r="C2083" s="2"/>
    </row>
    <row r="2084" spans="1:3" x14ac:dyDescent="0.3">
      <c r="A2084" s="1"/>
      <c r="B2084" s="2"/>
      <c r="C2084" s="2"/>
    </row>
    <row r="2085" spans="1:3" x14ac:dyDescent="0.3">
      <c r="A2085" s="1"/>
      <c r="B2085" s="2"/>
      <c r="C2085" s="2"/>
    </row>
    <row r="2086" spans="1:3" x14ac:dyDescent="0.3">
      <c r="A2086" s="1"/>
      <c r="B2086" s="2"/>
      <c r="C2086" s="2"/>
    </row>
    <row r="2087" spans="1:3" x14ac:dyDescent="0.3">
      <c r="A2087" s="1"/>
      <c r="B2087" s="2"/>
      <c r="C2087" s="2"/>
    </row>
    <row r="2088" spans="1:3" x14ac:dyDescent="0.3">
      <c r="A2088" s="1"/>
      <c r="B2088" s="2"/>
      <c r="C2088" s="2"/>
    </row>
    <row r="2089" spans="1:3" x14ac:dyDescent="0.3">
      <c r="A2089" s="1"/>
      <c r="B2089" s="2"/>
      <c r="C2089" s="2"/>
    </row>
    <row r="2090" spans="1:3" x14ac:dyDescent="0.3">
      <c r="A2090" s="1"/>
      <c r="B2090" s="2"/>
      <c r="C2090" s="2"/>
    </row>
    <row r="2091" spans="1:3" x14ac:dyDescent="0.3">
      <c r="A2091" s="1"/>
      <c r="B2091" s="2"/>
      <c r="C2091" s="2"/>
    </row>
    <row r="2092" spans="1:3" x14ac:dyDescent="0.3">
      <c r="A2092" s="1"/>
      <c r="B2092" s="2"/>
      <c r="C2092" s="2"/>
    </row>
    <row r="2093" spans="1:3" x14ac:dyDescent="0.3">
      <c r="A2093" s="1"/>
      <c r="B2093" s="2"/>
      <c r="C2093" s="2"/>
    </row>
    <row r="2094" spans="1:3" x14ac:dyDescent="0.3">
      <c r="A2094" s="1"/>
      <c r="B2094" s="2"/>
      <c r="C2094" s="2"/>
    </row>
    <row r="2095" spans="1:3" x14ac:dyDescent="0.3">
      <c r="A2095" s="1"/>
      <c r="B2095" s="2"/>
      <c r="C2095" s="2"/>
    </row>
    <row r="2096" spans="1:3" x14ac:dyDescent="0.3">
      <c r="A2096" s="1"/>
      <c r="B2096" s="2"/>
      <c r="C2096" s="2"/>
    </row>
    <row r="2097" spans="1:3" x14ac:dyDescent="0.3">
      <c r="A2097" s="1"/>
      <c r="B2097" s="2"/>
      <c r="C2097" s="2"/>
    </row>
    <row r="2098" spans="1:3" x14ac:dyDescent="0.3">
      <c r="A2098" s="1"/>
      <c r="B2098" s="2"/>
      <c r="C2098" s="2"/>
    </row>
    <row r="2099" spans="1:3" x14ac:dyDescent="0.3">
      <c r="A2099" s="1"/>
      <c r="B2099" s="2"/>
      <c r="C2099" s="2"/>
    </row>
    <row r="2100" spans="1:3" x14ac:dyDescent="0.3">
      <c r="A2100" s="1"/>
      <c r="B2100" s="2"/>
      <c r="C2100" s="2"/>
    </row>
    <row r="2101" spans="1:3" x14ac:dyDescent="0.3">
      <c r="A2101" s="1"/>
      <c r="B2101" s="2"/>
      <c r="C2101" s="2"/>
    </row>
    <row r="2102" spans="1:3" x14ac:dyDescent="0.3">
      <c r="A2102" s="1"/>
      <c r="B2102" s="2"/>
      <c r="C2102" s="2"/>
    </row>
    <row r="2103" spans="1:3" x14ac:dyDescent="0.3">
      <c r="A2103" s="1"/>
      <c r="B2103" s="2"/>
      <c r="C2103" s="2"/>
    </row>
    <row r="2104" spans="1:3" x14ac:dyDescent="0.3">
      <c r="A2104" s="1"/>
      <c r="B2104" s="2"/>
      <c r="C2104" s="2"/>
    </row>
    <row r="2105" spans="1:3" x14ac:dyDescent="0.3">
      <c r="A2105" s="1"/>
      <c r="B2105" s="2"/>
      <c r="C2105" s="2"/>
    </row>
    <row r="2106" spans="1:3" x14ac:dyDescent="0.3">
      <c r="A2106" s="1"/>
      <c r="B2106" s="2"/>
      <c r="C2106" s="2"/>
    </row>
    <row r="2107" spans="1:3" x14ac:dyDescent="0.3">
      <c r="A2107" s="1"/>
      <c r="B2107" s="2"/>
      <c r="C2107" s="2"/>
    </row>
    <row r="2108" spans="1:3" x14ac:dyDescent="0.3">
      <c r="A2108" s="1"/>
      <c r="B2108" s="2"/>
      <c r="C2108" s="2"/>
    </row>
    <row r="2109" spans="1:3" x14ac:dyDescent="0.3">
      <c r="A2109" s="1"/>
      <c r="B2109" s="2"/>
      <c r="C2109" s="2"/>
    </row>
    <row r="2110" spans="1:3" x14ac:dyDescent="0.3">
      <c r="A2110" s="1"/>
      <c r="B2110" s="2"/>
      <c r="C2110" s="2"/>
    </row>
    <row r="2111" spans="1:3" x14ac:dyDescent="0.3">
      <c r="A2111" s="1"/>
      <c r="B2111" s="2"/>
      <c r="C2111" s="2"/>
    </row>
    <row r="2112" spans="1:3" x14ac:dyDescent="0.3">
      <c r="A2112" s="1"/>
      <c r="B2112" s="2"/>
      <c r="C2112" s="2"/>
    </row>
    <row r="2113" spans="1:3" x14ac:dyDescent="0.3">
      <c r="A2113" s="1"/>
      <c r="B2113" s="2"/>
      <c r="C2113" s="2"/>
    </row>
    <row r="2114" spans="1:3" x14ac:dyDescent="0.3">
      <c r="A2114" s="1"/>
      <c r="B2114" s="2"/>
      <c r="C2114" s="2"/>
    </row>
    <row r="2115" spans="1:3" x14ac:dyDescent="0.3">
      <c r="A2115" s="1"/>
      <c r="B2115" s="2"/>
      <c r="C2115" s="2"/>
    </row>
    <row r="2116" spans="1:3" x14ac:dyDescent="0.3">
      <c r="A2116" s="1"/>
      <c r="B2116" s="2"/>
      <c r="C2116" s="2"/>
    </row>
    <row r="2117" spans="1:3" x14ac:dyDescent="0.3">
      <c r="A2117" s="1"/>
      <c r="B2117" s="2"/>
      <c r="C2117" s="2"/>
    </row>
    <row r="2118" spans="1:3" x14ac:dyDescent="0.3">
      <c r="A2118" s="1"/>
      <c r="B2118" s="2"/>
      <c r="C2118" s="2"/>
    </row>
    <row r="2119" spans="1:3" x14ac:dyDescent="0.3">
      <c r="A2119" s="1"/>
      <c r="B2119" s="2"/>
      <c r="C2119" s="2"/>
    </row>
    <row r="2120" spans="1:3" x14ac:dyDescent="0.3">
      <c r="A2120" s="1"/>
      <c r="B2120" s="2"/>
      <c r="C2120" s="2"/>
    </row>
    <row r="2121" spans="1:3" x14ac:dyDescent="0.3">
      <c r="A2121" s="1"/>
      <c r="B2121" s="2"/>
      <c r="C2121" s="2"/>
    </row>
    <row r="2122" spans="1:3" x14ac:dyDescent="0.3">
      <c r="A2122" s="1"/>
      <c r="B2122" s="2"/>
      <c r="C2122" s="2"/>
    </row>
    <row r="2123" spans="1:3" x14ac:dyDescent="0.3">
      <c r="A2123" s="1"/>
      <c r="B2123" s="2"/>
      <c r="C2123" s="2"/>
    </row>
    <row r="2124" spans="1:3" x14ac:dyDescent="0.3">
      <c r="A2124" s="1"/>
      <c r="B2124" s="2"/>
      <c r="C2124" s="2"/>
    </row>
    <row r="2125" spans="1:3" x14ac:dyDescent="0.3">
      <c r="A2125" s="1"/>
      <c r="B2125" s="2"/>
      <c r="C2125" s="2"/>
    </row>
    <row r="2126" spans="1:3" x14ac:dyDescent="0.3">
      <c r="A2126" s="1"/>
      <c r="B2126" s="2"/>
      <c r="C2126" s="2"/>
    </row>
    <row r="2127" spans="1:3" x14ac:dyDescent="0.3">
      <c r="A2127" s="1"/>
      <c r="B2127" s="2"/>
      <c r="C2127" s="2"/>
    </row>
    <row r="2128" spans="1:3" x14ac:dyDescent="0.3">
      <c r="A2128" s="1"/>
      <c r="B2128" s="2"/>
      <c r="C2128" s="2"/>
    </row>
    <row r="2129" spans="1:3" x14ac:dyDescent="0.3">
      <c r="A2129" s="1"/>
      <c r="B2129" s="2"/>
      <c r="C2129" s="2"/>
    </row>
    <row r="2130" spans="1:3" x14ac:dyDescent="0.3">
      <c r="A2130" s="1"/>
      <c r="B2130" s="2"/>
      <c r="C2130" s="2"/>
    </row>
    <row r="2131" spans="1:3" x14ac:dyDescent="0.3">
      <c r="A2131" s="1"/>
      <c r="B2131" s="2"/>
      <c r="C2131" s="2"/>
    </row>
    <row r="2132" spans="1:3" x14ac:dyDescent="0.3">
      <c r="A2132" s="1"/>
      <c r="B2132" s="2"/>
      <c r="C2132" s="2"/>
    </row>
    <row r="2133" spans="1:3" x14ac:dyDescent="0.3">
      <c r="A2133" s="1"/>
      <c r="B2133" s="2"/>
      <c r="C2133" s="2"/>
    </row>
    <row r="2134" spans="1:3" x14ac:dyDescent="0.3">
      <c r="A2134" s="1"/>
      <c r="B2134" s="2"/>
      <c r="C2134" s="2"/>
    </row>
    <row r="2135" spans="1:3" x14ac:dyDescent="0.3">
      <c r="A2135" s="1"/>
      <c r="B2135" s="2"/>
      <c r="C2135" s="2"/>
    </row>
    <row r="2136" spans="1:3" x14ac:dyDescent="0.3">
      <c r="A2136" s="1"/>
      <c r="B2136" s="2"/>
      <c r="C2136" s="2"/>
    </row>
    <row r="2137" spans="1:3" x14ac:dyDescent="0.3">
      <c r="A2137" s="1"/>
      <c r="B2137" s="2"/>
      <c r="C2137" s="2"/>
    </row>
    <row r="2138" spans="1:3" x14ac:dyDescent="0.3">
      <c r="A2138" s="1"/>
      <c r="B2138" s="2"/>
      <c r="C2138" s="2"/>
    </row>
    <row r="2139" spans="1:3" x14ac:dyDescent="0.3">
      <c r="A2139" s="1"/>
      <c r="B2139" s="2"/>
      <c r="C2139" s="2"/>
    </row>
    <row r="2140" spans="1:3" x14ac:dyDescent="0.3">
      <c r="A2140" s="1"/>
      <c r="B2140" s="2"/>
      <c r="C2140" s="2"/>
    </row>
    <row r="2141" spans="1:3" x14ac:dyDescent="0.3">
      <c r="A2141" s="1"/>
      <c r="B2141" s="2"/>
      <c r="C2141" s="2"/>
    </row>
    <row r="2142" spans="1:3" x14ac:dyDescent="0.3">
      <c r="A2142" s="1"/>
      <c r="B2142" s="2"/>
      <c r="C2142" s="2"/>
    </row>
    <row r="2143" spans="1:3" x14ac:dyDescent="0.3">
      <c r="A2143" s="1"/>
      <c r="B2143" s="2"/>
      <c r="C2143" s="2"/>
    </row>
    <row r="2144" spans="1:3" x14ac:dyDescent="0.3">
      <c r="A2144" s="1"/>
      <c r="B2144" s="2"/>
      <c r="C2144" s="2"/>
    </row>
    <row r="2145" spans="1:3" x14ac:dyDescent="0.3">
      <c r="A2145" s="1"/>
      <c r="B2145" s="2"/>
      <c r="C2145" s="2"/>
    </row>
    <row r="2146" spans="1:3" x14ac:dyDescent="0.3">
      <c r="A2146" s="1"/>
      <c r="B2146" s="2"/>
      <c r="C2146" s="2"/>
    </row>
    <row r="2147" spans="1:3" x14ac:dyDescent="0.3">
      <c r="A2147" s="1"/>
      <c r="B2147" s="2"/>
      <c r="C2147" s="2"/>
    </row>
    <row r="2148" spans="1:3" x14ac:dyDescent="0.3">
      <c r="A2148" s="1"/>
      <c r="B2148" s="2"/>
      <c r="C2148" s="2"/>
    </row>
    <row r="2149" spans="1:3" x14ac:dyDescent="0.3">
      <c r="A2149" s="1"/>
      <c r="B2149" s="2"/>
      <c r="C2149" s="2"/>
    </row>
    <row r="2150" spans="1:3" x14ac:dyDescent="0.3">
      <c r="A2150" s="1"/>
      <c r="B2150" s="2"/>
      <c r="C2150" s="2"/>
    </row>
    <row r="2151" spans="1:3" x14ac:dyDescent="0.3">
      <c r="A2151" s="1"/>
      <c r="B2151" s="2"/>
      <c r="C2151" s="2"/>
    </row>
    <row r="2152" spans="1:3" x14ac:dyDescent="0.3">
      <c r="A2152" s="1"/>
      <c r="B2152" s="2"/>
      <c r="C2152" s="2"/>
    </row>
    <row r="2153" spans="1:3" x14ac:dyDescent="0.3">
      <c r="A2153" s="1"/>
      <c r="B2153" s="2"/>
      <c r="C2153" s="2"/>
    </row>
    <row r="2154" spans="1:3" x14ac:dyDescent="0.3">
      <c r="A2154" s="1"/>
      <c r="B2154" s="2"/>
      <c r="C2154" s="2"/>
    </row>
    <row r="2155" spans="1:3" x14ac:dyDescent="0.3">
      <c r="A2155" s="1"/>
      <c r="B2155" s="2"/>
      <c r="C2155" s="2"/>
    </row>
    <row r="2156" spans="1:3" x14ac:dyDescent="0.3">
      <c r="A2156" s="1"/>
      <c r="B2156" s="2"/>
      <c r="C2156" s="2"/>
    </row>
    <row r="2157" spans="1:3" x14ac:dyDescent="0.3">
      <c r="A2157" s="1"/>
      <c r="B2157" s="2"/>
      <c r="C2157" s="2"/>
    </row>
    <row r="2158" spans="1:3" x14ac:dyDescent="0.3">
      <c r="A2158" s="1"/>
      <c r="B2158" s="2"/>
      <c r="C2158" s="2"/>
    </row>
    <row r="2159" spans="1:3" x14ac:dyDescent="0.3">
      <c r="A2159" s="1"/>
      <c r="B2159" s="2"/>
      <c r="C2159" s="2"/>
    </row>
    <row r="2160" spans="1:3" x14ac:dyDescent="0.3">
      <c r="A2160" s="1"/>
      <c r="B2160" s="2"/>
      <c r="C2160" s="2"/>
    </row>
    <row r="2161" spans="1:3" x14ac:dyDescent="0.3">
      <c r="A2161" s="1"/>
      <c r="B2161" s="2"/>
      <c r="C2161" s="2"/>
    </row>
    <row r="2162" spans="1:3" x14ac:dyDescent="0.3">
      <c r="A2162" s="1"/>
      <c r="B2162" s="2"/>
      <c r="C2162" s="2"/>
    </row>
    <row r="2163" spans="1:3" x14ac:dyDescent="0.3">
      <c r="A2163" s="1"/>
      <c r="B2163" s="2"/>
      <c r="C2163" s="2"/>
    </row>
    <row r="2164" spans="1:3" x14ac:dyDescent="0.3">
      <c r="A2164" s="1"/>
      <c r="B2164" s="2"/>
      <c r="C2164" s="2"/>
    </row>
    <row r="2165" spans="1:3" x14ac:dyDescent="0.3">
      <c r="A2165" s="1"/>
      <c r="B2165" s="2"/>
      <c r="C2165" s="2"/>
    </row>
    <row r="2166" spans="1:3" x14ac:dyDescent="0.3">
      <c r="A2166" s="1"/>
      <c r="B2166" s="2"/>
      <c r="C2166" s="2"/>
    </row>
    <row r="2167" spans="1:3" x14ac:dyDescent="0.3">
      <c r="A2167" s="1"/>
      <c r="B2167" s="2"/>
      <c r="C2167" s="2"/>
    </row>
    <row r="2168" spans="1:3" x14ac:dyDescent="0.3">
      <c r="A2168" s="1"/>
      <c r="B2168" s="2"/>
      <c r="C2168" s="2"/>
    </row>
    <row r="2169" spans="1:3" x14ac:dyDescent="0.3">
      <c r="A2169" s="1"/>
      <c r="B2169" s="2"/>
      <c r="C2169" s="2"/>
    </row>
    <row r="2170" spans="1:3" x14ac:dyDescent="0.3">
      <c r="A2170" s="1"/>
      <c r="B2170" s="2"/>
      <c r="C2170" s="2"/>
    </row>
    <row r="2171" spans="1:3" x14ac:dyDescent="0.3">
      <c r="A2171" s="1"/>
      <c r="B2171" s="2"/>
      <c r="C2171" s="2"/>
    </row>
    <row r="2172" spans="1:3" x14ac:dyDescent="0.3">
      <c r="A2172" s="1"/>
      <c r="B2172" s="2"/>
      <c r="C2172" s="2"/>
    </row>
    <row r="2173" spans="1:3" x14ac:dyDescent="0.3">
      <c r="A2173" s="1"/>
      <c r="B2173" s="2"/>
      <c r="C2173" s="2"/>
    </row>
    <row r="2174" spans="1:3" x14ac:dyDescent="0.3">
      <c r="A2174" s="1"/>
      <c r="B2174" s="2"/>
      <c r="C2174" s="2"/>
    </row>
    <row r="2175" spans="1:3" x14ac:dyDescent="0.3">
      <c r="A2175" s="1"/>
      <c r="B2175" s="2"/>
      <c r="C2175" s="2"/>
    </row>
    <row r="2176" spans="1:3" x14ac:dyDescent="0.3">
      <c r="A2176" s="1"/>
      <c r="B2176" s="2"/>
      <c r="C2176" s="2"/>
    </row>
    <row r="2177" spans="1:3" x14ac:dyDescent="0.3">
      <c r="A2177" s="1"/>
      <c r="B2177" s="2"/>
      <c r="C2177" s="2"/>
    </row>
    <row r="2178" spans="1:3" x14ac:dyDescent="0.3">
      <c r="A2178" s="1"/>
      <c r="B2178" s="2"/>
      <c r="C2178" s="2"/>
    </row>
    <row r="2179" spans="1:3" x14ac:dyDescent="0.3">
      <c r="A2179" s="1"/>
      <c r="B2179" s="2"/>
      <c r="C2179" s="2"/>
    </row>
    <row r="2180" spans="1:3" x14ac:dyDescent="0.3">
      <c r="A2180" s="1"/>
      <c r="B2180" s="2"/>
      <c r="C2180" s="2"/>
    </row>
    <row r="2181" spans="1:3" x14ac:dyDescent="0.3">
      <c r="A2181" s="1"/>
      <c r="B2181" s="2"/>
      <c r="C2181" s="2"/>
    </row>
    <row r="2182" spans="1:3" x14ac:dyDescent="0.3">
      <c r="A2182" s="1"/>
      <c r="B2182" s="2"/>
      <c r="C2182" s="2"/>
    </row>
    <row r="2183" spans="1:3" x14ac:dyDescent="0.3">
      <c r="A2183" s="1"/>
      <c r="B2183" s="2"/>
      <c r="C2183" s="2"/>
    </row>
    <row r="2184" spans="1:3" x14ac:dyDescent="0.3">
      <c r="A2184" s="1"/>
      <c r="B2184" s="2"/>
      <c r="C2184" s="2"/>
    </row>
    <row r="2185" spans="1:3" x14ac:dyDescent="0.3">
      <c r="A2185" s="1"/>
      <c r="B2185" s="2"/>
      <c r="C2185" s="2"/>
    </row>
    <row r="2186" spans="1:3" x14ac:dyDescent="0.3">
      <c r="A2186" s="1"/>
      <c r="B2186" s="2"/>
      <c r="C2186" s="2"/>
    </row>
    <row r="2187" spans="1:3" x14ac:dyDescent="0.3">
      <c r="A2187" s="1"/>
      <c r="B2187" s="2"/>
      <c r="C2187" s="2"/>
    </row>
    <row r="2188" spans="1:3" x14ac:dyDescent="0.3">
      <c r="A2188" s="1"/>
      <c r="B2188" s="2"/>
      <c r="C2188" s="2"/>
    </row>
    <row r="2189" spans="1:3" x14ac:dyDescent="0.3">
      <c r="A2189" s="1"/>
      <c r="B2189" s="2"/>
      <c r="C2189" s="2"/>
    </row>
    <row r="2190" spans="1:3" x14ac:dyDescent="0.3">
      <c r="A2190" s="1"/>
      <c r="B2190" s="2"/>
      <c r="C2190" s="2"/>
    </row>
    <row r="2191" spans="1:3" x14ac:dyDescent="0.3">
      <c r="A2191" s="1"/>
      <c r="B2191" s="2"/>
      <c r="C2191" s="2"/>
    </row>
    <row r="2192" spans="1:3" x14ac:dyDescent="0.3">
      <c r="A2192" s="1"/>
      <c r="B2192" s="2"/>
      <c r="C2192" s="2"/>
    </row>
    <row r="2193" spans="1:3" x14ac:dyDescent="0.3">
      <c r="A2193" s="1"/>
      <c r="B2193" s="2"/>
      <c r="C2193" s="2"/>
    </row>
    <row r="2194" spans="1:3" x14ac:dyDescent="0.3">
      <c r="A2194" s="1"/>
      <c r="B2194" s="2"/>
      <c r="C2194" s="2"/>
    </row>
    <row r="2195" spans="1:3" x14ac:dyDescent="0.3">
      <c r="A2195" s="1"/>
      <c r="B2195" s="2"/>
      <c r="C2195" s="2"/>
    </row>
    <row r="2196" spans="1:3" x14ac:dyDescent="0.3">
      <c r="A2196" s="1"/>
      <c r="B2196" s="2"/>
      <c r="C2196" s="2"/>
    </row>
    <row r="2197" spans="1:3" x14ac:dyDescent="0.3">
      <c r="A2197" s="1"/>
      <c r="B2197" s="2"/>
      <c r="C2197" s="2"/>
    </row>
    <row r="2198" spans="1:3" x14ac:dyDescent="0.3">
      <c r="A2198" s="1"/>
      <c r="B2198" s="2"/>
      <c r="C2198" s="2"/>
    </row>
    <row r="2199" spans="1:3" x14ac:dyDescent="0.3">
      <c r="A2199" s="1"/>
      <c r="B2199" s="2"/>
      <c r="C2199" s="2"/>
    </row>
    <row r="2200" spans="1:3" x14ac:dyDescent="0.3">
      <c r="A2200" s="1"/>
      <c r="B2200" s="2"/>
      <c r="C2200" s="2"/>
    </row>
    <row r="2201" spans="1:3" x14ac:dyDescent="0.3">
      <c r="A2201" s="1"/>
      <c r="B2201" s="2"/>
      <c r="C2201" s="2"/>
    </row>
    <row r="2202" spans="1:3" x14ac:dyDescent="0.3">
      <c r="A2202" s="1"/>
      <c r="B2202" s="2"/>
      <c r="C2202" s="2"/>
    </row>
    <row r="2203" spans="1:3" x14ac:dyDescent="0.3">
      <c r="A2203" s="1"/>
      <c r="B2203" s="2"/>
      <c r="C2203" s="2"/>
    </row>
    <row r="2204" spans="1:3" x14ac:dyDescent="0.3">
      <c r="A2204" s="1"/>
      <c r="B2204" s="2"/>
      <c r="C2204" s="2"/>
    </row>
    <row r="2205" spans="1:3" x14ac:dyDescent="0.3">
      <c r="A2205" s="1"/>
      <c r="B2205" s="2"/>
      <c r="C2205" s="2"/>
    </row>
    <row r="2206" spans="1:3" x14ac:dyDescent="0.3">
      <c r="A2206" s="1"/>
      <c r="B2206" s="2"/>
      <c r="C2206" s="2"/>
    </row>
    <row r="2207" spans="1:3" x14ac:dyDescent="0.3">
      <c r="A2207" s="1"/>
      <c r="B2207" s="2"/>
      <c r="C2207" s="2"/>
    </row>
    <row r="2208" spans="1:3" x14ac:dyDescent="0.3">
      <c r="A2208" s="1"/>
      <c r="B2208" s="2"/>
      <c r="C2208" s="2"/>
    </row>
    <row r="2209" spans="1:3" x14ac:dyDescent="0.3">
      <c r="A2209" s="1"/>
      <c r="B2209" s="2"/>
      <c r="C2209" s="2"/>
    </row>
    <row r="2210" spans="1:3" x14ac:dyDescent="0.3">
      <c r="A2210" s="1"/>
      <c r="B2210" s="2"/>
      <c r="C2210" s="2"/>
    </row>
    <row r="2211" spans="1:3" x14ac:dyDescent="0.3">
      <c r="A2211" s="1"/>
      <c r="B2211" s="2"/>
      <c r="C2211" s="2"/>
    </row>
    <row r="2212" spans="1:3" x14ac:dyDescent="0.3">
      <c r="A2212" s="1"/>
      <c r="B2212" s="2"/>
      <c r="C2212" s="2"/>
    </row>
    <row r="2213" spans="1:3" x14ac:dyDescent="0.3">
      <c r="A2213" s="1"/>
      <c r="B2213" s="2"/>
      <c r="C2213" s="2"/>
    </row>
    <row r="2214" spans="1:3" x14ac:dyDescent="0.3">
      <c r="A2214" s="1"/>
      <c r="B2214" s="2"/>
      <c r="C2214" s="2"/>
    </row>
    <row r="2215" spans="1:3" x14ac:dyDescent="0.3">
      <c r="A2215" s="1"/>
      <c r="B2215" s="2"/>
      <c r="C2215" s="2"/>
    </row>
    <row r="2216" spans="1:3" x14ac:dyDescent="0.3">
      <c r="A2216" s="1"/>
      <c r="B2216" s="2"/>
      <c r="C2216" s="2"/>
    </row>
    <row r="2217" spans="1:3" x14ac:dyDescent="0.3">
      <c r="A2217" s="1"/>
      <c r="B2217" s="2"/>
      <c r="C2217" s="2"/>
    </row>
    <row r="2218" spans="1:3" x14ac:dyDescent="0.3">
      <c r="A2218" s="1"/>
      <c r="B2218" s="2"/>
      <c r="C2218" s="2"/>
    </row>
    <row r="2219" spans="1:3" x14ac:dyDescent="0.3">
      <c r="A2219" s="1"/>
      <c r="B2219" s="2"/>
      <c r="C2219" s="2"/>
    </row>
    <row r="2220" spans="1:3" x14ac:dyDescent="0.3">
      <c r="A2220" s="1"/>
      <c r="B2220" s="2"/>
      <c r="C2220" s="2"/>
    </row>
    <row r="2221" spans="1:3" x14ac:dyDescent="0.3">
      <c r="A2221" s="1"/>
      <c r="B2221" s="2"/>
      <c r="C2221" s="2"/>
    </row>
    <row r="2222" spans="1:3" x14ac:dyDescent="0.3">
      <c r="A2222" s="1"/>
      <c r="B2222" s="2"/>
      <c r="C2222" s="2"/>
    </row>
    <row r="2223" spans="1:3" x14ac:dyDescent="0.3">
      <c r="A2223" s="1"/>
      <c r="B2223" s="2"/>
      <c r="C2223" s="2"/>
    </row>
    <row r="2224" spans="1:3" x14ac:dyDescent="0.3">
      <c r="A2224" s="1"/>
      <c r="B2224" s="2"/>
      <c r="C2224" s="2"/>
    </row>
    <row r="2225" spans="1:3" x14ac:dyDescent="0.3">
      <c r="A2225" s="1"/>
      <c r="B2225" s="2"/>
      <c r="C2225" s="2"/>
    </row>
    <row r="2226" spans="1:3" x14ac:dyDescent="0.3">
      <c r="A2226" s="1"/>
      <c r="B2226" s="2"/>
      <c r="C2226" s="2"/>
    </row>
    <row r="2227" spans="1:3" x14ac:dyDescent="0.3">
      <c r="A2227" s="1"/>
      <c r="B2227" s="2"/>
      <c r="C2227" s="2"/>
    </row>
    <row r="2228" spans="1:3" x14ac:dyDescent="0.3">
      <c r="A2228" s="1"/>
      <c r="B2228" s="2"/>
      <c r="C2228" s="2"/>
    </row>
    <row r="2229" spans="1:3" x14ac:dyDescent="0.3">
      <c r="A2229" s="1"/>
      <c r="B2229" s="2"/>
      <c r="C2229" s="2"/>
    </row>
    <row r="2230" spans="1:3" x14ac:dyDescent="0.3">
      <c r="A2230" s="1"/>
      <c r="B2230" s="2"/>
      <c r="C2230" s="2"/>
    </row>
    <row r="2231" spans="1:3" x14ac:dyDescent="0.3">
      <c r="A2231" s="1"/>
      <c r="B2231" s="2"/>
      <c r="C2231" s="2"/>
    </row>
    <row r="2232" spans="1:3" x14ac:dyDescent="0.3">
      <c r="A2232" s="1"/>
      <c r="B2232" s="2"/>
      <c r="C2232" s="2"/>
    </row>
    <row r="2233" spans="1:3" x14ac:dyDescent="0.3">
      <c r="A2233" s="1"/>
      <c r="B2233" s="2"/>
      <c r="C2233" s="2"/>
    </row>
    <row r="2234" spans="1:3" x14ac:dyDescent="0.3">
      <c r="A2234" s="1"/>
      <c r="B2234" s="2"/>
      <c r="C2234" s="2"/>
    </row>
    <row r="2235" spans="1:3" x14ac:dyDescent="0.3">
      <c r="A2235" s="1"/>
      <c r="B2235" s="2"/>
      <c r="C2235" s="2"/>
    </row>
    <row r="2236" spans="1:3" x14ac:dyDescent="0.3">
      <c r="A2236" s="1"/>
      <c r="B2236" s="2"/>
      <c r="C2236" s="2"/>
    </row>
    <row r="2237" spans="1:3" x14ac:dyDescent="0.3">
      <c r="A2237" s="1"/>
      <c r="B2237" s="2"/>
      <c r="C2237" s="2"/>
    </row>
    <row r="2238" spans="1:3" x14ac:dyDescent="0.3">
      <c r="A2238" s="1"/>
      <c r="B2238" s="2"/>
      <c r="C2238" s="2"/>
    </row>
    <row r="2239" spans="1:3" x14ac:dyDescent="0.3">
      <c r="A2239" s="1"/>
      <c r="B2239" s="2"/>
      <c r="C2239" s="2"/>
    </row>
    <row r="2240" spans="1:3" x14ac:dyDescent="0.3">
      <c r="A2240" s="1"/>
      <c r="B2240" s="2"/>
      <c r="C2240" s="2"/>
    </row>
    <row r="2241" spans="1:3" x14ac:dyDescent="0.3">
      <c r="A2241" s="1"/>
      <c r="B2241" s="2"/>
      <c r="C2241" s="2"/>
    </row>
    <row r="2242" spans="1:3" x14ac:dyDescent="0.3">
      <c r="A2242" s="1"/>
      <c r="B2242" s="2"/>
      <c r="C2242" s="2"/>
    </row>
    <row r="2243" spans="1:3" x14ac:dyDescent="0.3">
      <c r="A2243" s="1"/>
      <c r="B2243" s="2"/>
      <c r="C2243" s="2"/>
    </row>
    <row r="2244" spans="1:3" x14ac:dyDescent="0.3">
      <c r="A2244" s="1"/>
      <c r="B2244" s="2"/>
      <c r="C2244" s="2"/>
    </row>
    <row r="2245" spans="1:3" x14ac:dyDescent="0.3">
      <c r="A2245" s="1"/>
      <c r="B2245" s="2"/>
      <c r="C2245" s="2"/>
    </row>
    <row r="2246" spans="1:3" x14ac:dyDescent="0.3">
      <c r="A2246" s="1"/>
      <c r="B2246" s="2"/>
      <c r="C2246" s="2"/>
    </row>
    <row r="2247" spans="1:3" x14ac:dyDescent="0.3">
      <c r="A2247" s="1"/>
      <c r="B2247" s="2"/>
      <c r="C2247" s="2"/>
    </row>
    <row r="2248" spans="1:3" x14ac:dyDescent="0.3">
      <c r="A2248" s="1"/>
      <c r="B2248" s="2"/>
      <c r="C2248" s="2"/>
    </row>
    <row r="2249" spans="1:3" x14ac:dyDescent="0.3">
      <c r="A2249" s="1"/>
      <c r="B2249" s="2"/>
      <c r="C2249" s="2"/>
    </row>
    <row r="2250" spans="1:3" x14ac:dyDescent="0.3">
      <c r="A2250" s="1"/>
      <c r="B2250" s="2"/>
      <c r="C2250" s="2"/>
    </row>
    <row r="2251" spans="1:3" x14ac:dyDescent="0.3">
      <c r="A2251" s="1"/>
      <c r="B2251" s="2"/>
      <c r="C2251" s="2"/>
    </row>
    <row r="2252" spans="1:3" x14ac:dyDescent="0.3">
      <c r="A2252" s="1"/>
      <c r="B2252" s="2"/>
      <c r="C2252" s="2"/>
    </row>
    <row r="2253" spans="1:3" x14ac:dyDescent="0.3">
      <c r="A2253" s="1"/>
      <c r="B2253" s="2"/>
      <c r="C2253" s="2"/>
    </row>
    <row r="2254" spans="1:3" x14ac:dyDescent="0.3">
      <c r="A2254" s="1"/>
      <c r="B2254" s="2"/>
      <c r="C2254" s="2"/>
    </row>
    <row r="2255" spans="1:3" x14ac:dyDescent="0.3">
      <c r="A2255" s="1"/>
      <c r="B2255" s="2"/>
      <c r="C2255" s="2"/>
    </row>
    <row r="2256" spans="1:3" x14ac:dyDescent="0.3">
      <c r="A2256" s="1"/>
      <c r="B2256" s="2"/>
      <c r="C2256" s="2"/>
    </row>
    <row r="2257" spans="1:3" x14ac:dyDescent="0.3">
      <c r="A2257" s="1"/>
      <c r="B2257" s="2"/>
      <c r="C2257" s="2"/>
    </row>
    <row r="2258" spans="1:3" x14ac:dyDescent="0.3">
      <c r="A2258" s="1"/>
      <c r="B2258" s="2"/>
      <c r="C2258" s="2"/>
    </row>
    <row r="2259" spans="1:3" x14ac:dyDescent="0.3">
      <c r="A2259" s="1"/>
      <c r="B2259" s="2"/>
      <c r="C2259" s="2"/>
    </row>
    <row r="2260" spans="1:3" x14ac:dyDescent="0.3">
      <c r="A2260" s="1"/>
      <c r="B2260" s="2"/>
      <c r="C2260" s="2"/>
    </row>
    <row r="2261" spans="1:3" x14ac:dyDescent="0.3">
      <c r="A2261" s="1"/>
      <c r="B2261" s="2"/>
      <c r="C2261" s="2"/>
    </row>
    <row r="2262" spans="1:3" x14ac:dyDescent="0.3">
      <c r="A2262" s="1"/>
      <c r="B2262" s="2"/>
      <c r="C2262" s="2"/>
    </row>
    <row r="2263" spans="1:3" x14ac:dyDescent="0.3">
      <c r="A2263" s="1"/>
      <c r="B2263" s="2"/>
      <c r="C2263" s="2"/>
    </row>
    <row r="2264" spans="1:3" x14ac:dyDescent="0.3">
      <c r="A2264" s="1"/>
      <c r="B2264" s="2"/>
      <c r="C2264" s="2"/>
    </row>
    <row r="2265" spans="1:3" x14ac:dyDescent="0.3">
      <c r="A2265" s="1"/>
      <c r="B2265" s="2"/>
      <c r="C2265" s="2"/>
    </row>
    <row r="2266" spans="1:3" x14ac:dyDescent="0.3">
      <c r="A2266" s="1"/>
      <c r="B2266" s="2"/>
      <c r="C2266" s="2"/>
    </row>
    <row r="2267" spans="1:3" x14ac:dyDescent="0.3">
      <c r="A2267" s="1"/>
      <c r="B2267" s="2"/>
      <c r="C2267" s="2"/>
    </row>
    <row r="2268" spans="1:3" x14ac:dyDescent="0.3">
      <c r="A2268" s="1"/>
      <c r="B2268" s="2"/>
      <c r="C2268" s="2"/>
    </row>
    <row r="2269" spans="1:3" x14ac:dyDescent="0.3">
      <c r="A2269" s="1"/>
      <c r="B2269" s="2"/>
      <c r="C2269" s="2"/>
    </row>
    <row r="2270" spans="1:3" x14ac:dyDescent="0.3">
      <c r="A2270" s="1"/>
      <c r="B2270" s="2"/>
      <c r="C2270" s="2"/>
    </row>
    <row r="2271" spans="1:3" x14ac:dyDescent="0.3">
      <c r="A2271" s="1"/>
      <c r="B2271" s="2"/>
      <c r="C2271" s="2"/>
    </row>
    <row r="2272" spans="1:3" x14ac:dyDescent="0.3">
      <c r="A2272" s="1"/>
      <c r="B2272" s="2"/>
      <c r="C2272" s="2"/>
    </row>
    <row r="2273" spans="1:3" x14ac:dyDescent="0.3">
      <c r="A2273" s="1"/>
      <c r="B2273" s="2"/>
      <c r="C2273" s="2"/>
    </row>
    <row r="2274" spans="1:3" x14ac:dyDescent="0.3">
      <c r="A2274" s="1"/>
      <c r="B2274" s="2"/>
      <c r="C2274" s="2"/>
    </row>
    <row r="2275" spans="1:3" x14ac:dyDescent="0.3">
      <c r="A2275" s="1"/>
      <c r="B2275" s="2"/>
      <c r="C2275" s="2"/>
    </row>
    <row r="2276" spans="1:3" x14ac:dyDescent="0.3">
      <c r="A2276" s="1"/>
      <c r="B2276" s="2"/>
      <c r="C2276" s="2"/>
    </row>
    <row r="2277" spans="1:3" x14ac:dyDescent="0.3">
      <c r="A2277" s="1"/>
      <c r="B2277" s="2"/>
      <c r="C2277" s="2"/>
    </row>
    <row r="2278" spans="1:3" x14ac:dyDescent="0.3">
      <c r="A2278" s="1"/>
      <c r="B2278" s="2"/>
      <c r="C2278" s="2"/>
    </row>
    <row r="2279" spans="1:3" x14ac:dyDescent="0.3">
      <c r="A2279" s="1"/>
      <c r="B2279" s="2"/>
      <c r="C2279" s="2"/>
    </row>
    <row r="2280" spans="1:3" x14ac:dyDescent="0.3">
      <c r="A2280" s="1"/>
      <c r="B2280" s="2"/>
      <c r="C2280" s="2"/>
    </row>
    <row r="2281" spans="1:3" x14ac:dyDescent="0.3">
      <c r="A2281" s="1"/>
      <c r="B2281" s="2"/>
      <c r="C2281" s="2"/>
    </row>
    <row r="2282" spans="1:3" x14ac:dyDescent="0.3">
      <c r="A2282" s="1"/>
      <c r="B2282" s="2"/>
      <c r="C2282" s="2"/>
    </row>
    <row r="2283" spans="1:3" x14ac:dyDescent="0.3">
      <c r="A2283" s="1"/>
      <c r="B2283" s="2"/>
      <c r="C2283" s="2"/>
    </row>
    <row r="2284" spans="1:3" x14ac:dyDescent="0.3">
      <c r="A2284" s="1"/>
      <c r="B2284" s="2"/>
      <c r="C2284" s="2"/>
    </row>
    <row r="2285" spans="1:3" x14ac:dyDescent="0.3">
      <c r="A2285" s="1"/>
      <c r="B2285" s="2"/>
      <c r="C2285" s="2"/>
    </row>
    <row r="2286" spans="1:3" x14ac:dyDescent="0.3">
      <c r="A2286" s="1"/>
      <c r="B2286" s="2"/>
      <c r="C2286" s="2"/>
    </row>
    <row r="2287" spans="1:3" x14ac:dyDescent="0.3">
      <c r="A2287" s="1"/>
      <c r="B2287" s="2"/>
      <c r="C2287" s="2"/>
    </row>
    <row r="2288" spans="1:3" x14ac:dyDescent="0.3">
      <c r="A2288" s="1"/>
      <c r="B2288" s="2"/>
      <c r="C2288" s="2"/>
    </row>
    <row r="2289" spans="1:3" x14ac:dyDescent="0.3">
      <c r="A2289" s="1"/>
      <c r="B2289" s="2"/>
      <c r="C2289" s="2"/>
    </row>
    <row r="2290" spans="1:3" x14ac:dyDescent="0.3">
      <c r="A2290" s="1"/>
      <c r="B2290" s="2"/>
      <c r="C2290" s="2"/>
    </row>
    <row r="2291" spans="1:3" x14ac:dyDescent="0.3">
      <c r="A2291" s="1"/>
      <c r="B2291" s="2"/>
      <c r="C2291" s="2"/>
    </row>
    <row r="2292" spans="1:3" x14ac:dyDescent="0.3">
      <c r="A2292" s="1"/>
      <c r="B2292" s="2"/>
      <c r="C2292" s="2"/>
    </row>
    <row r="2293" spans="1:3" x14ac:dyDescent="0.3">
      <c r="A2293" s="1"/>
      <c r="B2293" s="2"/>
      <c r="C2293" s="2"/>
    </row>
    <row r="2294" spans="1:3" x14ac:dyDescent="0.3">
      <c r="A2294" s="1"/>
      <c r="B2294" s="2"/>
      <c r="C2294" s="2"/>
    </row>
    <row r="2295" spans="1:3" x14ac:dyDescent="0.3">
      <c r="A2295" s="1"/>
      <c r="B2295" s="2"/>
      <c r="C2295" s="2"/>
    </row>
    <row r="2296" spans="1:3" x14ac:dyDescent="0.3">
      <c r="A2296" s="1"/>
      <c r="B2296" s="2"/>
      <c r="C2296" s="2"/>
    </row>
    <row r="2297" spans="1:3" x14ac:dyDescent="0.3">
      <c r="A2297" s="1"/>
      <c r="B2297" s="2"/>
      <c r="C2297" s="2"/>
    </row>
    <row r="2298" spans="1:3" x14ac:dyDescent="0.3">
      <c r="A2298" s="1"/>
      <c r="B2298" s="2"/>
      <c r="C2298" s="2"/>
    </row>
    <row r="2299" spans="1:3" x14ac:dyDescent="0.3">
      <c r="A2299" s="1"/>
      <c r="B2299" s="2"/>
      <c r="C2299" s="2"/>
    </row>
    <row r="2300" spans="1:3" x14ac:dyDescent="0.3">
      <c r="A2300" s="1"/>
      <c r="B2300" s="2"/>
      <c r="C2300" s="2"/>
    </row>
    <row r="2301" spans="1:3" x14ac:dyDescent="0.3">
      <c r="A2301" s="1"/>
      <c r="B2301" s="2"/>
      <c r="C2301" s="2"/>
    </row>
    <row r="2302" spans="1:3" x14ac:dyDescent="0.3">
      <c r="A2302" s="1"/>
      <c r="B2302" s="2"/>
      <c r="C2302" s="2"/>
    </row>
    <row r="2303" spans="1:3" x14ac:dyDescent="0.3">
      <c r="A2303" s="1"/>
      <c r="B2303" s="2"/>
      <c r="C2303" s="2"/>
    </row>
    <row r="2304" spans="1:3" x14ac:dyDescent="0.3">
      <c r="A2304" s="1"/>
      <c r="B2304" s="2"/>
      <c r="C2304" s="2"/>
    </row>
    <row r="2305" spans="1:3" x14ac:dyDescent="0.3">
      <c r="A2305" s="1"/>
      <c r="B2305" s="2"/>
      <c r="C2305" s="2"/>
    </row>
    <row r="2306" spans="1:3" x14ac:dyDescent="0.3">
      <c r="A2306" s="1"/>
      <c r="B2306" s="2"/>
      <c r="C2306" s="2"/>
    </row>
    <row r="2307" spans="1:3" x14ac:dyDescent="0.3">
      <c r="A2307" s="1"/>
      <c r="B2307" s="2"/>
      <c r="C2307" s="2"/>
    </row>
    <row r="2308" spans="1:3" x14ac:dyDescent="0.3">
      <c r="A2308" s="1"/>
      <c r="B2308" s="2"/>
      <c r="C2308" s="2"/>
    </row>
    <row r="2309" spans="1:3" x14ac:dyDescent="0.3">
      <c r="A2309" s="1"/>
      <c r="B2309" s="2"/>
      <c r="C2309" s="2"/>
    </row>
    <row r="2310" spans="1:3" x14ac:dyDescent="0.3">
      <c r="A2310" s="1"/>
      <c r="B2310" s="2"/>
      <c r="C2310" s="2"/>
    </row>
    <row r="2311" spans="1:3" x14ac:dyDescent="0.3">
      <c r="A2311" s="1"/>
      <c r="B2311" s="2"/>
      <c r="C2311" s="2"/>
    </row>
    <row r="2312" spans="1:3" x14ac:dyDescent="0.3">
      <c r="A2312" s="1"/>
      <c r="B2312" s="2"/>
      <c r="C2312" s="2"/>
    </row>
    <row r="2313" spans="1:3" x14ac:dyDescent="0.3">
      <c r="A2313" s="1"/>
      <c r="B2313" s="2"/>
      <c r="C2313" s="2"/>
    </row>
    <row r="2314" spans="1:3" x14ac:dyDescent="0.3">
      <c r="A2314" s="1"/>
      <c r="B2314" s="2"/>
      <c r="C2314" s="2"/>
    </row>
    <row r="2315" spans="1:3" x14ac:dyDescent="0.3">
      <c r="A2315" s="1"/>
      <c r="B2315" s="2"/>
      <c r="C2315" s="2"/>
    </row>
    <row r="2316" spans="1:3" x14ac:dyDescent="0.3">
      <c r="A2316" s="1"/>
      <c r="B2316" s="2"/>
      <c r="C2316" s="2"/>
    </row>
    <row r="2317" spans="1:3" x14ac:dyDescent="0.3">
      <c r="A2317" s="1"/>
      <c r="B2317" s="2"/>
      <c r="C2317" s="2"/>
    </row>
    <row r="2318" spans="1:3" x14ac:dyDescent="0.3">
      <c r="A2318" s="1"/>
      <c r="B2318" s="2"/>
      <c r="C2318" s="2"/>
    </row>
    <row r="2319" spans="1:3" x14ac:dyDescent="0.3">
      <c r="A2319" s="1"/>
      <c r="B2319" s="2"/>
      <c r="C2319" s="2"/>
    </row>
    <row r="2320" spans="1:3" x14ac:dyDescent="0.3">
      <c r="A2320" s="1"/>
      <c r="B2320" s="2"/>
      <c r="C2320" s="2"/>
    </row>
    <row r="2321" spans="1:3" x14ac:dyDescent="0.3">
      <c r="A2321" s="1"/>
      <c r="B2321" s="2"/>
      <c r="C2321" s="2"/>
    </row>
    <row r="2322" spans="1:3" x14ac:dyDescent="0.3">
      <c r="A2322" s="1"/>
      <c r="B2322" s="2"/>
      <c r="C2322" s="2"/>
    </row>
    <row r="2323" spans="1:3" x14ac:dyDescent="0.3">
      <c r="A2323" s="1"/>
      <c r="B2323" s="2"/>
      <c r="C2323" s="2"/>
    </row>
    <row r="2324" spans="1:3" x14ac:dyDescent="0.3">
      <c r="A2324" s="1"/>
      <c r="B2324" s="2"/>
      <c r="C2324" s="2"/>
    </row>
    <row r="2325" spans="1:3" x14ac:dyDescent="0.3">
      <c r="A2325" s="1"/>
      <c r="B2325" s="2"/>
      <c r="C2325" s="2"/>
    </row>
    <row r="2326" spans="1:3" x14ac:dyDescent="0.3">
      <c r="A2326" s="1"/>
      <c r="B2326" s="2"/>
      <c r="C2326" s="2"/>
    </row>
    <row r="2327" spans="1:3" x14ac:dyDescent="0.3">
      <c r="A2327" s="1"/>
      <c r="B2327" s="2"/>
      <c r="C2327" s="2"/>
    </row>
    <row r="2328" spans="1:3" x14ac:dyDescent="0.3">
      <c r="A2328" s="1"/>
      <c r="B2328" s="2"/>
      <c r="C2328" s="2"/>
    </row>
    <row r="2329" spans="1:3" x14ac:dyDescent="0.3">
      <c r="A2329" s="1"/>
      <c r="B2329" s="2"/>
      <c r="C2329" s="2"/>
    </row>
    <row r="2330" spans="1:3" x14ac:dyDescent="0.3">
      <c r="A2330" s="1"/>
      <c r="B2330" s="2"/>
      <c r="C2330" s="2"/>
    </row>
    <row r="2331" spans="1:3" x14ac:dyDescent="0.3">
      <c r="A2331" s="1"/>
      <c r="B2331" s="2"/>
      <c r="C2331" s="2"/>
    </row>
    <row r="2332" spans="1:3" x14ac:dyDescent="0.3">
      <c r="A2332" s="1"/>
      <c r="B2332" s="2"/>
      <c r="C2332" s="2"/>
    </row>
    <row r="2333" spans="1:3" x14ac:dyDescent="0.3">
      <c r="A2333" s="1"/>
      <c r="B2333" s="2"/>
      <c r="C2333" s="2"/>
    </row>
    <row r="2334" spans="1:3" x14ac:dyDescent="0.3">
      <c r="A2334" s="1"/>
      <c r="B2334" s="2"/>
      <c r="C2334" s="2"/>
    </row>
    <row r="2335" spans="1:3" x14ac:dyDescent="0.3">
      <c r="A2335" s="1"/>
      <c r="B2335" s="2"/>
      <c r="C2335" s="2"/>
    </row>
    <row r="2336" spans="1:3" x14ac:dyDescent="0.3">
      <c r="A2336" s="1"/>
      <c r="B2336" s="2"/>
      <c r="C2336" s="2"/>
    </row>
    <row r="2337" spans="1:3" x14ac:dyDescent="0.3">
      <c r="A2337" s="1"/>
      <c r="B2337" s="2"/>
      <c r="C2337" s="2"/>
    </row>
    <row r="2338" spans="1:3" x14ac:dyDescent="0.3">
      <c r="A2338" s="1"/>
      <c r="B2338" s="2"/>
      <c r="C2338" s="2"/>
    </row>
    <row r="2339" spans="1:3" x14ac:dyDescent="0.3">
      <c r="A2339" s="1"/>
      <c r="B2339" s="2"/>
      <c r="C2339" s="2"/>
    </row>
    <row r="2340" spans="1:3" x14ac:dyDescent="0.3">
      <c r="A2340" s="1"/>
      <c r="B2340" s="2"/>
      <c r="C2340" s="2"/>
    </row>
    <row r="2341" spans="1:3" x14ac:dyDescent="0.3">
      <c r="A2341" s="1"/>
      <c r="B2341" s="2"/>
      <c r="C2341" s="2"/>
    </row>
    <row r="2342" spans="1:3" x14ac:dyDescent="0.3">
      <c r="A2342" s="1"/>
      <c r="B2342" s="2"/>
      <c r="C2342" s="2"/>
    </row>
    <row r="2343" spans="1:3" x14ac:dyDescent="0.3">
      <c r="A2343" s="1"/>
      <c r="B2343" s="2"/>
      <c r="C2343" s="2"/>
    </row>
    <row r="2344" spans="1:3" x14ac:dyDescent="0.3">
      <c r="A2344" s="1"/>
      <c r="B2344" s="2"/>
      <c r="C2344" s="2"/>
    </row>
    <row r="2345" spans="1:3" x14ac:dyDescent="0.3">
      <c r="A2345" s="1"/>
      <c r="B2345" s="2"/>
      <c r="C2345" s="2"/>
    </row>
    <row r="2346" spans="1:3" x14ac:dyDescent="0.3">
      <c r="A2346" s="1"/>
      <c r="B2346" s="2"/>
      <c r="C2346" s="2"/>
    </row>
    <row r="2347" spans="1:3" x14ac:dyDescent="0.3">
      <c r="A2347" s="1"/>
      <c r="B2347" s="2"/>
      <c r="C2347" s="2"/>
    </row>
    <row r="2348" spans="1:3" x14ac:dyDescent="0.3">
      <c r="A2348" s="1"/>
      <c r="B2348" s="2"/>
      <c r="C2348" s="2"/>
    </row>
    <row r="2349" spans="1:3" x14ac:dyDescent="0.3">
      <c r="A2349" s="1"/>
      <c r="B2349" s="2"/>
      <c r="C2349" s="2"/>
    </row>
    <row r="2350" spans="1:3" x14ac:dyDescent="0.3">
      <c r="A2350" s="1"/>
      <c r="B2350" s="2"/>
      <c r="C2350" s="2"/>
    </row>
    <row r="2351" spans="1:3" x14ac:dyDescent="0.3">
      <c r="A2351" s="1"/>
      <c r="B2351" s="2"/>
      <c r="C2351" s="2"/>
    </row>
    <row r="2352" spans="1:3" x14ac:dyDescent="0.3">
      <c r="A2352" s="1"/>
      <c r="B2352" s="2"/>
      <c r="C2352" s="2"/>
    </row>
    <row r="2353" spans="1:3" x14ac:dyDescent="0.3">
      <c r="A2353" s="1"/>
      <c r="B2353" s="2"/>
      <c r="C2353" s="2"/>
    </row>
    <row r="2354" spans="1:3" x14ac:dyDescent="0.3">
      <c r="A2354" s="1"/>
      <c r="B2354" s="2"/>
      <c r="C2354" s="2"/>
    </row>
    <row r="2355" spans="1:3" x14ac:dyDescent="0.3">
      <c r="A2355" s="1"/>
      <c r="B2355" s="2"/>
      <c r="C2355" s="2"/>
    </row>
    <row r="2356" spans="1:3" x14ac:dyDescent="0.3">
      <c r="A2356" s="1"/>
      <c r="B2356" s="2"/>
      <c r="C2356" s="2"/>
    </row>
    <row r="2357" spans="1:3" x14ac:dyDescent="0.3">
      <c r="A2357" s="1"/>
      <c r="B2357" s="2"/>
      <c r="C2357" s="2"/>
    </row>
    <row r="2358" spans="1:3" x14ac:dyDescent="0.3">
      <c r="A2358" s="1"/>
      <c r="B2358" s="2"/>
      <c r="C2358" s="2"/>
    </row>
    <row r="2359" spans="1:3" x14ac:dyDescent="0.3">
      <c r="A2359" s="1"/>
      <c r="B2359" s="2"/>
      <c r="C2359" s="2"/>
    </row>
    <row r="2360" spans="1:3" x14ac:dyDescent="0.3">
      <c r="A2360" s="1"/>
      <c r="B2360" s="2"/>
      <c r="C2360" s="2"/>
    </row>
    <row r="2361" spans="1:3" x14ac:dyDescent="0.3">
      <c r="A2361" s="1"/>
      <c r="B2361" s="2"/>
      <c r="C2361" s="2"/>
    </row>
    <row r="2362" spans="1:3" x14ac:dyDescent="0.3">
      <c r="A2362" s="1"/>
      <c r="B2362" s="2"/>
      <c r="C2362" s="2"/>
    </row>
    <row r="2363" spans="1:3" x14ac:dyDescent="0.3">
      <c r="A2363" s="1"/>
      <c r="B2363" s="2"/>
      <c r="C2363" s="2"/>
    </row>
    <row r="2364" spans="1:3" x14ac:dyDescent="0.3">
      <c r="A2364" s="1"/>
      <c r="B2364" s="2"/>
      <c r="C2364" s="2"/>
    </row>
    <row r="2365" spans="1:3" x14ac:dyDescent="0.3">
      <c r="A2365" s="1"/>
      <c r="B2365" s="2"/>
      <c r="C2365" s="2"/>
    </row>
    <row r="2366" spans="1:3" x14ac:dyDescent="0.3">
      <c r="A2366" s="1"/>
      <c r="B2366" s="2"/>
      <c r="C2366" s="2"/>
    </row>
    <row r="2367" spans="1:3" x14ac:dyDescent="0.3">
      <c r="A2367" s="1"/>
      <c r="B2367" s="2"/>
      <c r="C2367" s="2"/>
    </row>
    <row r="2368" spans="1:3" x14ac:dyDescent="0.3">
      <c r="A2368" s="1"/>
      <c r="B2368" s="2"/>
      <c r="C2368" s="2"/>
    </row>
    <row r="2369" spans="1:3" x14ac:dyDescent="0.3">
      <c r="A2369" s="1"/>
      <c r="B2369" s="2"/>
      <c r="C2369" s="2"/>
    </row>
    <row r="2370" spans="1:3" x14ac:dyDescent="0.3">
      <c r="A2370" s="1"/>
      <c r="B2370" s="2"/>
      <c r="C2370" s="2"/>
    </row>
    <row r="2371" spans="1:3" x14ac:dyDescent="0.3">
      <c r="A2371" s="1"/>
      <c r="B2371" s="2"/>
      <c r="C2371" s="2"/>
    </row>
    <row r="2372" spans="1:3" x14ac:dyDescent="0.3">
      <c r="A2372" s="1"/>
      <c r="B2372" s="2"/>
      <c r="C2372" s="2"/>
    </row>
    <row r="2373" spans="1:3" x14ac:dyDescent="0.3">
      <c r="A2373" s="1"/>
      <c r="B2373" s="2"/>
      <c r="C2373" s="2"/>
    </row>
    <row r="2374" spans="1:3" x14ac:dyDescent="0.3">
      <c r="A2374" s="1"/>
      <c r="B2374" s="2"/>
      <c r="C2374" s="2"/>
    </row>
    <row r="2375" spans="1:3" x14ac:dyDescent="0.3">
      <c r="A2375" s="1"/>
      <c r="B2375" s="2"/>
      <c r="C2375" s="2"/>
    </row>
    <row r="2376" spans="1:3" x14ac:dyDescent="0.3">
      <c r="A2376" s="1"/>
      <c r="B2376" s="2"/>
      <c r="C2376" s="2"/>
    </row>
    <row r="2377" spans="1:3" x14ac:dyDescent="0.3">
      <c r="A2377" s="1"/>
      <c r="B2377" s="2"/>
      <c r="C2377" s="2"/>
    </row>
    <row r="2378" spans="1:3" x14ac:dyDescent="0.3">
      <c r="A2378" s="1"/>
      <c r="B2378" s="2"/>
      <c r="C2378" s="2"/>
    </row>
    <row r="2379" spans="1:3" x14ac:dyDescent="0.3">
      <c r="A2379" s="1"/>
      <c r="B2379" s="2"/>
      <c r="C2379" s="2"/>
    </row>
    <row r="2380" spans="1:3" x14ac:dyDescent="0.3">
      <c r="A2380" s="1"/>
      <c r="B2380" s="2"/>
      <c r="C2380" s="2"/>
    </row>
    <row r="2381" spans="1:3" x14ac:dyDescent="0.3">
      <c r="A2381" s="1"/>
      <c r="B2381" s="2"/>
      <c r="C2381" s="2"/>
    </row>
    <row r="2382" spans="1:3" x14ac:dyDescent="0.3">
      <c r="A2382" s="1"/>
      <c r="B2382" s="2"/>
      <c r="C2382" s="2"/>
    </row>
    <row r="2383" spans="1:3" x14ac:dyDescent="0.3">
      <c r="A2383" s="1"/>
      <c r="B2383" s="2"/>
      <c r="C2383" s="2"/>
    </row>
    <row r="2384" spans="1:3" x14ac:dyDescent="0.3">
      <c r="A2384" s="1"/>
      <c r="B2384" s="2"/>
      <c r="C2384" s="2"/>
    </row>
    <row r="2385" spans="1:3" x14ac:dyDescent="0.3">
      <c r="A2385" s="1"/>
      <c r="B2385" s="2"/>
      <c r="C2385" s="2"/>
    </row>
    <row r="2386" spans="1:3" x14ac:dyDescent="0.3">
      <c r="A2386" s="1"/>
      <c r="B2386" s="2"/>
      <c r="C2386" s="2"/>
    </row>
    <row r="2387" spans="1:3" x14ac:dyDescent="0.3">
      <c r="A2387" s="1"/>
      <c r="B2387" s="2"/>
      <c r="C2387" s="2"/>
    </row>
    <row r="2388" spans="1:3" x14ac:dyDescent="0.3">
      <c r="A2388" s="1"/>
      <c r="B2388" s="2"/>
      <c r="C2388" s="2"/>
    </row>
    <row r="2389" spans="1:3" x14ac:dyDescent="0.3">
      <c r="A2389" s="1"/>
      <c r="B2389" s="2"/>
      <c r="C2389" s="2"/>
    </row>
    <row r="2390" spans="1:3" x14ac:dyDescent="0.3">
      <c r="A2390" s="1"/>
      <c r="B2390" s="2"/>
      <c r="C2390" s="2"/>
    </row>
    <row r="2391" spans="1:3" x14ac:dyDescent="0.3">
      <c r="A2391" s="1"/>
      <c r="B2391" s="2"/>
      <c r="C2391" s="2"/>
    </row>
    <row r="2392" spans="1:3" x14ac:dyDescent="0.3">
      <c r="A2392" s="1"/>
      <c r="B2392" s="2"/>
      <c r="C2392" s="2"/>
    </row>
    <row r="2393" spans="1:3" x14ac:dyDescent="0.3">
      <c r="A2393" s="1"/>
      <c r="B2393" s="2"/>
      <c r="C2393" s="2"/>
    </row>
    <row r="2394" spans="1:3" x14ac:dyDescent="0.3">
      <c r="A2394" s="1"/>
      <c r="B2394" s="2"/>
      <c r="C2394" s="2"/>
    </row>
    <row r="2395" spans="1:3" x14ac:dyDescent="0.3">
      <c r="A2395" s="1"/>
      <c r="B2395" s="2"/>
      <c r="C2395" s="2"/>
    </row>
    <row r="2396" spans="1:3" x14ac:dyDescent="0.3">
      <c r="A2396" s="1"/>
      <c r="B2396" s="2"/>
      <c r="C2396" s="2"/>
    </row>
    <row r="2397" spans="1:3" x14ac:dyDescent="0.3">
      <c r="A2397" s="1"/>
      <c r="B2397" s="2"/>
      <c r="C2397" s="2"/>
    </row>
    <row r="2398" spans="1:3" x14ac:dyDescent="0.3">
      <c r="A2398" s="1"/>
      <c r="B2398" s="2"/>
      <c r="C2398" s="2"/>
    </row>
    <row r="2399" spans="1:3" x14ac:dyDescent="0.3">
      <c r="A2399" s="1"/>
      <c r="B2399" s="2"/>
      <c r="C2399" s="2"/>
    </row>
    <row r="2400" spans="1:3" x14ac:dyDescent="0.3">
      <c r="A2400" s="1"/>
      <c r="B2400" s="2"/>
      <c r="C2400" s="2"/>
    </row>
    <row r="2401" spans="1:3" x14ac:dyDescent="0.3">
      <c r="A2401" s="1"/>
      <c r="B2401" s="2"/>
      <c r="C2401" s="2"/>
    </row>
    <row r="2402" spans="1:3" x14ac:dyDescent="0.3">
      <c r="A2402" s="1"/>
      <c r="B2402" s="2"/>
      <c r="C2402" s="2"/>
    </row>
    <row r="2403" spans="1:3" x14ac:dyDescent="0.3">
      <c r="A2403" s="1"/>
      <c r="B2403" s="2"/>
      <c r="C2403" s="2"/>
    </row>
    <row r="2404" spans="1:3" x14ac:dyDescent="0.3">
      <c r="A2404" s="1"/>
      <c r="B2404" s="2"/>
      <c r="C2404" s="2"/>
    </row>
    <row r="2405" spans="1:3" x14ac:dyDescent="0.3">
      <c r="A2405" s="1"/>
      <c r="B2405" s="2"/>
      <c r="C2405" s="2"/>
    </row>
    <row r="2406" spans="1:3" x14ac:dyDescent="0.3">
      <c r="A2406" s="1"/>
      <c r="B2406" s="2"/>
      <c r="C2406" s="2"/>
    </row>
    <row r="2407" spans="1:3" x14ac:dyDescent="0.3">
      <c r="A2407" s="1"/>
      <c r="B2407" s="2"/>
      <c r="C2407" s="2"/>
    </row>
    <row r="2408" spans="1:3" x14ac:dyDescent="0.3">
      <c r="A2408" s="1"/>
      <c r="B2408" s="2"/>
      <c r="C2408" s="2"/>
    </row>
    <row r="2409" spans="1:3" x14ac:dyDescent="0.3">
      <c r="A2409" s="1"/>
      <c r="B2409" s="2"/>
      <c r="C2409" s="2"/>
    </row>
    <row r="2410" spans="1:3" x14ac:dyDescent="0.3">
      <c r="A2410" s="1"/>
      <c r="B2410" s="2"/>
      <c r="C2410" s="2"/>
    </row>
    <row r="2411" spans="1:3" x14ac:dyDescent="0.3">
      <c r="A2411" s="1"/>
      <c r="B2411" s="2"/>
      <c r="C2411" s="2"/>
    </row>
    <row r="2412" spans="1:3" x14ac:dyDescent="0.3">
      <c r="A2412" s="1"/>
      <c r="B2412" s="2"/>
      <c r="C2412" s="2"/>
    </row>
    <row r="2413" spans="1:3" x14ac:dyDescent="0.3">
      <c r="A2413" s="1"/>
      <c r="B2413" s="2"/>
      <c r="C2413" s="2"/>
    </row>
    <row r="2414" spans="1:3" x14ac:dyDescent="0.3">
      <c r="A2414" s="1"/>
      <c r="B2414" s="2"/>
      <c r="C2414" s="2"/>
    </row>
    <row r="2415" spans="1:3" x14ac:dyDescent="0.3">
      <c r="A2415" s="1"/>
      <c r="B2415" s="2"/>
      <c r="C2415" s="2"/>
    </row>
    <row r="2416" spans="1:3" x14ac:dyDescent="0.3">
      <c r="A2416" s="1"/>
      <c r="B2416" s="2"/>
      <c r="C2416" s="2"/>
    </row>
    <row r="2417" spans="1:3" x14ac:dyDescent="0.3">
      <c r="A2417" s="1"/>
      <c r="B2417" s="2"/>
      <c r="C2417" s="2"/>
    </row>
    <row r="2418" spans="1:3" x14ac:dyDescent="0.3">
      <c r="A2418" s="1"/>
      <c r="B2418" s="2"/>
      <c r="C2418" s="2"/>
    </row>
    <row r="2419" spans="1:3" x14ac:dyDescent="0.3">
      <c r="A2419" s="1"/>
      <c r="B2419" s="2"/>
      <c r="C2419" s="2"/>
    </row>
    <row r="2420" spans="1:3" x14ac:dyDescent="0.3">
      <c r="A2420" s="1"/>
      <c r="B2420" s="2"/>
      <c r="C2420" s="2"/>
    </row>
    <row r="2421" spans="1:3" x14ac:dyDescent="0.3">
      <c r="A2421" s="1"/>
      <c r="B2421" s="2"/>
      <c r="C2421" s="2"/>
    </row>
    <row r="2422" spans="1:3" x14ac:dyDescent="0.3">
      <c r="A2422" s="1"/>
      <c r="B2422" s="2"/>
      <c r="C2422" s="2"/>
    </row>
    <row r="2423" spans="1:3" x14ac:dyDescent="0.3">
      <c r="A2423" s="1"/>
      <c r="B2423" s="2"/>
      <c r="C2423" s="2"/>
    </row>
    <row r="2424" spans="1:3" x14ac:dyDescent="0.3">
      <c r="A2424" s="1"/>
      <c r="B2424" s="2"/>
      <c r="C2424" s="2"/>
    </row>
    <row r="2425" spans="1:3" x14ac:dyDescent="0.3">
      <c r="A2425" s="1"/>
      <c r="B2425" s="2"/>
      <c r="C2425" s="2"/>
    </row>
    <row r="2426" spans="1:3" x14ac:dyDescent="0.3">
      <c r="A2426" s="1"/>
      <c r="B2426" s="2"/>
      <c r="C2426" s="2"/>
    </row>
    <row r="2427" spans="1:3" x14ac:dyDescent="0.3">
      <c r="A2427" s="1"/>
      <c r="B2427" s="2"/>
      <c r="C2427" s="2"/>
    </row>
    <row r="2428" spans="1:3" x14ac:dyDescent="0.3">
      <c r="A2428" s="1"/>
      <c r="B2428" s="2"/>
      <c r="C2428" s="2"/>
    </row>
    <row r="2429" spans="1:3" x14ac:dyDescent="0.3">
      <c r="A2429" s="1"/>
      <c r="B2429" s="2"/>
      <c r="C2429" s="2"/>
    </row>
    <row r="2430" spans="1:3" x14ac:dyDescent="0.3">
      <c r="A2430" s="1"/>
      <c r="B2430" s="2"/>
      <c r="C2430" s="2"/>
    </row>
    <row r="2431" spans="1:3" x14ac:dyDescent="0.3">
      <c r="A2431" s="1"/>
      <c r="B2431" s="2"/>
      <c r="C2431" s="2"/>
    </row>
    <row r="2432" spans="1:3" x14ac:dyDescent="0.3">
      <c r="A2432" s="1"/>
      <c r="B2432" s="2"/>
      <c r="C2432" s="2"/>
    </row>
    <row r="2433" spans="1:3" x14ac:dyDescent="0.3">
      <c r="A2433" s="1"/>
      <c r="B2433" s="2"/>
      <c r="C2433" s="2"/>
    </row>
    <row r="2434" spans="1:3" x14ac:dyDescent="0.3">
      <c r="A2434" s="1"/>
      <c r="B2434" s="2"/>
      <c r="C2434" s="2"/>
    </row>
    <row r="2435" spans="1:3" x14ac:dyDescent="0.3">
      <c r="A2435" s="1"/>
      <c r="B2435" s="2"/>
      <c r="C2435" s="2"/>
    </row>
    <row r="2436" spans="1:3" x14ac:dyDescent="0.3">
      <c r="A2436" s="1"/>
      <c r="B2436" s="2"/>
      <c r="C2436" s="2"/>
    </row>
    <row r="2437" spans="1:3" x14ac:dyDescent="0.3">
      <c r="A2437" s="1"/>
      <c r="B2437" s="2"/>
      <c r="C2437" s="2"/>
    </row>
    <row r="2438" spans="1:3" x14ac:dyDescent="0.3">
      <c r="A2438" s="1"/>
      <c r="B2438" s="2"/>
      <c r="C2438" s="2"/>
    </row>
    <row r="2439" spans="1:3" x14ac:dyDescent="0.3">
      <c r="A2439" s="1"/>
      <c r="B2439" s="2"/>
      <c r="C2439" s="2"/>
    </row>
    <row r="2440" spans="1:3" x14ac:dyDescent="0.3">
      <c r="A2440" s="1"/>
      <c r="B2440" s="2"/>
      <c r="C2440" s="2"/>
    </row>
    <row r="2441" spans="1:3" x14ac:dyDescent="0.3">
      <c r="A2441" s="1"/>
      <c r="B2441" s="2"/>
      <c r="C2441" s="2"/>
    </row>
    <row r="2442" spans="1:3" x14ac:dyDescent="0.3">
      <c r="A2442" s="1"/>
      <c r="B2442" s="2"/>
      <c r="C2442" s="2"/>
    </row>
    <row r="2443" spans="1:3" x14ac:dyDescent="0.3">
      <c r="A2443" s="1"/>
      <c r="B2443" s="2"/>
      <c r="C2443" s="2"/>
    </row>
    <row r="2444" spans="1:3" x14ac:dyDescent="0.3">
      <c r="A2444" s="1"/>
      <c r="B2444" s="2"/>
      <c r="C2444" s="2"/>
    </row>
    <row r="2445" spans="1:3" x14ac:dyDescent="0.3">
      <c r="A2445" s="1"/>
      <c r="B2445" s="2"/>
      <c r="C2445" s="2"/>
    </row>
    <row r="2446" spans="1:3" x14ac:dyDescent="0.3">
      <c r="A2446" s="1"/>
      <c r="B2446" s="2"/>
      <c r="C2446" s="2"/>
    </row>
    <row r="2447" spans="1:3" x14ac:dyDescent="0.3">
      <c r="A2447" s="1"/>
      <c r="B2447" s="2"/>
      <c r="C2447" s="2"/>
    </row>
    <row r="2448" spans="1:3" x14ac:dyDescent="0.3">
      <c r="A2448" s="1"/>
      <c r="B2448" s="2"/>
      <c r="C2448" s="2"/>
    </row>
    <row r="2449" spans="1:3" x14ac:dyDescent="0.3">
      <c r="A2449" s="1"/>
      <c r="B2449" s="2"/>
      <c r="C2449" s="2"/>
    </row>
    <row r="2450" spans="1:3" x14ac:dyDescent="0.3">
      <c r="A2450" s="1"/>
      <c r="B2450" s="2"/>
      <c r="C2450" s="2"/>
    </row>
    <row r="2451" spans="1:3" x14ac:dyDescent="0.3">
      <c r="A2451" s="1"/>
      <c r="B2451" s="2"/>
      <c r="C2451" s="2"/>
    </row>
    <row r="2452" spans="1:3" x14ac:dyDescent="0.3">
      <c r="A2452" s="1"/>
      <c r="B2452" s="2"/>
      <c r="C2452" s="2"/>
    </row>
    <row r="2453" spans="1:3" x14ac:dyDescent="0.3">
      <c r="A2453" s="1"/>
      <c r="B2453" s="2"/>
      <c r="C2453" s="2"/>
    </row>
    <row r="2454" spans="1:3" x14ac:dyDescent="0.3">
      <c r="A2454" s="1"/>
      <c r="B2454" s="2"/>
      <c r="C2454" s="2"/>
    </row>
    <row r="2455" spans="1:3" x14ac:dyDescent="0.3">
      <c r="A2455" s="1"/>
      <c r="B2455" s="2"/>
      <c r="C2455" s="2"/>
    </row>
    <row r="2456" spans="1:3" x14ac:dyDescent="0.3">
      <c r="A2456" s="1"/>
      <c r="B2456" s="2"/>
      <c r="C2456" s="2"/>
    </row>
    <row r="2457" spans="1:3" x14ac:dyDescent="0.3">
      <c r="A2457" s="1"/>
      <c r="B2457" s="2"/>
      <c r="C2457" s="2"/>
    </row>
    <row r="2458" spans="1:3" x14ac:dyDescent="0.3">
      <c r="A2458" s="1"/>
      <c r="B2458" s="2"/>
      <c r="C2458" s="2"/>
    </row>
    <row r="2459" spans="1:3" x14ac:dyDescent="0.3">
      <c r="A2459" s="1"/>
      <c r="B2459" s="2"/>
      <c r="C2459" s="2"/>
    </row>
    <row r="2460" spans="1:3" x14ac:dyDescent="0.3">
      <c r="A2460" s="1"/>
      <c r="B2460" s="2"/>
      <c r="C2460" s="2"/>
    </row>
    <row r="2461" spans="1:3" x14ac:dyDescent="0.3">
      <c r="A2461" s="1"/>
      <c r="B2461" s="2"/>
      <c r="C2461" s="2"/>
    </row>
    <row r="2462" spans="1:3" x14ac:dyDescent="0.3">
      <c r="A2462" s="1"/>
      <c r="B2462" s="2"/>
      <c r="C2462" s="2"/>
    </row>
    <row r="2463" spans="1:3" x14ac:dyDescent="0.3">
      <c r="A2463" s="1"/>
      <c r="B2463" s="2"/>
      <c r="C2463" s="2"/>
    </row>
    <row r="2464" spans="1:3" x14ac:dyDescent="0.3">
      <c r="A2464" s="1"/>
      <c r="B2464" s="2"/>
      <c r="C2464" s="2"/>
    </row>
    <row r="2465" spans="1:3" x14ac:dyDescent="0.3">
      <c r="A2465" s="1"/>
      <c r="B2465" s="2"/>
      <c r="C2465" s="2"/>
    </row>
    <row r="2466" spans="1:3" x14ac:dyDescent="0.3">
      <c r="A2466" s="1"/>
      <c r="B2466" s="2"/>
      <c r="C2466" s="2"/>
    </row>
    <row r="2467" spans="1:3" x14ac:dyDescent="0.3">
      <c r="A2467" s="1"/>
      <c r="B2467" s="2"/>
      <c r="C2467" s="2"/>
    </row>
    <row r="2468" spans="1:3" x14ac:dyDescent="0.3">
      <c r="A2468" s="1"/>
      <c r="B2468" s="2"/>
      <c r="C2468" s="2"/>
    </row>
    <row r="2469" spans="1:3" x14ac:dyDescent="0.3">
      <c r="A2469" s="1"/>
      <c r="B2469" s="2"/>
      <c r="C2469" s="2"/>
    </row>
    <row r="2470" spans="1:3" x14ac:dyDescent="0.3">
      <c r="A2470" s="1"/>
      <c r="B2470" s="2"/>
      <c r="C2470" s="2"/>
    </row>
    <row r="2471" spans="1:3" x14ac:dyDescent="0.3">
      <c r="A2471" s="1"/>
      <c r="B2471" s="2"/>
      <c r="C2471" s="2"/>
    </row>
    <row r="2472" spans="1:3" x14ac:dyDescent="0.3">
      <c r="A2472" s="1"/>
      <c r="B2472" s="2"/>
      <c r="C2472" s="2"/>
    </row>
    <row r="2473" spans="1:3" x14ac:dyDescent="0.3">
      <c r="A2473" s="1"/>
      <c r="B2473" s="2"/>
      <c r="C2473" s="2"/>
    </row>
    <row r="2474" spans="1:3" x14ac:dyDescent="0.3">
      <c r="A2474" s="1"/>
      <c r="B2474" s="2"/>
      <c r="C2474" s="2"/>
    </row>
    <row r="2475" spans="1:3" x14ac:dyDescent="0.3">
      <c r="A2475" s="1"/>
      <c r="B2475" s="2"/>
      <c r="C2475" s="2"/>
    </row>
    <row r="2476" spans="1:3" x14ac:dyDescent="0.3">
      <c r="A2476" s="1"/>
      <c r="B2476" s="2"/>
      <c r="C2476" s="2"/>
    </row>
    <row r="2477" spans="1:3" x14ac:dyDescent="0.3">
      <c r="A2477" s="1"/>
      <c r="B2477" s="2"/>
      <c r="C2477" s="2"/>
    </row>
    <row r="2478" spans="1:3" x14ac:dyDescent="0.3">
      <c r="A2478" s="1"/>
      <c r="B2478" s="2"/>
      <c r="C2478" s="2"/>
    </row>
    <row r="2479" spans="1:3" x14ac:dyDescent="0.3">
      <c r="A2479" s="1"/>
      <c r="B2479" s="2"/>
      <c r="C2479" s="2"/>
    </row>
    <row r="2480" spans="1:3" x14ac:dyDescent="0.3">
      <c r="A2480" s="1"/>
      <c r="B2480" s="2"/>
      <c r="C2480" s="2"/>
    </row>
    <row r="2481" spans="1:3" x14ac:dyDescent="0.3">
      <c r="A2481" s="1"/>
      <c r="B2481" s="2"/>
      <c r="C2481" s="2"/>
    </row>
    <row r="2482" spans="1:3" x14ac:dyDescent="0.3">
      <c r="A2482" s="1"/>
      <c r="B2482" s="2"/>
      <c r="C2482" s="2"/>
    </row>
    <row r="2483" spans="1:3" x14ac:dyDescent="0.3">
      <c r="A2483" s="1"/>
      <c r="B2483" s="2"/>
      <c r="C2483" s="2"/>
    </row>
    <row r="2484" spans="1:3" x14ac:dyDescent="0.3">
      <c r="A2484" s="1"/>
      <c r="B2484" s="2"/>
      <c r="C2484" s="2"/>
    </row>
    <row r="2485" spans="1:3" x14ac:dyDescent="0.3">
      <c r="A2485" s="1"/>
      <c r="B2485" s="2"/>
      <c r="C2485" s="2"/>
    </row>
    <row r="2486" spans="1:3" x14ac:dyDescent="0.3">
      <c r="A2486" s="1"/>
      <c r="B2486" s="2"/>
      <c r="C2486" s="2"/>
    </row>
    <row r="2487" spans="1:3" x14ac:dyDescent="0.3">
      <c r="A2487" s="1"/>
      <c r="B2487" s="2"/>
      <c r="C2487" s="2"/>
    </row>
    <row r="2488" spans="1:3" x14ac:dyDescent="0.3">
      <c r="A2488" s="1"/>
      <c r="B2488" s="2"/>
      <c r="C2488" s="2"/>
    </row>
    <row r="2489" spans="1:3" x14ac:dyDescent="0.3">
      <c r="A2489" s="1"/>
      <c r="B2489" s="2"/>
      <c r="C2489" s="2"/>
    </row>
    <row r="2490" spans="1:3" x14ac:dyDescent="0.3">
      <c r="A2490" s="1"/>
      <c r="B2490" s="2"/>
      <c r="C2490" s="2"/>
    </row>
    <row r="2491" spans="1:3" x14ac:dyDescent="0.3">
      <c r="A2491" s="1"/>
      <c r="B2491" s="2"/>
      <c r="C2491" s="2"/>
    </row>
    <row r="2492" spans="1:3" x14ac:dyDescent="0.3">
      <c r="A2492" s="1"/>
      <c r="B2492" s="2"/>
      <c r="C2492" s="2"/>
    </row>
    <row r="2493" spans="1:3" x14ac:dyDescent="0.3">
      <c r="A2493" s="1"/>
      <c r="B2493" s="2"/>
      <c r="C2493" s="2"/>
    </row>
    <row r="2494" spans="1:3" x14ac:dyDescent="0.3">
      <c r="A2494" s="1"/>
      <c r="B2494" s="2"/>
      <c r="C2494" s="2"/>
    </row>
    <row r="2495" spans="1:3" x14ac:dyDescent="0.3">
      <c r="A2495" s="1"/>
      <c r="B2495" s="2"/>
      <c r="C2495" s="2"/>
    </row>
    <row r="2496" spans="1:3" x14ac:dyDescent="0.3">
      <c r="A2496" s="1"/>
      <c r="B2496" s="2"/>
      <c r="C2496" s="2"/>
    </row>
    <row r="2497" spans="1:3" x14ac:dyDescent="0.3">
      <c r="A2497" s="1"/>
      <c r="B2497" s="2"/>
      <c r="C2497" s="2"/>
    </row>
    <row r="2498" spans="1:3" x14ac:dyDescent="0.3">
      <c r="A2498" s="1"/>
      <c r="B2498" s="2"/>
      <c r="C2498" s="2"/>
    </row>
    <row r="2499" spans="1:3" x14ac:dyDescent="0.3">
      <c r="A2499" s="1"/>
      <c r="B2499" s="2"/>
      <c r="C2499" s="2"/>
    </row>
    <row r="2500" spans="1:3" x14ac:dyDescent="0.3">
      <c r="A2500" s="1"/>
      <c r="B2500" s="2"/>
      <c r="C2500" s="2"/>
    </row>
    <row r="2501" spans="1:3" x14ac:dyDescent="0.3">
      <c r="A2501" s="1"/>
      <c r="B2501" s="2"/>
      <c r="C2501" s="2"/>
    </row>
    <row r="2502" spans="1:3" x14ac:dyDescent="0.3">
      <c r="A2502" s="1"/>
      <c r="B2502" s="2"/>
      <c r="C2502" s="2"/>
    </row>
    <row r="2503" spans="1:3" x14ac:dyDescent="0.3">
      <c r="A2503" s="1"/>
      <c r="B2503" s="2"/>
      <c r="C2503" s="2"/>
    </row>
    <row r="2504" spans="1:3" x14ac:dyDescent="0.3">
      <c r="A2504" s="1"/>
      <c r="B2504" s="2"/>
      <c r="C2504" s="2"/>
    </row>
    <row r="2505" spans="1:3" x14ac:dyDescent="0.3">
      <c r="A2505" s="1"/>
      <c r="B2505" s="2"/>
      <c r="C2505" s="2"/>
    </row>
    <row r="2506" spans="1:3" x14ac:dyDescent="0.3">
      <c r="A2506" s="1"/>
      <c r="B2506" s="2"/>
      <c r="C2506" s="2"/>
    </row>
    <row r="2507" spans="1:3" x14ac:dyDescent="0.3">
      <c r="A2507" s="1"/>
      <c r="B2507" s="2"/>
      <c r="C2507" s="2"/>
    </row>
    <row r="2508" spans="1:3" x14ac:dyDescent="0.3">
      <c r="A2508" s="1"/>
      <c r="B2508" s="2"/>
      <c r="C2508" s="2"/>
    </row>
    <row r="2509" spans="1:3" x14ac:dyDescent="0.3">
      <c r="A2509" s="1"/>
      <c r="B2509" s="2"/>
      <c r="C2509" s="2"/>
    </row>
    <row r="2510" spans="1:3" x14ac:dyDescent="0.3">
      <c r="A2510" s="1"/>
      <c r="B2510" s="2"/>
      <c r="C2510" s="2"/>
    </row>
    <row r="2511" spans="1:3" x14ac:dyDescent="0.3">
      <c r="A2511" s="1"/>
      <c r="B2511" s="2"/>
      <c r="C2511" s="2"/>
    </row>
    <row r="2512" spans="1:3" x14ac:dyDescent="0.3">
      <c r="A2512" s="1"/>
      <c r="B2512" s="2"/>
      <c r="C2512" s="2"/>
    </row>
    <row r="2513" spans="1:3" x14ac:dyDescent="0.3">
      <c r="A2513" s="1"/>
      <c r="B2513" s="2"/>
      <c r="C2513" s="2"/>
    </row>
    <row r="2514" spans="1:3" x14ac:dyDescent="0.3">
      <c r="A2514" s="1"/>
      <c r="B2514" s="2"/>
      <c r="C2514" s="2"/>
    </row>
    <row r="2515" spans="1:3" x14ac:dyDescent="0.3">
      <c r="A2515" s="1"/>
      <c r="B2515" s="2"/>
      <c r="C2515" s="2"/>
    </row>
    <row r="2516" spans="1:3" x14ac:dyDescent="0.3">
      <c r="A2516" s="1"/>
      <c r="B2516" s="2"/>
      <c r="C2516" s="2"/>
    </row>
    <row r="2517" spans="1:3" x14ac:dyDescent="0.3">
      <c r="A2517" s="1"/>
      <c r="B2517" s="2"/>
      <c r="C2517" s="2"/>
    </row>
    <row r="2518" spans="1:3" x14ac:dyDescent="0.3">
      <c r="A2518" s="1"/>
      <c r="B2518" s="2"/>
      <c r="C2518" s="2"/>
    </row>
    <row r="2519" spans="1:3" x14ac:dyDescent="0.3">
      <c r="A2519" s="1"/>
      <c r="B2519" s="2"/>
      <c r="C2519" s="2"/>
    </row>
    <row r="2520" spans="1:3" x14ac:dyDescent="0.3">
      <c r="A2520" s="1"/>
      <c r="B2520" s="2"/>
      <c r="C2520" s="2"/>
    </row>
    <row r="2521" spans="1:3" x14ac:dyDescent="0.3">
      <c r="A2521" s="1"/>
      <c r="B2521" s="2"/>
      <c r="C2521" s="2"/>
    </row>
    <row r="2522" spans="1:3" x14ac:dyDescent="0.3">
      <c r="A2522" s="1"/>
      <c r="B2522" s="2"/>
      <c r="C2522" s="2"/>
    </row>
    <row r="2523" spans="1:3" x14ac:dyDescent="0.3">
      <c r="A2523" s="1"/>
      <c r="B2523" s="2"/>
      <c r="C2523" s="2"/>
    </row>
    <row r="2524" spans="1:3" x14ac:dyDescent="0.3">
      <c r="A2524" s="1"/>
      <c r="B2524" s="2"/>
      <c r="C2524" s="2"/>
    </row>
    <row r="2525" spans="1:3" x14ac:dyDescent="0.3">
      <c r="A2525" s="1"/>
      <c r="B2525" s="2"/>
      <c r="C2525" s="2"/>
    </row>
    <row r="2526" spans="1:3" x14ac:dyDescent="0.3">
      <c r="A2526" s="1"/>
      <c r="B2526" s="2"/>
      <c r="C2526" s="2"/>
    </row>
    <row r="2527" spans="1:3" x14ac:dyDescent="0.3">
      <c r="A2527" s="1"/>
      <c r="B2527" s="2"/>
      <c r="C2527" s="2"/>
    </row>
    <row r="2528" spans="1:3" x14ac:dyDescent="0.3">
      <c r="A2528" s="1"/>
      <c r="B2528" s="2"/>
      <c r="C2528" s="2"/>
    </row>
    <row r="2529" spans="1:3" x14ac:dyDescent="0.3">
      <c r="A2529" s="1"/>
      <c r="B2529" s="2"/>
      <c r="C2529" s="2"/>
    </row>
    <row r="2530" spans="1:3" x14ac:dyDescent="0.3">
      <c r="A2530" s="1"/>
      <c r="B2530" s="2"/>
      <c r="C2530" s="2"/>
    </row>
    <row r="2531" spans="1:3" x14ac:dyDescent="0.3">
      <c r="A2531" s="1"/>
      <c r="B2531" s="2"/>
      <c r="C2531" s="2"/>
    </row>
    <row r="2532" spans="1:3" x14ac:dyDescent="0.3">
      <c r="A2532" s="1"/>
      <c r="B2532" s="2"/>
      <c r="C2532" s="2"/>
    </row>
    <row r="2533" spans="1:3" x14ac:dyDescent="0.3">
      <c r="A2533" s="1"/>
      <c r="B2533" s="2"/>
      <c r="C2533" s="2"/>
    </row>
    <row r="2534" spans="1:3" x14ac:dyDescent="0.3">
      <c r="A2534" s="1"/>
      <c r="B2534" s="2"/>
      <c r="C2534" s="2"/>
    </row>
    <row r="2535" spans="1:3" x14ac:dyDescent="0.3">
      <c r="A2535" s="1"/>
      <c r="B2535" s="2"/>
      <c r="C2535" s="2"/>
    </row>
    <row r="2536" spans="1:3" x14ac:dyDescent="0.3">
      <c r="A2536" s="1"/>
      <c r="B2536" s="2"/>
      <c r="C2536" s="2"/>
    </row>
    <row r="2537" spans="1:3" x14ac:dyDescent="0.3">
      <c r="A2537" s="1"/>
      <c r="B2537" s="2"/>
      <c r="C2537" s="2"/>
    </row>
    <row r="2538" spans="1:3" x14ac:dyDescent="0.3">
      <c r="A2538" s="1"/>
      <c r="B2538" s="2"/>
      <c r="C2538" s="2"/>
    </row>
    <row r="2539" spans="1:3" x14ac:dyDescent="0.3">
      <c r="A2539" s="1"/>
      <c r="B2539" s="2"/>
      <c r="C2539" s="2"/>
    </row>
    <row r="2540" spans="1:3" x14ac:dyDescent="0.3">
      <c r="A2540" s="1"/>
      <c r="B2540" s="2"/>
      <c r="C2540" s="2"/>
    </row>
    <row r="2541" spans="1:3" x14ac:dyDescent="0.3">
      <c r="A2541" s="1"/>
      <c r="B2541" s="2"/>
      <c r="C2541" s="2"/>
    </row>
    <row r="2542" spans="1:3" x14ac:dyDescent="0.3">
      <c r="A2542" s="1"/>
      <c r="B2542" s="2"/>
      <c r="C2542" s="2"/>
    </row>
    <row r="2543" spans="1:3" x14ac:dyDescent="0.3">
      <c r="A2543" s="1"/>
      <c r="B2543" s="2"/>
      <c r="C2543" s="2"/>
    </row>
    <row r="2544" spans="1:3" x14ac:dyDescent="0.3">
      <c r="A2544" s="1"/>
      <c r="B2544" s="2"/>
      <c r="C2544" s="2"/>
    </row>
    <row r="2545" spans="1:3" x14ac:dyDescent="0.3">
      <c r="A2545" s="1"/>
      <c r="B2545" s="2"/>
      <c r="C2545" s="2"/>
    </row>
    <row r="2546" spans="1:3" x14ac:dyDescent="0.3">
      <c r="A2546" s="1"/>
      <c r="B2546" s="2"/>
      <c r="C2546" s="2"/>
    </row>
    <row r="2547" spans="1:3" x14ac:dyDescent="0.3">
      <c r="A2547" s="1"/>
      <c r="B2547" s="2"/>
      <c r="C2547" s="2"/>
    </row>
    <row r="2548" spans="1:3" x14ac:dyDescent="0.3">
      <c r="A2548" s="1"/>
      <c r="B2548" s="2"/>
      <c r="C2548" s="2"/>
    </row>
    <row r="2549" spans="1:3" x14ac:dyDescent="0.3">
      <c r="A2549" s="1"/>
      <c r="B2549" s="2"/>
      <c r="C2549" s="2"/>
    </row>
    <row r="2550" spans="1:3" x14ac:dyDescent="0.3">
      <c r="A2550" s="1"/>
      <c r="B2550" s="2"/>
      <c r="C2550" s="2"/>
    </row>
    <row r="2551" spans="1:3" x14ac:dyDescent="0.3">
      <c r="A2551" s="1"/>
      <c r="B2551" s="2"/>
      <c r="C2551" s="2"/>
    </row>
    <row r="2552" spans="1:3" x14ac:dyDescent="0.3">
      <c r="A2552" s="1"/>
      <c r="B2552" s="2"/>
      <c r="C2552" s="2"/>
    </row>
    <row r="2553" spans="1:3" x14ac:dyDescent="0.3">
      <c r="A2553" s="1"/>
      <c r="B2553" s="2"/>
      <c r="C2553" s="2"/>
    </row>
    <row r="2554" spans="1:3" x14ac:dyDescent="0.3">
      <c r="A2554" s="1"/>
      <c r="B2554" s="2"/>
      <c r="C2554" s="2"/>
    </row>
    <row r="2555" spans="1:3" x14ac:dyDescent="0.3">
      <c r="A2555" s="1"/>
      <c r="B2555" s="2"/>
      <c r="C2555" s="2"/>
    </row>
    <row r="2556" spans="1:3" x14ac:dyDescent="0.3">
      <c r="A2556" s="1"/>
      <c r="B2556" s="2"/>
      <c r="C2556" s="2"/>
    </row>
    <row r="2557" spans="1:3" x14ac:dyDescent="0.3">
      <c r="A2557" s="1"/>
      <c r="B2557" s="2"/>
      <c r="C2557" s="2"/>
    </row>
    <row r="2558" spans="1:3" x14ac:dyDescent="0.3">
      <c r="A2558" s="1"/>
      <c r="B2558" s="2"/>
      <c r="C2558" s="2"/>
    </row>
    <row r="2559" spans="1:3" x14ac:dyDescent="0.3">
      <c r="A2559" s="1"/>
      <c r="B2559" s="2"/>
      <c r="C2559" s="2"/>
    </row>
    <row r="2560" spans="1:3" x14ac:dyDescent="0.3">
      <c r="A2560" s="1"/>
      <c r="B2560" s="2"/>
      <c r="C2560" s="2"/>
    </row>
    <row r="2561" spans="1:3" x14ac:dyDescent="0.3">
      <c r="A2561" s="1"/>
      <c r="B2561" s="2"/>
      <c r="C2561" s="2"/>
    </row>
    <row r="2562" spans="1:3" x14ac:dyDescent="0.3">
      <c r="A2562" s="1"/>
      <c r="B2562" s="2"/>
      <c r="C2562" s="2"/>
    </row>
    <row r="2563" spans="1:3" x14ac:dyDescent="0.3">
      <c r="A2563" s="1"/>
      <c r="B2563" s="2"/>
      <c r="C2563" s="2"/>
    </row>
    <row r="2564" spans="1:3" x14ac:dyDescent="0.3">
      <c r="A2564" s="1"/>
      <c r="B2564" s="2"/>
      <c r="C2564" s="2"/>
    </row>
    <row r="2565" spans="1:3" x14ac:dyDescent="0.3">
      <c r="A2565" s="1"/>
      <c r="B2565" s="2"/>
      <c r="C2565" s="2"/>
    </row>
    <row r="2566" spans="1:3" x14ac:dyDescent="0.3">
      <c r="A2566" s="1"/>
      <c r="B2566" s="2"/>
      <c r="C2566" s="2"/>
    </row>
    <row r="2567" spans="1:3" x14ac:dyDescent="0.3">
      <c r="A2567" s="1"/>
      <c r="B2567" s="2"/>
      <c r="C2567" s="2"/>
    </row>
    <row r="2568" spans="1:3" x14ac:dyDescent="0.3">
      <c r="A2568" s="1"/>
      <c r="B2568" s="2"/>
      <c r="C2568" s="2"/>
    </row>
    <row r="2569" spans="1:3" x14ac:dyDescent="0.3">
      <c r="A2569" s="1"/>
      <c r="B2569" s="2"/>
      <c r="C2569" s="2"/>
    </row>
    <row r="2570" spans="1:3" x14ac:dyDescent="0.3">
      <c r="A2570" s="1"/>
      <c r="B2570" s="2"/>
      <c r="C2570" s="2"/>
    </row>
    <row r="2571" spans="1:3" x14ac:dyDescent="0.3">
      <c r="A2571" s="1"/>
      <c r="B2571" s="2"/>
      <c r="C2571" s="2"/>
    </row>
    <row r="2572" spans="1:3" x14ac:dyDescent="0.3">
      <c r="A2572" s="1"/>
      <c r="B2572" s="2"/>
      <c r="C2572" s="2"/>
    </row>
    <row r="2573" spans="1:3" x14ac:dyDescent="0.3">
      <c r="A2573" s="1"/>
      <c r="B2573" s="2"/>
      <c r="C2573" s="2"/>
    </row>
    <row r="2574" spans="1:3" x14ac:dyDescent="0.3">
      <c r="A2574" s="1"/>
      <c r="B2574" s="2"/>
      <c r="C2574" s="2"/>
    </row>
    <row r="2575" spans="1:3" x14ac:dyDescent="0.3">
      <c r="A2575" s="1"/>
      <c r="B2575" s="2"/>
      <c r="C2575" s="2"/>
    </row>
    <row r="2576" spans="1:3" x14ac:dyDescent="0.3">
      <c r="A2576" s="1"/>
      <c r="B2576" s="2"/>
      <c r="C2576" s="2"/>
    </row>
    <row r="2577" spans="1:3" x14ac:dyDescent="0.3">
      <c r="A2577" s="1"/>
      <c r="B2577" s="2"/>
      <c r="C2577" s="2"/>
    </row>
    <row r="2578" spans="1:3" x14ac:dyDescent="0.3">
      <c r="A2578" s="1"/>
      <c r="B2578" s="2"/>
      <c r="C2578" s="2"/>
    </row>
    <row r="2579" spans="1:3" x14ac:dyDescent="0.3">
      <c r="A2579" s="1"/>
      <c r="B2579" s="2"/>
      <c r="C2579" s="2"/>
    </row>
    <row r="2580" spans="1:3" x14ac:dyDescent="0.3">
      <c r="A2580" s="1"/>
      <c r="B2580" s="2"/>
      <c r="C2580" s="2"/>
    </row>
    <row r="2581" spans="1:3" x14ac:dyDescent="0.3">
      <c r="A2581" s="1"/>
      <c r="B2581" s="2"/>
      <c r="C2581" s="2"/>
    </row>
    <row r="2582" spans="1:3" x14ac:dyDescent="0.3">
      <c r="A2582" s="1"/>
      <c r="B2582" s="2"/>
      <c r="C2582" s="2"/>
    </row>
    <row r="2583" spans="1:3" x14ac:dyDescent="0.3">
      <c r="A2583" s="1"/>
      <c r="B2583" s="2"/>
      <c r="C2583" s="2"/>
    </row>
    <row r="2584" spans="1:3" x14ac:dyDescent="0.3">
      <c r="A2584" s="1"/>
      <c r="B2584" s="2"/>
      <c r="C2584" s="2"/>
    </row>
    <row r="2585" spans="1:3" x14ac:dyDescent="0.3">
      <c r="A2585" s="1"/>
      <c r="B2585" s="2"/>
      <c r="C2585" s="2"/>
    </row>
    <row r="2586" spans="1:3" x14ac:dyDescent="0.3">
      <c r="A2586" s="1"/>
      <c r="B2586" s="2"/>
      <c r="C2586" s="2"/>
    </row>
    <row r="2587" spans="1:3" x14ac:dyDescent="0.3">
      <c r="A2587" s="1"/>
      <c r="B2587" s="2"/>
      <c r="C2587" s="2"/>
    </row>
    <row r="2588" spans="1:3" x14ac:dyDescent="0.3">
      <c r="A2588" s="1"/>
      <c r="B2588" s="2"/>
      <c r="C2588" s="2"/>
    </row>
    <row r="2589" spans="1:3" x14ac:dyDescent="0.3">
      <c r="A2589" s="1"/>
      <c r="B2589" s="2"/>
      <c r="C2589" s="2"/>
    </row>
    <row r="2590" spans="1:3" x14ac:dyDescent="0.3">
      <c r="A2590" s="1"/>
      <c r="B2590" s="2"/>
      <c r="C2590" s="2"/>
    </row>
    <row r="2591" spans="1:3" x14ac:dyDescent="0.3">
      <c r="A2591" s="1"/>
      <c r="B2591" s="2"/>
      <c r="C2591" s="2"/>
    </row>
    <row r="2592" spans="1:3" x14ac:dyDescent="0.3">
      <c r="A2592" s="1"/>
      <c r="B2592" s="2"/>
      <c r="C2592" s="2"/>
    </row>
    <row r="2593" spans="1:3" x14ac:dyDescent="0.3">
      <c r="A2593" s="1"/>
      <c r="B2593" s="2"/>
      <c r="C2593" s="2"/>
    </row>
    <row r="2594" spans="1:3" x14ac:dyDescent="0.3">
      <c r="A2594" s="1"/>
      <c r="B2594" s="2"/>
      <c r="C2594" s="2"/>
    </row>
    <row r="2595" spans="1:3" x14ac:dyDescent="0.3">
      <c r="A2595" s="1"/>
      <c r="B2595" s="2"/>
      <c r="C2595" s="2"/>
    </row>
    <row r="2596" spans="1:3" x14ac:dyDescent="0.3">
      <c r="A2596" s="1"/>
      <c r="B2596" s="2"/>
      <c r="C2596" s="2"/>
    </row>
    <row r="2597" spans="1:3" x14ac:dyDescent="0.3">
      <c r="A2597" s="1"/>
      <c r="B2597" s="2"/>
      <c r="C2597" s="2"/>
    </row>
    <row r="2598" spans="1:3" x14ac:dyDescent="0.3">
      <c r="A2598" s="1"/>
      <c r="B2598" s="2"/>
      <c r="C2598" s="2"/>
    </row>
    <row r="2599" spans="1:3" x14ac:dyDescent="0.3">
      <c r="A2599" s="1"/>
      <c r="B2599" s="2"/>
      <c r="C2599" s="2"/>
    </row>
    <row r="2600" spans="1:3" x14ac:dyDescent="0.3">
      <c r="A2600" s="1"/>
      <c r="B2600" s="2"/>
      <c r="C2600" s="2"/>
    </row>
    <row r="2601" spans="1:3" x14ac:dyDescent="0.3">
      <c r="A2601" s="1"/>
      <c r="B2601" s="2"/>
      <c r="C2601" s="2"/>
    </row>
    <row r="2602" spans="1:3" x14ac:dyDescent="0.3">
      <c r="A2602" s="1"/>
      <c r="B2602" s="2"/>
      <c r="C2602" s="2"/>
    </row>
    <row r="2603" spans="1:3" x14ac:dyDescent="0.3">
      <c r="A2603" s="1"/>
      <c r="B2603" s="2"/>
      <c r="C2603" s="2"/>
    </row>
    <row r="2604" spans="1:3" x14ac:dyDescent="0.3">
      <c r="A2604" s="1"/>
      <c r="B2604" s="2"/>
      <c r="C2604" s="2"/>
    </row>
    <row r="2605" spans="1:3" x14ac:dyDescent="0.3">
      <c r="A2605" s="1"/>
      <c r="B2605" s="2"/>
      <c r="C2605" s="2"/>
    </row>
    <row r="2606" spans="1:3" x14ac:dyDescent="0.3">
      <c r="A2606" s="1"/>
      <c r="B2606" s="2"/>
      <c r="C2606" s="2"/>
    </row>
    <row r="2607" spans="1:3" x14ac:dyDescent="0.3">
      <c r="A2607" s="1"/>
      <c r="B2607" s="2"/>
      <c r="C2607" s="2"/>
    </row>
    <row r="2608" spans="1:3" x14ac:dyDescent="0.3">
      <c r="A2608" s="1"/>
      <c r="B2608" s="2"/>
      <c r="C2608" s="2"/>
    </row>
    <row r="2609" spans="1:3" x14ac:dyDescent="0.3">
      <c r="A2609" s="1"/>
      <c r="B2609" s="2"/>
      <c r="C2609" s="2"/>
    </row>
    <row r="2610" spans="1:3" x14ac:dyDescent="0.3">
      <c r="A2610" s="1"/>
      <c r="B2610" s="2"/>
      <c r="C2610" s="2"/>
    </row>
    <row r="2611" spans="1:3" x14ac:dyDescent="0.3">
      <c r="A2611" s="1"/>
      <c r="B2611" s="2"/>
      <c r="C2611" s="2"/>
    </row>
    <row r="2612" spans="1:3" x14ac:dyDescent="0.3">
      <c r="A2612" s="1"/>
      <c r="B2612" s="2"/>
      <c r="C2612" s="2"/>
    </row>
    <row r="2613" spans="1:3" x14ac:dyDescent="0.3">
      <c r="A2613" s="1"/>
      <c r="B2613" s="2"/>
      <c r="C2613" s="2"/>
    </row>
    <row r="2614" spans="1:3" x14ac:dyDescent="0.3">
      <c r="A2614" s="1"/>
      <c r="B2614" s="2"/>
      <c r="C2614" s="2"/>
    </row>
    <row r="2615" spans="1:3" x14ac:dyDescent="0.3">
      <c r="A2615" s="1"/>
      <c r="B2615" s="2"/>
      <c r="C2615" s="2"/>
    </row>
    <row r="2616" spans="1:3" x14ac:dyDescent="0.3">
      <c r="A2616" s="1"/>
      <c r="B2616" s="2"/>
      <c r="C2616" s="2"/>
    </row>
    <row r="2617" spans="1:3" x14ac:dyDescent="0.3">
      <c r="A2617" s="1"/>
      <c r="B2617" s="2"/>
      <c r="C2617" s="2"/>
    </row>
    <row r="2618" spans="1:3" x14ac:dyDescent="0.3">
      <c r="A2618" s="1"/>
      <c r="B2618" s="2"/>
      <c r="C2618" s="2"/>
    </row>
    <row r="2619" spans="1:3" x14ac:dyDescent="0.3">
      <c r="A2619" s="1"/>
      <c r="B2619" s="2"/>
      <c r="C2619" s="2"/>
    </row>
    <row r="2620" spans="1:3" x14ac:dyDescent="0.3">
      <c r="A2620" s="1"/>
      <c r="B2620" s="2"/>
      <c r="C2620" s="2"/>
    </row>
    <row r="2621" spans="1:3" x14ac:dyDescent="0.3">
      <c r="A2621" s="1"/>
      <c r="B2621" s="2"/>
      <c r="C2621" s="2"/>
    </row>
    <row r="2622" spans="1:3" x14ac:dyDescent="0.3">
      <c r="A2622" s="1"/>
      <c r="B2622" s="2"/>
      <c r="C2622" s="2"/>
    </row>
    <row r="2623" spans="1:3" x14ac:dyDescent="0.3">
      <c r="A2623" s="1"/>
      <c r="B2623" s="2"/>
      <c r="C2623" s="2"/>
    </row>
    <row r="2624" spans="1:3" x14ac:dyDescent="0.3">
      <c r="A2624" s="1"/>
      <c r="B2624" s="2"/>
      <c r="C2624" s="2"/>
    </row>
    <row r="2625" spans="1:3" x14ac:dyDescent="0.3">
      <c r="A2625" s="1"/>
      <c r="B2625" s="2"/>
      <c r="C2625" s="2"/>
    </row>
    <row r="2626" spans="1:3" x14ac:dyDescent="0.3">
      <c r="A2626" s="1"/>
      <c r="B2626" s="2"/>
      <c r="C2626" s="2"/>
    </row>
    <row r="2627" spans="1:3" x14ac:dyDescent="0.3">
      <c r="A2627" s="1"/>
      <c r="B2627" s="2"/>
      <c r="C2627" s="2"/>
    </row>
    <row r="2628" spans="1:3" x14ac:dyDescent="0.3">
      <c r="A2628" s="1"/>
      <c r="B2628" s="2"/>
      <c r="C2628" s="2"/>
    </row>
    <row r="2629" spans="1:3" x14ac:dyDescent="0.3">
      <c r="A2629" s="1"/>
      <c r="B2629" s="2"/>
      <c r="C2629" s="2"/>
    </row>
    <row r="2630" spans="1:3" x14ac:dyDescent="0.3">
      <c r="A2630" s="1"/>
      <c r="B2630" s="2"/>
      <c r="C2630" s="2"/>
    </row>
    <row r="2631" spans="1:3" x14ac:dyDescent="0.3">
      <c r="A2631" s="1"/>
      <c r="B2631" s="2"/>
      <c r="C2631" s="2"/>
    </row>
    <row r="2632" spans="1:3" x14ac:dyDescent="0.3">
      <c r="A2632" s="1"/>
      <c r="B2632" s="2"/>
      <c r="C2632" s="2"/>
    </row>
    <row r="2633" spans="1:3" x14ac:dyDescent="0.3">
      <c r="A2633" s="1"/>
      <c r="B2633" s="2"/>
      <c r="C2633" s="2"/>
    </row>
    <row r="2634" spans="1:3" x14ac:dyDescent="0.3">
      <c r="A2634" s="1"/>
      <c r="B2634" s="2"/>
      <c r="C2634" s="2"/>
    </row>
    <row r="2635" spans="1:3" x14ac:dyDescent="0.3">
      <c r="A2635" s="1"/>
      <c r="B2635" s="2"/>
      <c r="C2635" s="2"/>
    </row>
    <row r="2636" spans="1:3" x14ac:dyDescent="0.3">
      <c r="A2636" s="1"/>
      <c r="B2636" s="2"/>
      <c r="C2636" s="2"/>
    </row>
    <row r="2637" spans="1:3" x14ac:dyDescent="0.3">
      <c r="A2637" s="1"/>
      <c r="B2637" s="2"/>
      <c r="C2637" s="2"/>
    </row>
    <row r="2638" spans="1:3" x14ac:dyDescent="0.3">
      <c r="A2638" s="1"/>
      <c r="B2638" s="2"/>
      <c r="C2638" s="2"/>
    </row>
    <row r="2639" spans="1:3" x14ac:dyDescent="0.3">
      <c r="A2639" s="1"/>
      <c r="B2639" s="2"/>
      <c r="C2639" s="2"/>
    </row>
    <row r="2640" spans="1:3" x14ac:dyDescent="0.3">
      <c r="A2640" s="1"/>
      <c r="B2640" s="2"/>
      <c r="C2640" s="2"/>
    </row>
    <row r="2641" spans="1:3" x14ac:dyDescent="0.3">
      <c r="A2641" s="1"/>
      <c r="B2641" s="2"/>
      <c r="C2641" s="2"/>
    </row>
    <row r="2642" spans="1:3" x14ac:dyDescent="0.3">
      <c r="A2642" s="1"/>
      <c r="B2642" s="2"/>
      <c r="C2642" s="2"/>
    </row>
    <row r="2643" spans="1:3" x14ac:dyDescent="0.3">
      <c r="A2643" s="1"/>
      <c r="B2643" s="2"/>
      <c r="C2643" s="2"/>
    </row>
    <row r="2644" spans="1:3" x14ac:dyDescent="0.3">
      <c r="A2644" s="1"/>
      <c r="B2644" s="2"/>
      <c r="C2644" s="2"/>
    </row>
    <row r="2645" spans="1:3" x14ac:dyDescent="0.3">
      <c r="A2645" s="1"/>
      <c r="B2645" s="2"/>
      <c r="C2645" s="2"/>
    </row>
    <row r="2646" spans="1:3" x14ac:dyDescent="0.3">
      <c r="A2646" s="1"/>
      <c r="B2646" s="2"/>
      <c r="C2646" s="2"/>
    </row>
    <row r="2647" spans="1:3" x14ac:dyDescent="0.3">
      <c r="A2647" s="1"/>
      <c r="B2647" s="2"/>
      <c r="C2647" s="2"/>
    </row>
    <row r="2648" spans="1:3" x14ac:dyDescent="0.3">
      <c r="A2648" s="1"/>
      <c r="B2648" s="2"/>
      <c r="C2648" s="2"/>
    </row>
    <row r="2649" spans="1:3" x14ac:dyDescent="0.3">
      <c r="A2649" s="1"/>
      <c r="B2649" s="2"/>
      <c r="C2649" s="2"/>
    </row>
    <row r="2650" spans="1:3" x14ac:dyDescent="0.3">
      <c r="A2650" s="1"/>
      <c r="B2650" s="2"/>
      <c r="C2650" s="2"/>
    </row>
    <row r="2651" spans="1:3" x14ac:dyDescent="0.3">
      <c r="A2651" s="1"/>
      <c r="B2651" s="2"/>
      <c r="C2651" s="2"/>
    </row>
    <row r="2652" spans="1:3" x14ac:dyDescent="0.3">
      <c r="A2652" s="1"/>
      <c r="B2652" s="2"/>
      <c r="C2652" s="2"/>
    </row>
    <row r="2653" spans="1:3" x14ac:dyDescent="0.3">
      <c r="A2653" s="1"/>
      <c r="B2653" s="2"/>
      <c r="C2653" s="2"/>
    </row>
    <row r="2654" spans="1:3" x14ac:dyDescent="0.3">
      <c r="A2654" s="1"/>
      <c r="B2654" s="2"/>
      <c r="C2654" s="2"/>
    </row>
    <row r="2655" spans="1:3" x14ac:dyDescent="0.3">
      <c r="A2655" s="1"/>
      <c r="B2655" s="2"/>
      <c r="C2655" s="2"/>
    </row>
    <row r="2656" spans="1:3" x14ac:dyDescent="0.3">
      <c r="A2656" s="1"/>
      <c r="B2656" s="2"/>
      <c r="C2656" s="2"/>
    </row>
    <row r="2657" spans="1:3" x14ac:dyDescent="0.3">
      <c r="A2657" s="1"/>
      <c r="B2657" s="2"/>
      <c r="C2657" s="2"/>
    </row>
    <row r="2658" spans="1:3" x14ac:dyDescent="0.3">
      <c r="A2658" s="1"/>
      <c r="B2658" s="2"/>
      <c r="C2658" s="2"/>
    </row>
    <row r="2659" spans="1:3" x14ac:dyDescent="0.3">
      <c r="A2659" s="1"/>
      <c r="B2659" s="2"/>
      <c r="C2659" s="2"/>
    </row>
    <row r="2660" spans="1:3" x14ac:dyDescent="0.3">
      <c r="A2660" s="1"/>
      <c r="B2660" s="2"/>
      <c r="C2660" s="2"/>
    </row>
    <row r="2661" spans="1:3" x14ac:dyDescent="0.3">
      <c r="A2661" s="1"/>
      <c r="B2661" s="2"/>
      <c r="C2661" s="2"/>
    </row>
    <row r="2662" spans="1:3" x14ac:dyDescent="0.3">
      <c r="A2662" s="1"/>
      <c r="B2662" s="2"/>
      <c r="C2662" s="2"/>
    </row>
    <row r="2663" spans="1:3" x14ac:dyDescent="0.3">
      <c r="A2663" s="1"/>
      <c r="B2663" s="2"/>
      <c r="C2663" s="2"/>
    </row>
    <row r="2664" spans="1:3" x14ac:dyDescent="0.3">
      <c r="A2664" s="1"/>
      <c r="B2664" s="2"/>
      <c r="C2664" s="2"/>
    </row>
    <row r="2665" spans="1:3" x14ac:dyDescent="0.3">
      <c r="A2665" s="1"/>
      <c r="B2665" s="2"/>
      <c r="C2665" s="2"/>
    </row>
    <row r="2666" spans="1:3" x14ac:dyDescent="0.3">
      <c r="A2666" s="1"/>
      <c r="B2666" s="2"/>
      <c r="C2666" s="2"/>
    </row>
    <row r="2667" spans="1:3" x14ac:dyDescent="0.3">
      <c r="A2667" s="1"/>
      <c r="B2667" s="2"/>
      <c r="C2667" s="2"/>
    </row>
    <row r="2668" spans="1:3" x14ac:dyDescent="0.3">
      <c r="A2668" s="1"/>
      <c r="B2668" s="2"/>
      <c r="C2668" s="2"/>
    </row>
    <row r="2669" spans="1:3" x14ac:dyDescent="0.3">
      <c r="A2669" s="1"/>
      <c r="B2669" s="2"/>
      <c r="C2669" s="2"/>
    </row>
    <row r="2670" spans="1:3" x14ac:dyDescent="0.3">
      <c r="A2670" s="1"/>
      <c r="B2670" s="2"/>
      <c r="C2670" s="2"/>
    </row>
    <row r="2671" spans="1:3" x14ac:dyDescent="0.3">
      <c r="A2671" s="1"/>
      <c r="B2671" s="2"/>
      <c r="C2671" s="2"/>
    </row>
    <row r="2672" spans="1:3" x14ac:dyDescent="0.3">
      <c r="A2672" s="1"/>
      <c r="B2672" s="2"/>
      <c r="C2672" s="2"/>
    </row>
    <row r="2673" spans="1:3" x14ac:dyDescent="0.3">
      <c r="A2673" s="1"/>
      <c r="B2673" s="2"/>
      <c r="C2673" s="2"/>
    </row>
    <row r="2674" spans="1:3" x14ac:dyDescent="0.3">
      <c r="A2674" s="1"/>
      <c r="B2674" s="2"/>
      <c r="C2674" s="2"/>
    </row>
    <row r="2675" spans="1:3" x14ac:dyDescent="0.3">
      <c r="A2675" s="1"/>
      <c r="B2675" s="2"/>
      <c r="C2675" s="2"/>
    </row>
    <row r="2676" spans="1:3" x14ac:dyDescent="0.3">
      <c r="A2676" s="1"/>
      <c r="B2676" s="2"/>
      <c r="C2676" s="2"/>
    </row>
    <row r="2677" spans="1:3" x14ac:dyDescent="0.3">
      <c r="A2677" s="1"/>
      <c r="B2677" s="2"/>
      <c r="C2677" s="2"/>
    </row>
    <row r="2678" spans="1:3" x14ac:dyDescent="0.3">
      <c r="A2678" s="1"/>
      <c r="B2678" s="2"/>
      <c r="C2678" s="2"/>
    </row>
    <row r="2679" spans="1:3" x14ac:dyDescent="0.3">
      <c r="A2679" s="1"/>
      <c r="B2679" s="2"/>
      <c r="C2679" s="2"/>
    </row>
    <row r="2680" spans="1:3" x14ac:dyDescent="0.3">
      <c r="A2680" s="1"/>
      <c r="B2680" s="2"/>
      <c r="C2680" s="2"/>
    </row>
    <row r="2681" spans="1:3" x14ac:dyDescent="0.3">
      <c r="A2681" s="1"/>
      <c r="B2681" s="2"/>
      <c r="C2681" s="2"/>
    </row>
    <row r="2682" spans="1:3" x14ac:dyDescent="0.3">
      <c r="A2682" s="1"/>
      <c r="B2682" s="2"/>
      <c r="C2682" s="2"/>
    </row>
    <row r="2683" spans="1:3" x14ac:dyDescent="0.3">
      <c r="A2683" s="1"/>
      <c r="B2683" s="2"/>
      <c r="C2683" s="2"/>
    </row>
    <row r="2684" spans="1:3" x14ac:dyDescent="0.3">
      <c r="A2684" s="1"/>
      <c r="B2684" s="2"/>
      <c r="C2684" s="2"/>
    </row>
    <row r="2685" spans="1:3" x14ac:dyDescent="0.3">
      <c r="A2685" s="1"/>
      <c r="B2685" s="2"/>
      <c r="C2685" s="2"/>
    </row>
    <row r="2686" spans="1:3" x14ac:dyDescent="0.3">
      <c r="A2686" s="1"/>
      <c r="B2686" s="2"/>
      <c r="C2686" s="2"/>
    </row>
    <row r="2687" spans="1:3" x14ac:dyDescent="0.3">
      <c r="A2687" s="1"/>
      <c r="B2687" s="2"/>
      <c r="C2687" s="2"/>
    </row>
    <row r="2688" spans="1:3" x14ac:dyDescent="0.3">
      <c r="A2688" s="1"/>
      <c r="B2688" s="2"/>
      <c r="C2688" s="2"/>
    </row>
    <row r="2689" spans="1:3" x14ac:dyDescent="0.3">
      <c r="A2689" s="1"/>
      <c r="B2689" s="2"/>
      <c r="C2689" s="2"/>
    </row>
    <row r="2690" spans="1:3" x14ac:dyDescent="0.3">
      <c r="A2690" s="1"/>
      <c r="B2690" s="2"/>
      <c r="C2690" s="2"/>
    </row>
    <row r="2691" spans="1:3" x14ac:dyDescent="0.3">
      <c r="A2691" s="1"/>
      <c r="B2691" s="2"/>
      <c r="C2691" s="2"/>
    </row>
    <row r="2692" spans="1:3" x14ac:dyDescent="0.3">
      <c r="A2692" s="1"/>
      <c r="B2692" s="2"/>
      <c r="C2692" s="2"/>
    </row>
    <row r="2693" spans="1:3" x14ac:dyDescent="0.3">
      <c r="A2693" s="1"/>
      <c r="B2693" s="2"/>
      <c r="C2693" s="2"/>
    </row>
    <row r="2694" spans="1:3" x14ac:dyDescent="0.3">
      <c r="A2694" s="1"/>
      <c r="B2694" s="2"/>
      <c r="C2694" s="2"/>
    </row>
    <row r="2695" spans="1:3" x14ac:dyDescent="0.3">
      <c r="A2695" s="1"/>
      <c r="B2695" s="2"/>
      <c r="C2695" s="2"/>
    </row>
    <row r="2696" spans="1:3" x14ac:dyDescent="0.3">
      <c r="A2696" s="1"/>
      <c r="B2696" s="2"/>
      <c r="C2696" s="2"/>
    </row>
    <row r="2697" spans="1:3" x14ac:dyDescent="0.3">
      <c r="A2697" s="1"/>
      <c r="B2697" s="2"/>
      <c r="C2697" s="2"/>
    </row>
    <row r="2698" spans="1:3" x14ac:dyDescent="0.3">
      <c r="A2698" s="1"/>
      <c r="B2698" s="2"/>
      <c r="C2698" s="2"/>
    </row>
    <row r="2699" spans="1:3" x14ac:dyDescent="0.3">
      <c r="A2699" s="1"/>
      <c r="B2699" s="2"/>
      <c r="C2699" s="2"/>
    </row>
    <row r="2700" spans="1:3" x14ac:dyDescent="0.3">
      <c r="A2700" s="1"/>
      <c r="B2700" s="2"/>
      <c r="C2700" s="2"/>
    </row>
    <row r="2701" spans="1:3" x14ac:dyDescent="0.3">
      <c r="A2701" s="1"/>
      <c r="B2701" s="2"/>
      <c r="C2701" s="2"/>
    </row>
    <row r="2702" spans="1:3" x14ac:dyDescent="0.3">
      <c r="A2702" s="1"/>
      <c r="B2702" s="2"/>
      <c r="C2702" s="2"/>
    </row>
    <row r="2703" spans="1:3" x14ac:dyDescent="0.3">
      <c r="A2703" s="1"/>
      <c r="B2703" s="2"/>
      <c r="C2703" s="2"/>
    </row>
    <row r="2704" spans="1:3" x14ac:dyDescent="0.3">
      <c r="A2704" s="1"/>
      <c r="B2704" s="2"/>
      <c r="C2704" s="2"/>
    </row>
    <row r="2705" spans="1:3" x14ac:dyDescent="0.3">
      <c r="A2705" s="1"/>
      <c r="B2705" s="2"/>
      <c r="C2705" s="2"/>
    </row>
    <row r="2706" spans="1:3" x14ac:dyDescent="0.3">
      <c r="A2706" s="1"/>
      <c r="B2706" s="2"/>
      <c r="C2706" s="2"/>
    </row>
    <row r="2707" spans="1:3" x14ac:dyDescent="0.3">
      <c r="A2707" s="1"/>
      <c r="B2707" s="2"/>
      <c r="C2707" s="2"/>
    </row>
    <row r="2708" spans="1:3" x14ac:dyDescent="0.3">
      <c r="A2708" s="1"/>
      <c r="B2708" s="2"/>
      <c r="C2708" s="2"/>
    </row>
    <row r="2709" spans="1:3" x14ac:dyDescent="0.3">
      <c r="A2709" s="1"/>
      <c r="B2709" s="2"/>
      <c r="C2709" s="2"/>
    </row>
    <row r="2710" spans="1:3" x14ac:dyDescent="0.3">
      <c r="A2710" s="1"/>
      <c r="B2710" s="2"/>
      <c r="C2710" s="2"/>
    </row>
    <row r="2711" spans="1:3" x14ac:dyDescent="0.3">
      <c r="A2711" s="1"/>
      <c r="B2711" s="2"/>
      <c r="C2711" s="2"/>
    </row>
    <row r="2712" spans="1:3" x14ac:dyDescent="0.3">
      <c r="A2712" s="1"/>
      <c r="B2712" s="2"/>
      <c r="C2712" s="2"/>
    </row>
    <row r="2713" spans="1:3" x14ac:dyDescent="0.3">
      <c r="A2713" s="1"/>
      <c r="B2713" s="2"/>
      <c r="C2713" s="2"/>
    </row>
    <row r="2714" spans="1:3" x14ac:dyDescent="0.3">
      <c r="A2714" s="1"/>
      <c r="B2714" s="2"/>
      <c r="C2714" s="2"/>
    </row>
    <row r="2715" spans="1:3" x14ac:dyDescent="0.3">
      <c r="A2715" s="1"/>
      <c r="B2715" s="2"/>
      <c r="C2715" s="2"/>
    </row>
    <row r="2716" spans="1:3" x14ac:dyDescent="0.3">
      <c r="A2716" s="1"/>
      <c r="B2716" s="2"/>
      <c r="C2716" s="2"/>
    </row>
    <row r="2717" spans="1:3" x14ac:dyDescent="0.3">
      <c r="A2717" s="1"/>
      <c r="B2717" s="2"/>
      <c r="C2717" s="2"/>
    </row>
    <row r="2718" spans="1:3" x14ac:dyDescent="0.3">
      <c r="A2718" s="1"/>
      <c r="B2718" s="2"/>
      <c r="C2718" s="2"/>
    </row>
    <row r="2719" spans="1:3" x14ac:dyDescent="0.3">
      <c r="A2719" s="1"/>
      <c r="B2719" s="2"/>
      <c r="C2719" s="2"/>
    </row>
    <row r="2720" spans="1:3" x14ac:dyDescent="0.3">
      <c r="A2720" s="1"/>
      <c r="B2720" s="2"/>
      <c r="C2720" s="2"/>
    </row>
    <row r="2721" spans="1:3" x14ac:dyDescent="0.3">
      <c r="A2721" s="1"/>
      <c r="B2721" s="2"/>
      <c r="C2721" s="2"/>
    </row>
    <row r="2722" spans="1:3" x14ac:dyDescent="0.3">
      <c r="A2722" s="1"/>
      <c r="B2722" s="2"/>
      <c r="C2722" s="2"/>
    </row>
    <row r="2723" spans="1:3" x14ac:dyDescent="0.3">
      <c r="A2723" s="1"/>
      <c r="B2723" s="2"/>
      <c r="C2723" s="2"/>
    </row>
    <row r="2724" spans="1:3" x14ac:dyDescent="0.3">
      <c r="A2724" s="1"/>
      <c r="B2724" s="2"/>
      <c r="C2724" s="2"/>
    </row>
    <row r="2725" spans="1:3" x14ac:dyDescent="0.3">
      <c r="A2725" s="1"/>
      <c r="B2725" s="2"/>
      <c r="C2725" s="2"/>
    </row>
    <row r="2726" spans="1:3" x14ac:dyDescent="0.3">
      <c r="A2726" s="1"/>
      <c r="B2726" s="2"/>
      <c r="C2726" s="2"/>
    </row>
    <row r="2727" spans="1:3" x14ac:dyDescent="0.3">
      <c r="A2727" s="1"/>
      <c r="B2727" s="2"/>
      <c r="C2727" s="2"/>
    </row>
    <row r="2728" spans="1:3" x14ac:dyDescent="0.3">
      <c r="A2728" s="1"/>
      <c r="B2728" s="2"/>
      <c r="C2728" s="2"/>
    </row>
    <row r="2729" spans="1:3" x14ac:dyDescent="0.3">
      <c r="A2729" s="1"/>
      <c r="B2729" s="2"/>
      <c r="C2729" s="2"/>
    </row>
    <row r="2730" spans="1:3" x14ac:dyDescent="0.3">
      <c r="A2730" s="1"/>
      <c r="B2730" s="2"/>
      <c r="C2730" s="2"/>
    </row>
    <row r="2731" spans="1:3" x14ac:dyDescent="0.3">
      <c r="A2731" s="1"/>
      <c r="B2731" s="2"/>
      <c r="C2731" s="2"/>
    </row>
    <row r="2732" spans="1:3" x14ac:dyDescent="0.3">
      <c r="A2732" s="1"/>
      <c r="B2732" s="2"/>
      <c r="C2732" s="2"/>
    </row>
    <row r="2733" spans="1:3" x14ac:dyDescent="0.3">
      <c r="A2733" s="1"/>
      <c r="B2733" s="2"/>
      <c r="C2733" s="2"/>
    </row>
    <row r="2734" spans="1:3" x14ac:dyDescent="0.3">
      <c r="A2734" s="1"/>
      <c r="B2734" s="2"/>
      <c r="C2734" s="2"/>
    </row>
    <row r="2735" spans="1:3" x14ac:dyDescent="0.3">
      <c r="A2735" s="1"/>
      <c r="B2735" s="2"/>
      <c r="C2735" s="2"/>
    </row>
    <row r="2736" spans="1:3" x14ac:dyDescent="0.3">
      <c r="A2736" s="1"/>
      <c r="B2736" s="2"/>
      <c r="C2736" s="2"/>
    </row>
    <row r="2737" spans="1:3" x14ac:dyDescent="0.3">
      <c r="A2737" s="1"/>
      <c r="B2737" s="2"/>
      <c r="C2737" s="2"/>
    </row>
    <row r="2738" spans="1:3" x14ac:dyDescent="0.3">
      <c r="A2738" s="1"/>
      <c r="B2738" s="2"/>
      <c r="C2738" s="2"/>
    </row>
    <row r="2739" spans="1:3" x14ac:dyDescent="0.3">
      <c r="A2739" s="1"/>
      <c r="B2739" s="2"/>
      <c r="C2739" s="2"/>
    </row>
    <row r="2740" spans="1:3" x14ac:dyDescent="0.3">
      <c r="A2740" s="1"/>
      <c r="B2740" s="2"/>
      <c r="C2740" s="2"/>
    </row>
    <row r="2741" spans="1:3" x14ac:dyDescent="0.3">
      <c r="A2741" s="1"/>
      <c r="B2741" s="2"/>
      <c r="C2741" s="2"/>
    </row>
    <row r="2742" spans="1:3" x14ac:dyDescent="0.3">
      <c r="A2742" s="1"/>
      <c r="B2742" s="2"/>
      <c r="C2742" s="2"/>
    </row>
    <row r="2743" spans="1:3" x14ac:dyDescent="0.3">
      <c r="A2743" s="1"/>
      <c r="B2743" s="2"/>
      <c r="C2743" s="2"/>
    </row>
    <row r="2744" spans="1:3" x14ac:dyDescent="0.3">
      <c r="A2744" s="1"/>
      <c r="B2744" s="2"/>
      <c r="C2744" s="2"/>
    </row>
    <row r="2745" spans="1:3" x14ac:dyDescent="0.3">
      <c r="A2745" s="1"/>
      <c r="B2745" s="2"/>
      <c r="C2745" s="2"/>
    </row>
    <row r="2746" spans="1:3" x14ac:dyDescent="0.3">
      <c r="A2746" s="1"/>
      <c r="B2746" s="2"/>
      <c r="C2746" s="2"/>
    </row>
    <row r="2747" spans="1:3" x14ac:dyDescent="0.3">
      <c r="A2747" s="1"/>
      <c r="B2747" s="2"/>
      <c r="C2747" s="2"/>
    </row>
    <row r="2748" spans="1:3" x14ac:dyDescent="0.3">
      <c r="A2748" s="1"/>
      <c r="B2748" s="2"/>
      <c r="C2748" s="2"/>
    </row>
    <row r="2749" spans="1:3" x14ac:dyDescent="0.3">
      <c r="A2749" s="1"/>
      <c r="B2749" s="2"/>
      <c r="C2749" s="2"/>
    </row>
    <row r="2750" spans="1:3" x14ac:dyDescent="0.3">
      <c r="A2750" s="1"/>
      <c r="B2750" s="2"/>
      <c r="C2750" s="2"/>
    </row>
    <row r="2751" spans="1:3" x14ac:dyDescent="0.3">
      <c r="A2751" s="1"/>
      <c r="B2751" s="2"/>
      <c r="C2751" s="2"/>
    </row>
    <row r="2752" spans="1:3" x14ac:dyDescent="0.3">
      <c r="A2752" s="1"/>
      <c r="B2752" s="2"/>
      <c r="C2752" s="2"/>
    </row>
    <row r="2753" spans="1:3" x14ac:dyDescent="0.3">
      <c r="A2753" s="1"/>
      <c r="B2753" s="2"/>
      <c r="C2753" s="2"/>
    </row>
    <row r="2754" spans="1:3" x14ac:dyDescent="0.3">
      <c r="A2754" s="1"/>
      <c r="B2754" s="2"/>
      <c r="C2754" s="2"/>
    </row>
    <row r="2755" spans="1:3" x14ac:dyDescent="0.3">
      <c r="A2755" s="1"/>
      <c r="B2755" s="2"/>
      <c r="C2755" s="2"/>
    </row>
    <row r="2756" spans="1:3" x14ac:dyDescent="0.3">
      <c r="A2756" s="1"/>
      <c r="B2756" s="2"/>
      <c r="C2756" s="2"/>
    </row>
    <row r="2757" spans="1:3" x14ac:dyDescent="0.3">
      <c r="A2757" s="1"/>
      <c r="B2757" s="2"/>
      <c r="C2757" s="2"/>
    </row>
    <row r="2758" spans="1:3" x14ac:dyDescent="0.3">
      <c r="A2758" s="1"/>
      <c r="B2758" s="2"/>
      <c r="C2758" s="2"/>
    </row>
    <row r="2759" spans="1:3" x14ac:dyDescent="0.3">
      <c r="A2759" s="1"/>
      <c r="B2759" s="2"/>
      <c r="C2759" s="2"/>
    </row>
    <row r="2760" spans="1:3" x14ac:dyDescent="0.3">
      <c r="A2760" s="1"/>
      <c r="B2760" s="2"/>
      <c r="C2760" s="2"/>
    </row>
    <row r="2761" spans="1:3" x14ac:dyDescent="0.3">
      <c r="A2761" s="1"/>
      <c r="B2761" s="2"/>
      <c r="C2761" s="2"/>
    </row>
    <row r="2762" spans="1:3" x14ac:dyDescent="0.3">
      <c r="A2762" s="1"/>
      <c r="B2762" s="2"/>
      <c r="C2762" s="2"/>
    </row>
    <row r="2763" spans="1:3" x14ac:dyDescent="0.3">
      <c r="A2763" s="1"/>
      <c r="B2763" s="2"/>
      <c r="C2763" s="2"/>
    </row>
    <row r="2764" spans="1:3" x14ac:dyDescent="0.3">
      <c r="A2764" s="1"/>
      <c r="B2764" s="2"/>
      <c r="C2764" s="2"/>
    </row>
    <row r="2765" spans="1:3" x14ac:dyDescent="0.3">
      <c r="A2765" s="1"/>
      <c r="B2765" s="2"/>
      <c r="C2765" s="2"/>
    </row>
    <row r="2766" spans="1:3" x14ac:dyDescent="0.3">
      <c r="A2766" s="1"/>
      <c r="B2766" s="2"/>
      <c r="C2766" s="2"/>
    </row>
    <row r="2767" spans="1:3" x14ac:dyDescent="0.3">
      <c r="A2767" s="1"/>
      <c r="B2767" s="2"/>
      <c r="C2767" s="2"/>
    </row>
    <row r="2768" spans="1:3" x14ac:dyDescent="0.3">
      <c r="A2768" s="1"/>
      <c r="B2768" s="2"/>
      <c r="C2768" s="2"/>
    </row>
    <row r="2769" spans="1:3" x14ac:dyDescent="0.3">
      <c r="A2769" s="1"/>
      <c r="B2769" s="2"/>
      <c r="C2769" s="2"/>
    </row>
    <row r="2770" spans="1:3" x14ac:dyDescent="0.3">
      <c r="A2770" s="1"/>
      <c r="B2770" s="2"/>
      <c r="C2770" s="2"/>
    </row>
    <row r="2771" spans="1:3" x14ac:dyDescent="0.3">
      <c r="A2771" s="1"/>
      <c r="B2771" s="2"/>
      <c r="C2771" s="2"/>
    </row>
    <row r="2772" spans="1:3" x14ac:dyDescent="0.3">
      <c r="A2772" s="1"/>
      <c r="B2772" s="2"/>
      <c r="C2772" s="2"/>
    </row>
    <row r="2773" spans="1:3" x14ac:dyDescent="0.3">
      <c r="A2773" s="1"/>
      <c r="B2773" s="2"/>
      <c r="C2773" s="2"/>
    </row>
    <row r="2774" spans="1:3" x14ac:dyDescent="0.3">
      <c r="A2774" s="1"/>
      <c r="B2774" s="2"/>
      <c r="C2774" s="2"/>
    </row>
    <row r="2775" spans="1:3" x14ac:dyDescent="0.3">
      <c r="A2775" s="1"/>
      <c r="B2775" s="2"/>
      <c r="C2775" s="2"/>
    </row>
    <row r="2776" spans="1:3" x14ac:dyDescent="0.3">
      <c r="A2776" s="1"/>
      <c r="B2776" s="2"/>
      <c r="C2776" s="2"/>
    </row>
    <row r="2777" spans="1:3" x14ac:dyDescent="0.3">
      <c r="A2777" s="1"/>
      <c r="B2777" s="2"/>
      <c r="C2777" s="2"/>
    </row>
    <row r="2778" spans="1:3" x14ac:dyDescent="0.3">
      <c r="A2778" s="1"/>
      <c r="B2778" s="2"/>
      <c r="C2778" s="2"/>
    </row>
    <row r="2779" spans="1:3" x14ac:dyDescent="0.3">
      <c r="A2779" s="1"/>
      <c r="B2779" s="2"/>
      <c r="C2779" s="2"/>
    </row>
    <row r="2780" spans="1:3" x14ac:dyDescent="0.3">
      <c r="A2780" s="1"/>
      <c r="B2780" s="2"/>
      <c r="C2780" s="2"/>
    </row>
    <row r="2781" spans="1:3" x14ac:dyDescent="0.3">
      <c r="A2781" s="1"/>
      <c r="B2781" s="2"/>
      <c r="C2781" s="2"/>
    </row>
    <row r="2782" spans="1:3" x14ac:dyDescent="0.3">
      <c r="A2782" s="1"/>
      <c r="B2782" s="2"/>
      <c r="C2782" s="2"/>
    </row>
    <row r="2783" spans="1:3" x14ac:dyDescent="0.3">
      <c r="A2783" s="1"/>
      <c r="B2783" s="2"/>
      <c r="C2783" s="2"/>
    </row>
    <row r="2784" spans="1:3" x14ac:dyDescent="0.3">
      <c r="A2784" s="1"/>
      <c r="B2784" s="2"/>
      <c r="C2784" s="2"/>
    </row>
    <row r="2785" spans="1:3" x14ac:dyDescent="0.3">
      <c r="A2785" s="1"/>
      <c r="B2785" s="2"/>
      <c r="C2785" s="2"/>
    </row>
    <row r="2786" spans="1:3" x14ac:dyDescent="0.3">
      <c r="A2786" s="1"/>
      <c r="B2786" s="2"/>
      <c r="C2786" s="2"/>
    </row>
    <row r="2787" spans="1:3" x14ac:dyDescent="0.3">
      <c r="A2787" s="1"/>
      <c r="B2787" s="2"/>
      <c r="C2787" s="2"/>
    </row>
    <row r="2788" spans="1:3" x14ac:dyDescent="0.3">
      <c r="A2788" s="1"/>
      <c r="B2788" s="2"/>
      <c r="C2788" s="2"/>
    </row>
    <row r="2789" spans="1:3" x14ac:dyDescent="0.3">
      <c r="A2789" s="1"/>
      <c r="B2789" s="2"/>
      <c r="C2789" s="2"/>
    </row>
    <row r="2790" spans="1:3" x14ac:dyDescent="0.3">
      <c r="A2790" s="1"/>
      <c r="B2790" s="2"/>
      <c r="C2790" s="2"/>
    </row>
    <row r="2791" spans="1:3" x14ac:dyDescent="0.3">
      <c r="A2791" s="1"/>
      <c r="B2791" s="2"/>
      <c r="C2791" s="2"/>
    </row>
    <row r="2792" spans="1:3" x14ac:dyDescent="0.3">
      <c r="A2792" s="1"/>
      <c r="B2792" s="2"/>
      <c r="C2792" s="2"/>
    </row>
    <row r="2793" spans="1:3" x14ac:dyDescent="0.3">
      <c r="A2793" s="1"/>
      <c r="B2793" s="2"/>
      <c r="C2793" s="2"/>
    </row>
    <row r="2794" spans="1:3" x14ac:dyDescent="0.3">
      <c r="A2794" s="1"/>
      <c r="B2794" s="2"/>
      <c r="C2794" s="2"/>
    </row>
    <row r="2795" spans="1:3" x14ac:dyDescent="0.3">
      <c r="A2795" s="1"/>
      <c r="B2795" s="2"/>
      <c r="C2795" s="2"/>
    </row>
    <row r="2796" spans="1:3" x14ac:dyDescent="0.3">
      <c r="A2796" s="1"/>
      <c r="B2796" s="2"/>
      <c r="C2796" s="2"/>
    </row>
    <row r="2797" spans="1:3" x14ac:dyDescent="0.3">
      <c r="A2797" s="1"/>
      <c r="B2797" s="2"/>
      <c r="C2797" s="2"/>
    </row>
    <row r="2798" spans="1:3" x14ac:dyDescent="0.3">
      <c r="A2798" s="1"/>
      <c r="B2798" s="2"/>
      <c r="C2798" s="2"/>
    </row>
    <row r="2799" spans="1:3" x14ac:dyDescent="0.3">
      <c r="A2799" s="1"/>
      <c r="B2799" s="2"/>
      <c r="C2799" s="2"/>
    </row>
    <row r="2800" spans="1:3" x14ac:dyDescent="0.3">
      <c r="A2800" s="1"/>
      <c r="B2800" s="2"/>
      <c r="C2800" s="2"/>
    </row>
    <row r="2801" spans="1:3" x14ac:dyDescent="0.3">
      <c r="A2801" s="1"/>
      <c r="B2801" s="2"/>
      <c r="C2801" s="2"/>
    </row>
    <row r="2802" spans="1:3" x14ac:dyDescent="0.3">
      <c r="A2802" s="1"/>
      <c r="B2802" s="2"/>
      <c r="C2802" s="2"/>
    </row>
    <row r="2803" spans="1:3" x14ac:dyDescent="0.3">
      <c r="A2803" s="1"/>
      <c r="B2803" s="2"/>
      <c r="C2803" s="2"/>
    </row>
    <row r="2804" spans="1:3" x14ac:dyDescent="0.3">
      <c r="A2804" s="1"/>
      <c r="B2804" s="2"/>
      <c r="C2804" s="2"/>
    </row>
    <row r="2805" spans="1:3" x14ac:dyDescent="0.3">
      <c r="A2805" s="1"/>
      <c r="B2805" s="2"/>
      <c r="C2805" s="2"/>
    </row>
    <row r="2806" spans="1:3" x14ac:dyDescent="0.3">
      <c r="A2806" s="1"/>
      <c r="B2806" s="2"/>
      <c r="C2806" s="2"/>
    </row>
    <row r="2807" spans="1:3" x14ac:dyDescent="0.3">
      <c r="A2807" s="1"/>
      <c r="B2807" s="2"/>
      <c r="C2807" s="2"/>
    </row>
    <row r="2808" spans="1:3" x14ac:dyDescent="0.3">
      <c r="A2808" s="1"/>
      <c r="B2808" s="2"/>
      <c r="C2808" s="2"/>
    </row>
    <row r="2809" spans="1:3" x14ac:dyDescent="0.3">
      <c r="A2809" s="1"/>
      <c r="B2809" s="2"/>
      <c r="C2809" s="2"/>
    </row>
    <row r="2810" spans="1:3" x14ac:dyDescent="0.3">
      <c r="A2810" s="1"/>
      <c r="B2810" s="2"/>
      <c r="C2810" s="2"/>
    </row>
    <row r="2811" spans="1:3" x14ac:dyDescent="0.3">
      <c r="A2811" s="1"/>
      <c r="B2811" s="2"/>
      <c r="C2811" s="2"/>
    </row>
    <row r="2812" spans="1:3" x14ac:dyDescent="0.3">
      <c r="A2812" s="1"/>
      <c r="B2812" s="2"/>
      <c r="C2812" s="2"/>
    </row>
    <row r="2813" spans="1:3" x14ac:dyDescent="0.3">
      <c r="A2813" s="1"/>
      <c r="B2813" s="2"/>
      <c r="C2813" s="2"/>
    </row>
    <row r="2814" spans="1:3" x14ac:dyDescent="0.3">
      <c r="A2814" s="1"/>
      <c r="B2814" s="2"/>
      <c r="C2814" s="2"/>
    </row>
    <row r="2815" spans="1:3" x14ac:dyDescent="0.3">
      <c r="A2815" s="1"/>
      <c r="B2815" s="2"/>
      <c r="C2815" s="2"/>
    </row>
    <row r="2816" spans="1:3" x14ac:dyDescent="0.3">
      <c r="A2816" s="1"/>
      <c r="B2816" s="2"/>
      <c r="C2816" s="2"/>
    </row>
    <row r="2817" spans="1:3" x14ac:dyDescent="0.3">
      <c r="A2817" s="1"/>
      <c r="B2817" s="2"/>
      <c r="C2817" s="2"/>
    </row>
    <row r="2818" spans="1:3" x14ac:dyDescent="0.3">
      <c r="A2818" s="1"/>
      <c r="B2818" s="2"/>
      <c r="C2818" s="2"/>
    </row>
    <row r="2819" spans="1:3" x14ac:dyDescent="0.3">
      <c r="A2819" s="1"/>
      <c r="B2819" s="2"/>
      <c r="C2819" s="2"/>
    </row>
    <row r="2820" spans="1:3" x14ac:dyDescent="0.3">
      <c r="A2820" s="1"/>
      <c r="B2820" s="2"/>
      <c r="C2820" s="2"/>
    </row>
    <row r="2821" spans="1:3" x14ac:dyDescent="0.3">
      <c r="A2821" s="1"/>
      <c r="B2821" s="2"/>
      <c r="C2821" s="2"/>
    </row>
    <row r="2822" spans="1:3" x14ac:dyDescent="0.3">
      <c r="A2822" s="1"/>
      <c r="B2822" s="2"/>
      <c r="C2822" s="2"/>
    </row>
    <row r="2823" spans="1:3" x14ac:dyDescent="0.3">
      <c r="A2823" s="1"/>
      <c r="B2823" s="2"/>
      <c r="C2823" s="2"/>
    </row>
    <row r="2824" spans="1:3" x14ac:dyDescent="0.3">
      <c r="A2824" s="1"/>
      <c r="B2824" s="2"/>
      <c r="C2824" s="2"/>
    </row>
    <row r="2825" spans="1:3" x14ac:dyDescent="0.3">
      <c r="A2825" s="1"/>
      <c r="B2825" s="2"/>
      <c r="C2825" s="2"/>
    </row>
    <row r="2826" spans="1:3" x14ac:dyDescent="0.3">
      <c r="A2826" s="1"/>
      <c r="B2826" s="2"/>
      <c r="C2826" s="2"/>
    </row>
    <row r="2827" spans="1:3" x14ac:dyDescent="0.3">
      <c r="A2827" s="1"/>
      <c r="B2827" s="2"/>
      <c r="C2827" s="2"/>
    </row>
    <row r="2828" spans="1:3" x14ac:dyDescent="0.3">
      <c r="A2828" s="1"/>
      <c r="B2828" s="2"/>
      <c r="C2828" s="2"/>
    </row>
    <row r="2829" spans="1:3" x14ac:dyDescent="0.3">
      <c r="A2829" s="1"/>
      <c r="B2829" s="2"/>
      <c r="C2829" s="2"/>
    </row>
    <row r="2830" spans="1:3" x14ac:dyDescent="0.3">
      <c r="A2830" s="1"/>
      <c r="B2830" s="2"/>
      <c r="C2830" s="2"/>
    </row>
    <row r="2831" spans="1:3" x14ac:dyDescent="0.3">
      <c r="A2831" s="1"/>
      <c r="B2831" s="2"/>
      <c r="C2831" s="2"/>
    </row>
    <row r="2832" spans="1:3" x14ac:dyDescent="0.3">
      <c r="A2832" s="1"/>
      <c r="B2832" s="2"/>
      <c r="C2832" s="2"/>
    </row>
    <row r="2833" spans="1:3" x14ac:dyDescent="0.3">
      <c r="A2833" s="1"/>
      <c r="B2833" s="2"/>
      <c r="C2833" s="2"/>
    </row>
    <row r="2834" spans="1:3" x14ac:dyDescent="0.3">
      <c r="A2834" s="1"/>
      <c r="B2834" s="2"/>
      <c r="C2834" s="2"/>
    </row>
    <row r="2835" spans="1:3" x14ac:dyDescent="0.3">
      <c r="A2835" s="1"/>
      <c r="B2835" s="2"/>
      <c r="C2835" s="2"/>
    </row>
    <row r="2836" spans="1:3" x14ac:dyDescent="0.3">
      <c r="A2836" s="1"/>
      <c r="B2836" s="2"/>
      <c r="C2836" s="2"/>
    </row>
    <row r="2837" spans="1:3" x14ac:dyDescent="0.3">
      <c r="A2837" s="1"/>
      <c r="B2837" s="2"/>
      <c r="C2837" s="2"/>
    </row>
    <row r="2838" spans="1:3" x14ac:dyDescent="0.3">
      <c r="A2838" s="1"/>
      <c r="B2838" s="2"/>
      <c r="C2838" s="2"/>
    </row>
    <row r="2839" spans="1:3" x14ac:dyDescent="0.3">
      <c r="A2839" s="1"/>
      <c r="B2839" s="2"/>
      <c r="C2839" s="2"/>
    </row>
    <row r="2840" spans="1:3" x14ac:dyDescent="0.3">
      <c r="A2840" s="1"/>
      <c r="B2840" s="2"/>
      <c r="C2840" s="2"/>
    </row>
    <row r="2841" spans="1:3" x14ac:dyDescent="0.3">
      <c r="A2841" s="1"/>
      <c r="B2841" s="2"/>
      <c r="C2841" s="2"/>
    </row>
    <row r="2842" spans="1:3" x14ac:dyDescent="0.3">
      <c r="A2842" s="1"/>
      <c r="B2842" s="2"/>
      <c r="C2842" s="2"/>
    </row>
    <row r="2843" spans="1:3" x14ac:dyDescent="0.3">
      <c r="A2843" s="1"/>
      <c r="B2843" s="2"/>
      <c r="C2843" s="2"/>
    </row>
    <row r="2844" spans="1:3" x14ac:dyDescent="0.3">
      <c r="A2844" s="1"/>
      <c r="B2844" s="2"/>
      <c r="C2844" s="2"/>
    </row>
    <row r="2845" spans="1:3" x14ac:dyDescent="0.3">
      <c r="A2845" s="1"/>
      <c r="B2845" s="2"/>
      <c r="C2845" s="2"/>
    </row>
    <row r="2846" spans="1:3" x14ac:dyDescent="0.3">
      <c r="A2846" s="1"/>
      <c r="B2846" s="2"/>
      <c r="C2846" s="2"/>
    </row>
    <row r="2847" spans="1:3" x14ac:dyDescent="0.3">
      <c r="A2847" s="1"/>
      <c r="B2847" s="2"/>
      <c r="C2847" s="2"/>
    </row>
    <row r="2848" spans="1:3" x14ac:dyDescent="0.3">
      <c r="A2848" s="1"/>
      <c r="B2848" s="2"/>
      <c r="C2848" s="2"/>
    </row>
    <row r="2849" spans="1:3" x14ac:dyDescent="0.3">
      <c r="A2849" s="1"/>
      <c r="B2849" s="2"/>
      <c r="C2849" s="2"/>
    </row>
    <row r="2850" spans="1:3" x14ac:dyDescent="0.3">
      <c r="A2850" s="1"/>
      <c r="B2850" s="2"/>
      <c r="C2850" s="2"/>
    </row>
    <row r="2851" spans="1:3" x14ac:dyDescent="0.3">
      <c r="A2851" s="1"/>
      <c r="B2851" s="2"/>
      <c r="C2851" s="2"/>
    </row>
    <row r="2852" spans="1:3" x14ac:dyDescent="0.3">
      <c r="A2852" s="1"/>
      <c r="B2852" s="2"/>
      <c r="C2852" s="2"/>
    </row>
    <row r="2853" spans="1:3" x14ac:dyDescent="0.3">
      <c r="A2853" s="1"/>
      <c r="B2853" s="2"/>
      <c r="C2853" s="2"/>
    </row>
    <row r="2854" spans="1:3" x14ac:dyDescent="0.3">
      <c r="A2854" s="1"/>
      <c r="B2854" s="2"/>
      <c r="C2854" s="2"/>
    </row>
    <row r="2855" spans="1:3" x14ac:dyDescent="0.3">
      <c r="A2855" s="1"/>
      <c r="B2855" s="2"/>
      <c r="C2855" s="2"/>
    </row>
    <row r="2856" spans="1:3" x14ac:dyDescent="0.3">
      <c r="A2856" s="1"/>
      <c r="B2856" s="2"/>
      <c r="C2856" s="2"/>
    </row>
    <row r="2857" spans="1:3" x14ac:dyDescent="0.3">
      <c r="A2857" s="1"/>
      <c r="B2857" s="2"/>
      <c r="C2857" s="2"/>
    </row>
    <row r="2858" spans="1:3" x14ac:dyDescent="0.3">
      <c r="A2858" s="1"/>
      <c r="B2858" s="2"/>
      <c r="C2858" s="2"/>
    </row>
    <row r="2859" spans="1:3" x14ac:dyDescent="0.3">
      <c r="A2859" s="1"/>
      <c r="B2859" s="2"/>
      <c r="C2859" s="2"/>
    </row>
    <row r="2860" spans="1:3" x14ac:dyDescent="0.3">
      <c r="A2860" s="1"/>
      <c r="B2860" s="2"/>
      <c r="C2860" s="2"/>
    </row>
    <row r="2861" spans="1:3" x14ac:dyDescent="0.3">
      <c r="A2861" s="1"/>
      <c r="B2861" s="2"/>
      <c r="C2861" s="2"/>
    </row>
    <row r="2862" spans="1:3" x14ac:dyDescent="0.3">
      <c r="A2862" s="1"/>
      <c r="B2862" s="2"/>
      <c r="C2862" s="2"/>
    </row>
    <row r="2863" spans="1:3" x14ac:dyDescent="0.3">
      <c r="A2863" s="1"/>
      <c r="B2863" s="2"/>
      <c r="C2863" s="2"/>
    </row>
    <row r="2864" spans="1:3" x14ac:dyDescent="0.3">
      <c r="A2864" s="1"/>
      <c r="B2864" s="2"/>
      <c r="C2864" s="2"/>
    </row>
    <row r="2865" spans="1:3" x14ac:dyDescent="0.3">
      <c r="A2865" s="1"/>
      <c r="B2865" s="2"/>
      <c r="C2865" s="2"/>
    </row>
    <row r="2866" spans="1:3" x14ac:dyDescent="0.3">
      <c r="A2866" s="1"/>
      <c r="B2866" s="2"/>
      <c r="C2866" s="2"/>
    </row>
    <row r="2867" spans="1:3" x14ac:dyDescent="0.3">
      <c r="A2867" s="1"/>
      <c r="B2867" s="2"/>
      <c r="C2867" s="2"/>
    </row>
    <row r="2868" spans="1:3" x14ac:dyDescent="0.3">
      <c r="A2868" s="1"/>
      <c r="B2868" s="2"/>
      <c r="C2868" s="2"/>
    </row>
    <row r="2869" spans="1:3" x14ac:dyDescent="0.3">
      <c r="A2869" s="1"/>
      <c r="B2869" s="2"/>
      <c r="C2869" s="2"/>
    </row>
    <row r="2870" spans="1:3" x14ac:dyDescent="0.3">
      <c r="A2870" s="1"/>
      <c r="B2870" s="2"/>
      <c r="C2870" s="2"/>
    </row>
    <row r="2871" spans="1:3" x14ac:dyDescent="0.3">
      <c r="A2871" s="1"/>
      <c r="B2871" s="2"/>
      <c r="C2871" s="2"/>
    </row>
    <row r="2872" spans="1:3" x14ac:dyDescent="0.3">
      <c r="A2872" s="1"/>
      <c r="B2872" s="2"/>
      <c r="C2872" s="2"/>
    </row>
    <row r="2873" spans="1:3" x14ac:dyDescent="0.3">
      <c r="A2873" s="1"/>
      <c r="B2873" s="2"/>
      <c r="C2873" s="2"/>
    </row>
    <row r="2874" spans="1:3" x14ac:dyDescent="0.3">
      <c r="A2874" s="1"/>
      <c r="B2874" s="2"/>
      <c r="C2874" s="2"/>
    </row>
    <row r="2875" spans="1:3" x14ac:dyDescent="0.3">
      <c r="A2875" s="1"/>
      <c r="B2875" s="2"/>
      <c r="C2875" s="2"/>
    </row>
    <row r="2876" spans="1:3" x14ac:dyDescent="0.3">
      <c r="A2876" s="1"/>
      <c r="B2876" s="2"/>
      <c r="C2876" s="2"/>
    </row>
    <row r="2877" spans="1:3" x14ac:dyDescent="0.3">
      <c r="A2877" s="1"/>
      <c r="B2877" s="2"/>
      <c r="C2877" s="2"/>
    </row>
    <row r="2878" spans="1:3" x14ac:dyDescent="0.3">
      <c r="A2878" s="1"/>
      <c r="B2878" s="2"/>
      <c r="C2878" s="2"/>
    </row>
    <row r="2879" spans="1:3" x14ac:dyDescent="0.3">
      <c r="A2879" s="1"/>
      <c r="B2879" s="2"/>
      <c r="C2879" s="2"/>
    </row>
    <row r="2880" spans="1:3" x14ac:dyDescent="0.3">
      <c r="A2880" s="1"/>
      <c r="B2880" s="2"/>
      <c r="C2880" s="2"/>
    </row>
    <row r="2881" spans="1:3" x14ac:dyDescent="0.3">
      <c r="A2881" s="1"/>
      <c r="B2881" s="2"/>
      <c r="C2881" s="2"/>
    </row>
    <row r="2882" spans="1:3" x14ac:dyDescent="0.3">
      <c r="A2882" s="1"/>
      <c r="B2882" s="2"/>
      <c r="C2882" s="2"/>
    </row>
    <row r="2883" spans="1:3" x14ac:dyDescent="0.3">
      <c r="A2883" s="1"/>
      <c r="B2883" s="2"/>
      <c r="C2883" s="2"/>
    </row>
    <row r="2884" spans="1:3" x14ac:dyDescent="0.3">
      <c r="A2884" s="1"/>
      <c r="B2884" s="2"/>
      <c r="C2884" s="2"/>
    </row>
    <row r="2885" spans="1:3" x14ac:dyDescent="0.3">
      <c r="A2885" s="1"/>
      <c r="B2885" s="2"/>
      <c r="C2885" s="2"/>
    </row>
    <row r="2886" spans="1:3" x14ac:dyDescent="0.3">
      <c r="A2886" s="1"/>
      <c r="B2886" s="2"/>
      <c r="C2886" s="2"/>
    </row>
    <row r="2887" spans="1:3" x14ac:dyDescent="0.3">
      <c r="A2887" s="1"/>
      <c r="B2887" s="2"/>
      <c r="C2887" s="2"/>
    </row>
    <row r="2888" spans="1:3" x14ac:dyDescent="0.3">
      <c r="A2888" s="1"/>
      <c r="B2888" s="2"/>
      <c r="C2888" s="2"/>
    </row>
    <row r="2889" spans="1:3" x14ac:dyDescent="0.3">
      <c r="A2889" s="1"/>
      <c r="B2889" s="2"/>
      <c r="C2889" s="2"/>
    </row>
    <row r="2890" spans="1:3" x14ac:dyDescent="0.3">
      <c r="A2890" s="1"/>
      <c r="B2890" s="2"/>
      <c r="C2890" s="2"/>
    </row>
    <row r="2891" spans="1:3" x14ac:dyDescent="0.3">
      <c r="A2891" s="1"/>
      <c r="B2891" s="2"/>
      <c r="C2891" s="2"/>
    </row>
    <row r="2892" spans="1:3" x14ac:dyDescent="0.3">
      <c r="A2892" s="1"/>
      <c r="B2892" s="2"/>
      <c r="C2892" s="2"/>
    </row>
    <row r="2893" spans="1:3" x14ac:dyDescent="0.3">
      <c r="A2893" s="1"/>
      <c r="B2893" s="2"/>
      <c r="C2893" s="2"/>
    </row>
    <row r="2894" spans="1:3" x14ac:dyDescent="0.3">
      <c r="A2894" s="1"/>
      <c r="B2894" s="2"/>
      <c r="C2894" s="2"/>
    </row>
    <row r="2895" spans="1:3" x14ac:dyDescent="0.3">
      <c r="A2895" s="1"/>
      <c r="B2895" s="2"/>
      <c r="C2895" s="2"/>
    </row>
    <row r="2896" spans="1:3" x14ac:dyDescent="0.3">
      <c r="A2896" s="1"/>
      <c r="B2896" s="2"/>
      <c r="C2896" s="2"/>
    </row>
    <row r="2897" spans="1:3" x14ac:dyDescent="0.3">
      <c r="A2897" s="1"/>
      <c r="B2897" s="2"/>
      <c r="C2897" s="2"/>
    </row>
    <row r="2898" spans="1:3" x14ac:dyDescent="0.3">
      <c r="A2898" s="1"/>
      <c r="B2898" s="2"/>
      <c r="C2898" s="2"/>
    </row>
    <row r="2899" spans="1:3" x14ac:dyDescent="0.3">
      <c r="A2899" s="1"/>
      <c r="B2899" s="2"/>
      <c r="C2899" s="2"/>
    </row>
    <row r="2900" spans="1:3" x14ac:dyDescent="0.3">
      <c r="A2900" s="1"/>
      <c r="B2900" s="2"/>
      <c r="C2900" s="2"/>
    </row>
    <row r="2901" spans="1:3" x14ac:dyDescent="0.3">
      <c r="A2901" s="1"/>
      <c r="B2901" s="2"/>
      <c r="C2901" s="2"/>
    </row>
    <row r="2902" spans="1:3" x14ac:dyDescent="0.3">
      <c r="A2902" s="1"/>
      <c r="B2902" s="2"/>
      <c r="C2902" s="2"/>
    </row>
    <row r="2903" spans="1:3" x14ac:dyDescent="0.3">
      <c r="A2903" s="1"/>
      <c r="B2903" s="2"/>
      <c r="C2903" s="2"/>
    </row>
    <row r="2904" spans="1:3" x14ac:dyDescent="0.3">
      <c r="A2904" s="1"/>
      <c r="B2904" s="2"/>
      <c r="C2904" s="2"/>
    </row>
    <row r="2905" spans="1:3" x14ac:dyDescent="0.3">
      <c r="A2905" s="1"/>
      <c r="B2905" s="2"/>
      <c r="C2905" s="2"/>
    </row>
    <row r="2906" spans="1:3" x14ac:dyDescent="0.3">
      <c r="A2906" s="1"/>
      <c r="B2906" s="2"/>
      <c r="C2906" s="2"/>
    </row>
    <row r="2907" spans="1:3" x14ac:dyDescent="0.3">
      <c r="A2907" s="1"/>
      <c r="B2907" s="2"/>
      <c r="C2907" s="2"/>
    </row>
    <row r="2908" spans="1:3" x14ac:dyDescent="0.3">
      <c r="A2908" s="1"/>
      <c r="B2908" s="2"/>
      <c r="C2908" s="2"/>
    </row>
    <row r="2909" spans="1:3" x14ac:dyDescent="0.3">
      <c r="A2909" s="1"/>
      <c r="B2909" s="2"/>
      <c r="C2909" s="2"/>
    </row>
    <row r="2910" spans="1:3" x14ac:dyDescent="0.3">
      <c r="A2910" s="1"/>
      <c r="B2910" s="2"/>
      <c r="C2910" s="2"/>
    </row>
    <row r="2911" spans="1:3" x14ac:dyDescent="0.3">
      <c r="A2911" s="1"/>
      <c r="B2911" s="2"/>
      <c r="C2911" s="2"/>
    </row>
    <row r="2912" spans="1:3" x14ac:dyDescent="0.3">
      <c r="A2912" s="1"/>
      <c r="B2912" s="2"/>
      <c r="C2912" s="2"/>
    </row>
    <row r="2913" spans="1:3" x14ac:dyDescent="0.3">
      <c r="A2913" s="1"/>
      <c r="B2913" s="2"/>
      <c r="C2913" s="2"/>
    </row>
    <row r="2914" spans="1:3" x14ac:dyDescent="0.3">
      <c r="A2914" s="1"/>
      <c r="B2914" s="2"/>
      <c r="C2914" s="2"/>
    </row>
    <row r="2915" spans="1:3" x14ac:dyDescent="0.3">
      <c r="A2915" s="1"/>
      <c r="B2915" s="2"/>
      <c r="C2915" s="2"/>
    </row>
    <row r="2916" spans="1:3" x14ac:dyDescent="0.3">
      <c r="A2916" s="1"/>
      <c r="B2916" s="2"/>
      <c r="C2916" s="2"/>
    </row>
    <row r="2917" spans="1:3" x14ac:dyDescent="0.3">
      <c r="A2917" s="1"/>
      <c r="B2917" s="2"/>
      <c r="C2917" s="2"/>
    </row>
    <row r="2918" spans="1:3" x14ac:dyDescent="0.3">
      <c r="A2918" s="1"/>
      <c r="B2918" s="2"/>
      <c r="C2918" s="2"/>
    </row>
    <row r="2919" spans="1:3" x14ac:dyDescent="0.3">
      <c r="A2919" s="1"/>
      <c r="B2919" s="2"/>
      <c r="C2919" s="2"/>
    </row>
    <row r="2920" spans="1:3" x14ac:dyDescent="0.3">
      <c r="A2920" s="1"/>
      <c r="B2920" s="2"/>
      <c r="C2920" s="2"/>
    </row>
    <row r="2921" spans="1:3" x14ac:dyDescent="0.3">
      <c r="A2921" s="1"/>
      <c r="B2921" s="2"/>
      <c r="C2921" s="2"/>
    </row>
    <row r="2922" spans="1:3" x14ac:dyDescent="0.3">
      <c r="A2922" s="1"/>
      <c r="B2922" s="2"/>
      <c r="C2922" s="2"/>
    </row>
    <row r="2923" spans="1:3" x14ac:dyDescent="0.3">
      <c r="A2923" s="1"/>
      <c r="B2923" s="2"/>
      <c r="C2923" s="2"/>
    </row>
    <row r="2924" spans="1:3" x14ac:dyDescent="0.3">
      <c r="A2924" s="1"/>
      <c r="B2924" s="2"/>
      <c r="C2924" s="2"/>
    </row>
    <row r="2925" spans="1:3" x14ac:dyDescent="0.3">
      <c r="A2925" s="1"/>
      <c r="B2925" s="2"/>
      <c r="C2925" s="2"/>
    </row>
    <row r="2926" spans="1:3" x14ac:dyDescent="0.3">
      <c r="A2926" s="1"/>
      <c r="B2926" s="2"/>
      <c r="C2926" s="2"/>
    </row>
    <row r="2927" spans="1:3" x14ac:dyDescent="0.3">
      <c r="A2927" s="1"/>
      <c r="B2927" s="2"/>
      <c r="C2927" s="2"/>
    </row>
    <row r="2928" spans="1:3" x14ac:dyDescent="0.3">
      <c r="A2928" s="1"/>
      <c r="B2928" s="2"/>
      <c r="C2928" s="2"/>
    </row>
    <row r="2929" spans="1:3" x14ac:dyDescent="0.3">
      <c r="A2929" s="1"/>
      <c r="B2929" s="2"/>
      <c r="C2929" s="2"/>
    </row>
    <row r="2930" spans="1:3" x14ac:dyDescent="0.3">
      <c r="A2930" s="1"/>
      <c r="B2930" s="2"/>
      <c r="C2930" s="2"/>
    </row>
    <row r="2931" spans="1:3" x14ac:dyDescent="0.3">
      <c r="A2931" s="1"/>
      <c r="B2931" s="2"/>
      <c r="C2931" s="2"/>
    </row>
    <row r="2932" spans="1:3" x14ac:dyDescent="0.3">
      <c r="A2932" s="1"/>
      <c r="B2932" s="2"/>
      <c r="C2932" s="2"/>
    </row>
    <row r="2933" spans="1:3" x14ac:dyDescent="0.3">
      <c r="A2933" s="1"/>
      <c r="B2933" s="2"/>
      <c r="C2933" s="2"/>
    </row>
    <row r="2934" spans="1:3" x14ac:dyDescent="0.3">
      <c r="A2934" s="1"/>
      <c r="B2934" s="2"/>
      <c r="C2934" s="2"/>
    </row>
    <row r="2935" spans="1:3" x14ac:dyDescent="0.3">
      <c r="A2935" s="1"/>
      <c r="B2935" s="2"/>
      <c r="C2935" s="2"/>
    </row>
    <row r="2936" spans="1:3" x14ac:dyDescent="0.3">
      <c r="A2936" s="1"/>
      <c r="B2936" s="2"/>
      <c r="C2936" s="2"/>
    </row>
    <row r="2937" spans="1:3" x14ac:dyDescent="0.3">
      <c r="A2937" s="1"/>
      <c r="B2937" s="2"/>
      <c r="C2937" s="2"/>
    </row>
    <row r="2938" spans="1:3" x14ac:dyDescent="0.3">
      <c r="A2938" s="1"/>
      <c r="B2938" s="2"/>
      <c r="C2938" s="2"/>
    </row>
    <row r="2939" spans="1:3" x14ac:dyDescent="0.3">
      <c r="A2939" s="1"/>
      <c r="B2939" s="2"/>
      <c r="C2939" s="2"/>
    </row>
    <row r="2940" spans="1:3" x14ac:dyDescent="0.3">
      <c r="A2940" s="1"/>
      <c r="B2940" s="2"/>
      <c r="C2940" s="2"/>
    </row>
    <row r="2941" spans="1:3" x14ac:dyDescent="0.3">
      <c r="A2941" s="1"/>
      <c r="B2941" s="2"/>
      <c r="C2941" s="2"/>
    </row>
    <row r="2942" spans="1:3" x14ac:dyDescent="0.3">
      <c r="A2942" s="1"/>
      <c r="B2942" s="2"/>
      <c r="C2942" s="2"/>
    </row>
    <row r="2943" spans="1:3" x14ac:dyDescent="0.3">
      <c r="A2943" s="1"/>
      <c r="B2943" s="2"/>
      <c r="C2943" s="2"/>
    </row>
    <row r="2944" spans="1:3" x14ac:dyDescent="0.3">
      <c r="A2944" s="1"/>
      <c r="B2944" s="2"/>
      <c r="C2944" s="2"/>
    </row>
    <row r="2945" spans="1:3" x14ac:dyDescent="0.3">
      <c r="A2945" s="1"/>
      <c r="B2945" s="2"/>
      <c r="C2945" s="2"/>
    </row>
    <row r="2946" spans="1:3" x14ac:dyDescent="0.3">
      <c r="A2946" s="1"/>
      <c r="B2946" s="2"/>
      <c r="C2946" s="2"/>
    </row>
    <row r="2947" spans="1:3" x14ac:dyDescent="0.3">
      <c r="A2947" s="1"/>
      <c r="B2947" s="2"/>
      <c r="C2947" s="2"/>
    </row>
    <row r="2948" spans="1:3" x14ac:dyDescent="0.3">
      <c r="A2948" s="1"/>
      <c r="B2948" s="2"/>
      <c r="C2948" s="2"/>
    </row>
    <row r="2949" spans="1:3" x14ac:dyDescent="0.3">
      <c r="A2949" s="1"/>
      <c r="B2949" s="2"/>
      <c r="C2949" s="2"/>
    </row>
    <row r="2950" spans="1:3" x14ac:dyDescent="0.3">
      <c r="A2950" s="1"/>
      <c r="B2950" s="2"/>
      <c r="C2950" s="2"/>
    </row>
    <row r="2951" spans="1:3" x14ac:dyDescent="0.3">
      <c r="A2951" s="1"/>
      <c r="B2951" s="2"/>
      <c r="C2951" s="2"/>
    </row>
    <row r="2952" spans="1:3" x14ac:dyDescent="0.3">
      <c r="A2952" s="1"/>
      <c r="B2952" s="2"/>
      <c r="C2952" s="2"/>
    </row>
    <row r="2953" spans="1:3" x14ac:dyDescent="0.3">
      <c r="A2953" s="1"/>
      <c r="B2953" s="2"/>
      <c r="C2953" s="2"/>
    </row>
    <row r="2954" spans="1:3" x14ac:dyDescent="0.3">
      <c r="A2954" s="1"/>
      <c r="B2954" s="2"/>
      <c r="C2954" s="2"/>
    </row>
    <row r="2955" spans="1:3" x14ac:dyDescent="0.3">
      <c r="A2955" s="1"/>
      <c r="B2955" s="2"/>
      <c r="C2955" s="2"/>
    </row>
    <row r="2956" spans="1:3" x14ac:dyDescent="0.3">
      <c r="A2956" s="1"/>
      <c r="B2956" s="2"/>
      <c r="C2956" s="2"/>
    </row>
    <row r="2957" spans="1:3" x14ac:dyDescent="0.3">
      <c r="A2957" s="1"/>
      <c r="B2957" s="2"/>
      <c r="C2957" s="2"/>
    </row>
    <row r="2958" spans="1:3" x14ac:dyDescent="0.3">
      <c r="A2958" s="1"/>
      <c r="B2958" s="2"/>
      <c r="C2958" s="2"/>
    </row>
    <row r="2959" spans="1:3" x14ac:dyDescent="0.3">
      <c r="A2959" s="1"/>
      <c r="B2959" s="2"/>
      <c r="C2959" s="2"/>
    </row>
    <row r="2960" spans="1:3" x14ac:dyDescent="0.3">
      <c r="A2960" s="1"/>
      <c r="B2960" s="2"/>
      <c r="C2960" s="2"/>
    </row>
    <row r="2961" spans="1:3" x14ac:dyDescent="0.3">
      <c r="A2961" s="1"/>
      <c r="B2961" s="2"/>
      <c r="C2961" s="2"/>
    </row>
    <row r="2962" spans="1:3" x14ac:dyDescent="0.3">
      <c r="A2962" s="1"/>
      <c r="B2962" s="2"/>
      <c r="C2962" s="2"/>
    </row>
    <row r="2963" spans="1:3" x14ac:dyDescent="0.3">
      <c r="A2963" s="1"/>
      <c r="B2963" s="2"/>
      <c r="C2963" s="2"/>
    </row>
    <row r="2964" spans="1:3" x14ac:dyDescent="0.3">
      <c r="A2964" s="1"/>
      <c r="B2964" s="2"/>
      <c r="C2964" s="2"/>
    </row>
    <row r="2965" spans="1:3" x14ac:dyDescent="0.3">
      <c r="A2965" s="1"/>
      <c r="B2965" s="2"/>
      <c r="C2965" s="2"/>
    </row>
    <row r="2966" spans="1:3" x14ac:dyDescent="0.3">
      <c r="A2966" s="1"/>
      <c r="B2966" s="2"/>
      <c r="C2966" s="2"/>
    </row>
    <row r="2967" spans="1:3" x14ac:dyDescent="0.3">
      <c r="A2967" s="1"/>
      <c r="B2967" s="2"/>
      <c r="C2967" s="2"/>
    </row>
    <row r="2968" spans="1:3" x14ac:dyDescent="0.3">
      <c r="A2968" s="1"/>
      <c r="B2968" s="2"/>
      <c r="C2968" s="2"/>
    </row>
    <row r="2969" spans="1:3" x14ac:dyDescent="0.3">
      <c r="A2969" s="1"/>
      <c r="B2969" s="2"/>
      <c r="C2969" s="2"/>
    </row>
    <row r="2970" spans="1:3" x14ac:dyDescent="0.3">
      <c r="A2970" s="1"/>
      <c r="B2970" s="2"/>
      <c r="C2970" s="2"/>
    </row>
    <row r="2971" spans="1:3" x14ac:dyDescent="0.3">
      <c r="A2971" s="1"/>
      <c r="B2971" s="2"/>
      <c r="C2971" s="2"/>
    </row>
    <row r="2972" spans="1:3" x14ac:dyDescent="0.3">
      <c r="A2972" s="1"/>
      <c r="B2972" s="2"/>
      <c r="C2972" s="2"/>
    </row>
    <row r="2973" spans="1:3" x14ac:dyDescent="0.3">
      <c r="A2973" s="1"/>
      <c r="B2973" s="2"/>
      <c r="C2973" s="2"/>
    </row>
    <row r="2974" spans="1:3" x14ac:dyDescent="0.3">
      <c r="A2974" s="1"/>
      <c r="B2974" s="2"/>
      <c r="C2974" s="2"/>
    </row>
    <row r="2975" spans="1:3" x14ac:dyDescent="0.3">
      <c r="A2975" s="1"/>
      <c r="B2975" s="2"/>
      <c r="C2975" s="2"/>
    </row>
    <row r="2976" spans="1:3" x14ac:dyDescent="0.3">
      <c r="A2976" s="1"/>
      <c r="B2976" s="2"/>
      <c r="C2976" s="2"/>
    </row>
    <row r="2977" spans="1:3" x14ac:dyDescent="0.3">
      <c r="A2977" s="1"/>
      <c r="B2977" s="2"/>
      <c r="C2977" s="2"/>
    </row>
    <row r="2978" spans="1:3" x14ac:dyDescent="0.3">
      <c r="A2978" s="1"/>
      <c r="B2978" s="2"/>
      <c r="C2978" s="2"/>
    </row>
    <row r="2979" spans="1:3" x14ac:dyDescent="0.3">
      <c r="A2979" s="1"/>
      <c r="B2979" s="2"/>
      <c r="C2979" s="2"/>
    </row>
    <row r="2980" spans="1:3" x14ac:dyDescent="0.3">
      <c r="A2980" s="1"/>
      <c r="B2980" s="2"/>
      <c r="C2980" s="2"/>
    </row>
    <row r="2981" spans="1:3" x14ac:dyDescent="0.3">
      <c r="A2981" s="1"/>
      <c r="B2981" s="2"/>
      <c r="C2981" s="2"/>
    </row>
    <row r="2982" spans="1:3" x14ac:dyDescent="0.3">
      <c r="A2982" s="1"/>
      <c r="B2982" s="2"/>
      <c r="C2982" s="2"/>
    </row>
    <row r="2983" spans="1:3" x14ac:dyDescent="0.3">
      <c r="A2983" s="1"/>
      <c r="B2983" s="2"/>
      <c r="C2983" s="2"/>
    </row>
    <row r="2984" spans="1:3" x14ac:dyDescent="0.3">
      <c r="A2984" s="1"/>
      <c r="B2984" s="2"/>
      <c r="C2984" s="2"/>
    </row>
    <row r="2985" spans="1:3" x14ac:dyDescent="0.3">
      <c r="A2985" s="1"/>
      <c r="B2985" s="2"/>
      <c r="C2985" s="2"/>
    </row>
    <row r="2986" spans="1:3" x14ac:dyDescent="0.3">
      <c r="A2986" s="1"/>
      <c r="B2986" s="2"/>
      <c r="C2986" s="2"/>
    </row>
    <row r="2987" spans="1:3" x14ac:dyDescent="0.3">
      <c r="A2987" s="1"/>
      <c r="B2987" s="2"/>
      <c r="C2987" s="2"/>
    </row>
    <row r="2988" spans="1:3" x14ac:dyDescent="0.3">
      <c r="A2988" s="1"/>
      <c r="B2988" s="2"/>
      <c r="C2988" s="2"/>
    </row>
    <row r="2989" spans="1:3" x14ac:dyDescent="0.3">
      <c r="A2989" s="1"/>
      <c r="B2989" s="2"/>
      <c r="C2989" s="2"/>
    </row>
    <row r="2990" spans="1:3" x14ac:dyDescent="0.3">
      <c r="A2990" s="1"/>
      <c r="B2990" s="2"/>
      <c r="C2990" s="2"/>
    </row>
    <row r="2991" spans="1:3" x14ac:dyDescent="0.3">
      <c r="A2991" s="1"/>
      <c r="B2991" s="2"/>
      <c r="C2991" s="2"/>
    </row>
    <row r="2992" spans="1:3" x14ac:dyDescent="0.3">
      <c r="A2992" s="1"/>
      <c r="B2992" s="2"/>
      <c r="C2992" s="2"/>
    </row>
    <row r="2993" spans="1:3" x14ac:dyDescent="0.3">
      <c r="A2993" s="1"/>
      <c r="B2993" s="2"/>
      <c r="C2993" s="2"/>
    </row>
    <row r="2994" spans="1:3" x14ac:dyDescent="0.3">
      <c r="A2994" s="1"/>
      <c r="B2994" s="2"/>
      <c r="C2994" s="2"/>
    </row>
    <row r="2995" spans="1:3" x14ac:dyDescent="0.3">
      <c r="A2995" s="1"/>
      <c r="B2995" s="2"/>
      <c r="C2995" s="2"/>
    </row>
    <row r="2996" spans="1:3" x14ac:dyDescent="0.3">
      <c r="A2996" s="1"/>
      <c r="B2996" s="2"/>
      <c r="C2996" s="2"/>
    </row>
    <row r="2997" spans="1:3" x14ac:dyDescent="0.3">
      <c r="A2997" s="1"/>
      <c r="B2997" s="2"/>
      <c r="C2997" s="2"/>
    </row>
    <row r="2998" spans="1:3" x14ac:dyDescent="0.3">
      <c r="A2998" s="1"/>
      <c r="B2998" s="2"/>
      <c r="C2998" s="2"/>
    </row>
    <row r="2999" spans="1:3" x14ac:dyDescent="0.3">
      <c r="A2999" s="1"/>
      <c r="B2999" s="2"/>
      <c r="C2999" s="2"/>
    </row>
    <row r="3000" spans="1:3" x14ac:dyDescent="0.3">
      <c r="A3000" s="1"/>
      <c r="B3000" s="2"/>
      <c r="C3000" s="2"/>
    </row>
    <row r="3001" spans="1:3" x14ac:dyDescent="0.3">
      <c r="A3001" s="1"/>
      <c r="B3001" s="2"/>
      <c r="C3001" s="2"/>
    </row>
    <row r="3002" spans="1:3" x14ac:dyDescent="0.3">
      <c r="A3002" s="1"/>
      <c r="B3002" s="2"/>
      <c r="C3002" s="2"/>
    </row>
    <row r="3003" spans="1:3" x14ac:dyDescent="0.3">
      <c r="A3003" s="1"/>
      <c r="B3003" s="2"/>
      <c r="C3003" s="2"/>
    </row>
    <row r="3004" spans="1:3" x14ac:dyDescent="0.3">
      <c r="A3004" s="1"/>
      <c r="B3004" s="2"/>
      <c r="C3004" s="2"/>
    </row>
    <row r="3005" spans="1:3" x14ac:dyDescent="0.3">
      <c r="A3005" s="1"/>
      <c r="B3005" s="2"/>
      <c r="C3005" s="2"/>
    </row>
    <row r="3006" spans="1:3" x14ac:dyDescent="0.3">
      <c r="A3006" s="1"/>
      <c r="B3006" s="2"/>
      <c r="C3006" s="2"/>
    </row>
    <row r="3007" spans="1:3" x14ac:dyDescent="0.3">
      <c r="A3007" s="1"/>
      <c r="B3007" s="2"/>
      <c r="C3007" s="2"/>
    </row>
    <row r="3008" spans="1:3" x14ac:dyDescent="0.3">
      <c r="A3008" s="1"/>
      <c r="B3008" s="2"/>
      <c r="C3008" s="2"/>
    </row>
    <row r="3009" spans="1:3" x14ac:dyDescent="0.3">
      <c r="A3009" s="1"/>
      <c r="B3009" s="2"/>
      <c r="C3009" s="2"/>
    </row>
    <row r="3010" spans="1:3" x14ac:dyDescent="0.3">
      <c r="A3010" s="1"/>
      <c r="B3010" s="2"/>
      <c r="C3010" s="2"/>
    </row>
    <row r="3011" spans="1:3" x14ac:dyDescent="0.3">
      <c r="A3011" s="1"/>
      <c r="B3011" s="2"/>
      <c r="C3011" s="2"/>
    </row>
    <row r="3012" spans="1:3" x14ac:dyDescent="0.3">
      <c r="A3012" s="1"/>
      <c r="B3012" s="2"/>
      <c r="C3012" s="2"/>
    </row>
    <row r="3013" spans="1:3" x14ac:dyDescent="0.3">
      <c r="A3013" s="1"/>
      <c r="B3013" s="2"/>
      <c r="C3013" s="2"/>
    </row>
    <row r="3014" spans="1:3" x14ac:dyDescent="0.3">
      <c r="A3014" s="1"/>
      <c r="B3014" s="2"/>
      <c r="C3014" s="2"/>
    </row>
    <row r="3015" spans="1:3" x14ac:dyDescent="0.3">
      <c r="A3015" s="1"/>
      <c r="B3015" s="2"/>
      <c r="C3015" s="2"/>
    </row>
    <row r="3016" spans="1:3" x14ac:dyDescent="0.3">
      <c r="A3016" s="1"/>
      <c r="B3016" s="2"/>
      <c r="C3016" s="2"/>
    </row>
    <row r="3017" spans="1:3" x14ac:dyDescent="0.3">
      <c r="A3017" s="1"/>
      <c r="B3017" s="2"/>
      <c r="C3017" s="2"/>
    </row>
    <row r="3018" spans="1:3" x14ac:dyDescent="0.3">
      <c r="A3018" s="1"/>
      <c r="B3018" s="2"/>
      <c r="C3018" s="2"/>
    </row>
    <row r="3019" spans="1:3" x14ac:dyDescent="0.3">
      <c r="A3019" s="1"/>
      <c r="B3019" s="2"/>
      <c r="C3019" s="2"/>
    </row>
    <row r="3020" spans="1:3" x14ac:dyDescent="0.3">
      <c r="A3020" s="1"/>
      <c r="B3020" s="2"/>
      <c r="C3020" s="2"/>
    </row>
    <row r="3021" spans="1:3" x14ac:dyDescent="0.3">
      <c r="A3021" s="1"/>
      <c r="B3021" s="2"/>
      <c r="C3021" s="2"/>
    </row>
    <row r="3022" spans="1:3" x14ac:dyDescent="0.3">
      <c r="A3022" s="1"/>
      <c r="B3022" s="2"/>
      <c r="C3022" s="2"/>
    </row>
    <row r="3023" spans="1:3" x14ac:dyDescent="0.3">
      <c r="A3023" s="1"/>
      <c r="B3023" s="2"/>
      <c r="C3023" s="2"/>
    </row>
    <row r="3024" spans="1:3" x14ac:dyDescent="0.3">
      <c r="A3024" s="1"/>
      <c r="B3024" s="2"/>
      <c r="C3024" s="2"/>
    </row>
    <row r="3025" spans="1:3" x14ac:dyDescent="0.3">
      <c r="A3025" s="1"/>
      <c r="B3025" s="2"/>
      <c r="C3025" s="2"/>
    </row>
    <row r="3026" spans="1:3" x14ac:dyDescent="0.3">
      <c r="A3026" s="1"/>
      <c r="B3026" s="2"/>
      <c r="C3026" s="2"/>
    </row>
    <row r="3027" spans="1:3" x14ac:dyDescent="0.3">
      <c r="A3027" s="1"/>
      <c r="B3027" s="2"/>
      <c r="C3027" s="2"/>
    </row>
    <row r="3028" spans="1:3" x14ac:dyDescent="0.3">
      <c r="A3028" s="1"/>
      <c r="B3028" s="2"/>
      <c r="C3028" s="2"/>
    </row>
    <row r="3029" spans="1:3" x14ac:dyDescent="0.3">
      <c r="A3029" s="1"/>
      <c r="B3029" s="2"/>
      <c r="C3029" s="2"/>
    </row>
    <row r="3030" spans="1:3" x14ac:dyDescent="0.3">
      <c r="A3030" s="1"/>
      <c r="B3030" s="2"/>
      <c r="C3030" s="2"/>
    </row>
    <row r="3031" spans="1:3" x14ac:dyDescent="0.3">
      <c r="A3031" s="1"/>
      <c r="B3031" s="2"/>
      <c r="C3031" s="2"/>
    </row>
    <row r="3032" spans="1:3" x14ac:dyDescent="0.3">
      <c r="A3032" s="1"/>
      <c r="B3032" s="2"/>
      <c r="C3032" s="2"/>
    </row>
    <row r="3033" spans="1:3" x14ac:dyDescent="0.3">
      <c r="A3033" s="1"/>
      <c r="B3033" s="2"/>
      <c r="C3033" s="2"/>
    </row>
    <row r="3034" spans="1:3" x14ac:dyDescent="0.3">
      <c r="A3034" s="1"/>
      <c r="B3034" s="2"/>
      <c r="C3034" s="2"/>
    </row>
    <row r="3035" spans="1:3" x14ac:dyDescent="0.3">
      <c r="A3035" s="1"/>
      <c r="B3035" s="2"/>
      <c r="C3035" s="2"/>
    </row>
    <row r="3036" spans="1:3" x14ac:dyDescent="0.3">
      <c r="A3036" s="1"/>
      <c r="B3036" s="2"/>
      <c r="C3036" s="2"/>
    </row>
    <row r="3037" spans="1:3" x14ac:dyDescent="0.3">
      <c r="A3037" s="1"/>
      <c r="B3037" s="2"/>
      <c r="C3037" s="2"/>
    </row>
    <row r="3038" spans="1:3" x14ac:dyDescent="0.3">
      <c r="A3038" s="1"/>
      <c r="B3038" s="2"/>
      <c r="C3038" s="2"/>
    </row>
    <row r="3039" spans="1:3" x14ac:dyDescent="0.3">
      <c r="A3039" s="1"/>
      <c r="B3039" s="2"/>
      <c r="C3039" s="2"/>
    </row>
    <row r="3040" spans="1:3" x14ac:dyDescent="0.3">
      <c r="A3040" s="1"/>
      <c r="B3040" s="2"/>
      <c r="C3040" s="2"/>
    </row>
    <row r="3041" spans="1:3" x14ac:dyDescent="0.3">
      <c r="A3041" s="1"/>
      <c r="B3041" s="2"/>
      <c r="C3041" s="2"/>
    </row>
    <row r="3042" spans="1:3" x14ac:dyDescent="0.3">
      <c r="A3042" s="1"/>
      <c r="B3042" s="2"/>
      <c r="C3042" s="2"/>
    </row>
    <row r="3043" spans="1:3" x14ac:dyDescent="0.3">
      <c r="A3043" s="1"/>
      <c r="B3043" s="2"/>
      <c r="C3043" s="2"/>
    </row>
    <row r="3044" spans="1:3" x14ac:dyDescent="0.3">
      <c r="A3044" s="1"/>
      <c r="B3044" s="2"/>
      <c r="C3044" s="2"/>
    </row>
    <row r="3045" spans="1:3" x14ac:dyDescent="0.3">
      <c r="A3045" s="1"/>
      <c r="B3045" s="2"/>
      <c r="C3045" s="2"/>
    </row>
    <row r="3046" spans="1:3" x14ac:dyDescent="0.3">
      <c r="A3046" s="1"/>
      <c r="B3046" s="2"/>
      <c r="C3046" s="2"/>
    </row>
    <row r="3047" spans="1:3" x14ac:dyDescent="0.3">
      <c r="A3047" s="1"/>
      <c r="B3047" s="2"/>
      <c r="C3047" s="2"/>
    </row>
    <row r="3048" spans="1:3" x14ac:dyDescent="0.3">
      <c r="A3048" s="1"/>
      <c r="B3048" s="2"/>
      <c r="C3048" s="2"/>
    </row>
    <row r="3049" spans="1:3" x14ac:dyDescent="0.3">
      <c r="A3049" s="1"/>
      <c r="B3049" s="2"/>
      <c r="C3049" s="2"/>
    </row>
    <row r="3050" spans="1:3" x14ac:dyDescent="0.3">
      <c r="A3050" s="1"/>
      <c r="B3050" s="2"/>
      <c r="C3050" s="2"/>
    </row>
    <row r="3051" spans="1:3" x14ac:dyDescent="0.3">
      <c r="A3051" s="1"/>
      <c r="B3051" s="2"/>
      <c r="C3051" s="2"/>
    </row>
    <row r="3052" spans="1:3" x14ac:dyDescent="0.3">
      <c r="A3052" s="1"/>
      <c r="B3052" s="2"/>
      <c r="C3052" s="2"/>
    </row>
    <row r="3053" spans="1:3" x14ac:dyDescent="0.3">
      <c r="A3053" s="1"/>
      <c r="B3053" s="2"/>
      <c r="C3053" s="2"/>
    </row>
    <row r="3054" spans="1:3" x14ac:dyDescent="0.3">
      <c r="A3054" s="1"/>
      <c r="B3054" s="2"/>
      <c r="C3054" s="2"/>
    </row>
    <row r="3055" spans="1:3" x14ac:dyDescent="0.3">
      <c r="A3055" s="1"/>
      <c r="B3055" s="2"/>
      <c r="C3055" s="2"/>
    </row>
    <row r="3056" spans="1:3" x14ac:dyDescent="0.3">
      <c r="A3056" s="1"/>
      <c r="B3056" s="2"/>
      <c r="C3056" s="2"/>
    </row>
    <row r="3057" spans="1:3" x14ac:dyDescent="0.3">
      <c r="A3057" s="1"/>
      <c r="B3057" s="2"/>
      <c r="C3057" s="2"/>
    </row>
    <row r="3058" spans="1:3" x14ac:dyDescent="0.3">
      <c r="A3058" s="1"/>
      <c r="B3058" s="2"/>
      <c r="C3058" s="2"/>
    </row>
    <row r="3059" spans="1:3" x14ac:dyDescent="0.3">
      <c r="A3059" s="1"/>
      <c r="B3059" s="2"/>
      <c r="C3059" s="2"/>
    </row>
    <row r="3060" spans="1:3" x14ac:dyDescent="0.3">
      <c r="A3060" s="1"/>
      <c r="B3060" s="2"/>
      <c r="C3060" s="2"/>
    </row>
    <row r="3061" spans="1:3" x14ac:dyDescent="0.3">
      <c r="A3061" s="1"/>
      <c r="B3061" s="2"/>
      <c r="C3061" s="2"/>
    </row>
    <row r="3062" spans="1:3" x14ac:dyDescent="0.3">
      <c r="A3062" s="1"/>
      <c r="B3062" s="2"/>
      <c r="C3062" s="2"/>
    </row>
    <row r="3063" spans="1:3" x14ac:dyDescent="0.3">
      <c r="A3063" s="1"/>
      <c r="B3063" s="2"/>
      <c r="C3063" s="2"/>
    </row>
    <row r="3064" spans="1:3" x14ac:dyDescent="0.3">
      <c r="A3064" s="1"/>
      <c r="B3064" s="2"/>
      <c r="C3064" s="2"/>
    </row>
    <row r="3065" spans="1:3" x14ac:dyDescent="0.3">
      <c r="A3065" s="1"/>
      <c r="B3065" s="2"/>
      <c r="C3065" s="2"/>
    </row>
    <row r="3066" spans="1:3" x14ac:dyDescent="0.3">
      <c r="A3066" s="1"/>
      <c r="B3066" s="2"/>
      <c r="C3066" s="2"/>
    </row>
    <row r="3067" spans="1:3" x14ac:dyDescent="0.3">
      <c r="A3067" s="1"/>
      <c r="B3067" s="2"/>
      <c r="C3067" s="2"/>
    </row>
    <row r="3068" spans="1:3" x14ac:dyDescent="0.3">
      <c r="A3068" s="1"/>
      <c r="B3068" s="2"/>
      <c r="C3068" s="2"/>
    </row>
    <row r="3069" spans="1:3" x14ac:dyDescent="0.3">
      <c r="A3069" s="1"/>
      <c r="B3069" s="2"/>
      <c r="C3069" s="2"/>
    </row>
    <row r="3070" spans="1:3" x14ac:dyDescent="0.3">
      <c r="A3070" s="1"/>
      <c r="B3070" s="2"/>
      <c r="C3070" s="2"/>
    </row>
    <row r="3071" spans="1:3" x14ac:dyDescent="0.3">
      <c r="A3071" s="1"/>
      <c r="B3071" s="2"/>
      <c r="C3071" s="2"/>
    </row>
    <row r="3072" spans="1:3" x14ac:dyDescent="0.3">
      <c r="A3072" s="1"/>
      <c r="B3072" s="2"/>
      <c r="C3072" s="2"/>
    </row>
    <row r="3073" spans="1:3" x14ac:dyDescent="0.3">
      <c r="A3073" s="1"/>
      <c r="B3073" s="2"/>
      <c r="C3073" s="2"/>
    </row>
    <row r="3074" spans="1:3" x14ac:dyDescent="0.3">
      <c r="A3074" s="1"/>
      <c r="B3074" s="2"/>
      <c r="C3074" s="2"/>
    </row>
    <row r="3075" spans="1:3" x14ac:dyDescent="0.3">
      <c r="A3075" s="1"/>
      <c r="B3075" s="2"/>
      <c r="C3075" s="2"/>
    </row>
    <row r="3076" spans="1:3" x14ac:dyDescent="0.3">
      <c r="A3076" s="1"/>
      <c r="B3076" s="2"/>
      <c r="C3076" s="2"/>
    </row>
    <row r="3077" spans="1:3" x14ac:dyDescent="0.3">
      <c r="A3077" s="1"/>
      <c r="B3077" s="2"/>
      <c r="C3077" s="2"/>
    </row>
    <row r="3078" spans="1:3" x14ac:dyDescent="0.3">
      <c r="A3078" s="1"/>
      <c r="B3078" s="2"/>
      <c r="C3078" s="2"/>
    </row>
    <row r="3079" spans="1:3" x14ac:dyDescent="0.3">
      <c r="A3079" s="1"/>
      <c r="B3079" s="2"/>
      <c r="C3079" s="2"/>
    </row>
    <row r="3080" spans="1:3" x14ac:dyDescent="0.3">
      <c r="A3080" s="1"/>
      <c r="B3080" s="2"/>
      <c r="C3080" s="2"/>
    </row>
    <row r="3081" spans="1:3" x14ac:dyDescent="0.3">
      <c r="A3081" s="1"/>
      <c r="B3081" s="2"/>
      <c r="C3081" s="2"/>
    </row>
    <row r="3082" spans="1:3" x14ac:dyDescent="0.3">
      <c r="A3082" s="1"/>
      <c r="B3082" s="2"/>
      <c r="C3082" s="2"/>
    </row>
    <row r="3083" spans="1:3" x14ac:dyDescent="0.3">
      <c r="A3083" s="1"/>
      <c r="B3083" s="2"/>
      <c r="C3083" s="2"/>
    </row>
    <row r="3084" spans="1:3" x14ac:dyDescent="0.3">
      <c r="A3084" s="1"/>
      <c r="B3084" s="2"/>
      <c r="C3084" s="2"/>
    </row>
    <row r="3085" spans="1:3" x14ac:dyDescent="0.3">
      <c r="A3085" s="1"/>
      <c r="B3085" s="2"/>
      <c r="C3085" s="2"/>
    </row>
    <row r="3086" spans="1:3" x14ac:dyDescent="0.3">
      <c r="A3086" s="1"/>
      <c r="B3086" s="2"/>
      <c r="C3086" s="2"/>
    </row>
    <row r="3087" spans="1:3" x14ac:dyDescent="0.3">
      <c r="A3087" s="1"/>
      <c r="B3087" s="2"/>
      <c r="C3087" s="2"/>
    </row>
    <row r="3088" spans="1:3" x14ac:dyDescent="0.3">
      <c r="A3088" s="1"/>
      <c r="B3088" s="2"/>
      <c r="C3088" s="2"/>
    </row>
    <row r="3089" spans="1:3" x14ac:dyDescent="0.3">
      <c r="A3089" s="1"/>
      <c r="B3089" s="2"/>
      <c r="C3089" s="2"/>
    </row>
    <row r="3090" spans="1:3" x14ac:dyDescent="0.3">
      <c r="A3090" s="1"/>
      <c r="B3090" s="2"/>
      <c r="C3090" s="2"/>
    </row>
    <row r="3091" spans="1:3" x14ac:dyDescent="0.3">
      <c r="A3091" s="1"/>
      <c r="B3091" s="2"/>
      <c r="C3091" s="2"/>
    </row>
    <row r="3092" spans="1:3" x14ac:dyDescent="0.3">
      <c r="A3092" s="1"/>
      <c r="B3092" s="2"/>
      <c r="C3092" s="2"/>
    </row>
    <row r="3093" spans="1:3" x14ac:dyDescent="0.3">
      <c r="A3093" s="1"/>
      <c r="B3093" s="2"/>
      <c r="C3093" s="2"/>
    </row>
    <row r="3094" spans="1:3" x14ac:dyDescent="0.3">
      <c r="A3094" s="1"/>
      <c r="B3094" s="2"/>
      <c r="C3094" s="2"/>
    </row>
    <row r="3095" spans="1:3" x14ac:dyDescent="0.3">
      <c r="A3095" s="1"/>
      <c r="B3095" s="2"/>
      <c r="C3095" s="2"/>
    </row>
    <row r="3096" spans="1:3" x14ac:dyDescent="0.3">
      <c r="A3096" s="1"/>
      <c r="B3096" s="2"/>
      <c r="C3096" s="2"/>
    </row>
    <row r="3097" spans="1:3" x14ac:dyDescent="0.3">
      <c r="A3097" s="1"/>
      <c r="B3097" s="2"/>
      <c r="C3097" s="2"/>
    </row>
    <row r="3098" spans="1:3" x14ac:dyDescent="0.3">
      <c r="A3098" s="1"/>
      <c r="B3098" s="2"/>
      <c r="C3098" s="2"/>
    </row>
    <row r="3099" spans="1:3" x14ac:dyDescent="0.3">
      <c r="A3099" s="1"/>
      <c r="B3099" s="2"/>
      <c r="C3099" s="2"/>
    </row>
    <row r="3100" spans="1:3" x14ac:dyDescent="0.3">
      <c r="A3100" s="1"/>
      <c r="B3100" s="2"/>
      <c r="C3100" s="2"/>
    </row>
    <row r="3101" spans="1:3" x14ac:dyDescent="0.3">
      <c r="A3101" s="1"/>
      <c r="B3101" s="2"/>
      <c r="C3101" s="2"/>
    </row>
    <row r="3102" spans="1:3" x14ac:dyDescent="0.3">
      <c r="A3102" s="1"/>
      <c r="B3102" s="2"/>
      <c r="C3102" s="2"/>
    </row>
    <row r="3103" spans="1:3" x14ac:dyDescent="0.3">
      <c r="A3103" s="1"/>
      <c r="B3103" s="2"/>
      <c r="C3103" s="2"/>
    </row>
    <row r="3104" spans="1:3" x14ac:dyDescent="0.3">
      <c r="A3104" s="1"/>
      <c r="B3104" s="2"/>
      <c r="C3104" s="2"/>
    </row>
    <row r="3105" spans="1:3" x14ac:dyDescent="0.3">
      <c r="A3105" s="1"/>
      <c r="B3105" s="2"/>
      <c r="C3105" s="2"/>
    </row>
    <row r="3106" spans="1:3" x14ac:dyDescent="0.3">
      <c r="A3106" s="1"/>
      <c r="B3106" s="2"/>
      <c r="C3106" s="2"/>
    </row>
    <row r="3107" spans="1:3" x14ac:dyDescent="0.3">
      <c r="A3107" s="1"/>
      <c r="B3107" s="2"/>
      <c r="C3107" s="2"/>
    </row>
    <row r="3108" spans="1:3" x14ac:dyDescent="0.3">
      <c r="A3108" s="1"/>
      <c r="B3108" s="2"/>
      <c r="C3108" s="2"/>
    </row>
    <row r="3109" spans="1:3" x14ac:dyDescent="0.3">
      <c r="A3109" s="1"/>
      <c r="B3109" s="2"/>
      <c r="C3109" s="2"/>
    </row>
    <row r="3110" spans="1:3" x14ac:dyDescent="0.3">
      <c r="A3110" s="1"/>
      <c r="B3110" s="2"/>
      <c r="C3110" s="2"/>
    </row>
    <row r="3111" spans="1:3" x14ac:dyDescent="0.3">
      <c r="A3111" s="1"/>
      <c r="B3111" s="2"/>
      <c r="C3111" s="2"/>
    </row>
    <row r="3112" spans="1:3" x14ac:dyDescent="0.3">
      <c r="A3112" s="1"/>
      <c r="B3112" s="2"/>
      <c r="C3112" s="2"/>
    </row>
    <row r="3113" spans="1:3" x14ac:dyDescent="0.3">
      <c r="A3113" s="1"/>
      <c r="B3113" s="2"/>
      <c r="C3113" s="2"/>
    </row>
    <row r="3114" spans="1:3" x14ac:dyDescent="0.3">
      <c r="A3114" s="1"/>
      <c r="B3114" s="2"/>
      <c r="C3114" s="2"/>
    </row>
    <row r="3115" spans="1:3" x14ac:dyDescent="0.3">
      <c r="A3115" s="1"/>
      <c r="B3115" s="2"/>
      <c r="C3115" s="2"/>
    </row>
    <row r="3116" spans="1:3" x14ac:dyDescent="0.3">
      <c r="A3116" s="1"/>
      <c r="B3116" s="2"/>
      <c r="C3116" s="2"/>
    </row>
    <row r="3117" spans="1:3" x14ac:dyDescent="0.3">
      <c r="A3117" s="1"/>
      <c r="B3117" s="2"/>
      <c r="C3117" s="2"/>
    </row>
    <row r="3118" spans="1:3" x14ac:dyDescent="0.3">
      <c r="A3118" s="1"/>
      <c r="B3118" s="2"/>
      <c r="C3118" s="2"/>
    </row>
    <row r="3119" spans="1:3" x14ac:dyDescent="0.3">
      <c r="A3119" s="1"/>
      <c r="B3119" s="2"/>
      <c r="C3119" s="2"/>
    </row>
    <row r="3120" spans="1:3" x14ac:dyDescent="0.3">
      <c r="A3120" s="1"/>
      <c r="B3120" s="2"/>
      <c r="C3120" s="2"/>
    </row>
    <row r="3121" spans="1:3" x14ac:dyDescent="0.3">
      <c r="A3121" s="1"/>
      <c r="B3121" s="2"/>
      <c r="C3121" s="2"/>
    </row>
    <row r="3122" spans="1:3" x14ac:dyDescent="0.3">
      <c r="A3122" s="1"/>
      <c r="B3122" s="2"/>
      <c r="C3122" s="2"/>
    </row>
    <row r="3123" spans="1:3" x14ac:dyDescent="0.3">
      <c r="A3123" s="1"/>
      <c r="B3123" s="2"/>
      <c r="C3123" s="2"/>
    </row>
    <row r="3124" spans="1:3" x14ac:dyDescent="0.3">
      <c r="A3124" s="1"/>
      <c r="B3124" s="2"/>
      <c r="C3124" s="2"/>
    </row>
    <row r="3125" spans="1:3" x14ac:dyDescent="0.3">
      <c r="A3125" s="1"/>
      <c r="B3125" s="2"/>
      <c r="C3125" s="2"/>
    </row>
    <row r="3126" spans="1:3" x14ac:dyDescent="0.3">
      <c r="A3126" s="1"/>
      <c r="B3126" s="2"/>
      <c r="C3126" s="2"/>
    </row>
    <row r="3127" spans="1:3" x14ac:dyDescent="0.3">
      <c r="A3127" s="1"/>
      <c r="B3127" s="2"/>
      <c r="C3127" s="2"/>
    </row>
    <row r="3128" spans="1:3" x14ac:dyDescent="0.3">
      <c r="A3128" s="1"/>
      <c r="B3128" s="2"/>
      <c r="C3128" s="2"/>
    </row>
    <row r="3129" spans="1:3" x14ac:dyDescent="0.3">
      <c r="A3129" s="1"/>
      <c r="B3129" s="2"/>
      <c r="C3129" s="2"/>
    </row>
    <row r="3130" spans="1:3" x14ac:dyDescent="0.3">
      <c r="A3130" s="1"/>
      <c r="B3130" s="2"/>
      <c r="C3130" s="2"/>
    </row>
    <row r="3131" spans="1:3" x14ac:dyDescent="0.3">
      <c r="A3131" s="1"/>
      <c r="B3131" s="2"/>
      <c r="C3131" s="2"/>
    </row>
    <row r="3132" spans="1:3" x14ac:dyDescent="0.3">
      <c r="A3132" s="1"/>
      <c r="B3132" s="2"/>
      <c r="C3132" s="2"/>
    </row>
    <row r="3133" spans="1:3" x14ac:dyDescent="0.3">
      <c r="A3133" s="1"/>
      <c r="B3133" s="2"/>
      <c r="C3133" s="2"/>
    </row>
    <row r="3134" spans="1:3" x14ac:dyDescent="0.3">
      <c r="A3134" s="1"/>
      <c r="B3134" s="2"/>
      <c r="C3134" s="2"/>
    </row>
    <row r="3135" spans="1:3" x14ac:dyDescent="0.3">
      <c r="A3135" s="1"/>
      <c r="B3135" s="2"/>
      <c r="C3135" s="2"/>
    </row>
    <row r="3136" spans="1:3" x14ac:dyDescent="0.3">
      <c r="A3136" s="1"/>
      <c r="B3136" s="2"/>
      <c r="C3136" s="2"/>
    </row>
    <row r="3137" spans="1:3" x14ac:dyDescent="0.3">
      <c r="A3137" s="1"/>
      <c r="B3137" s="2"/>
      <c r="C3137" s="2"/>
    </row>
    <row r="3138" spans="1:3" x14ac:dyDescent="0.3">
      <c r="A3138" s="1"/>
      <c r="B3138" s="2"/>
      <c r="C3138" s="2"/>
    </row>
    <row r="3139" spans="1:3" x14ac:dyDescent="0.3">
      <c r="A3139" s="1"/>
      <c r="B3139" s="2"/>
      <c r="C3139" s="2"/>
    </row>
    <row r="3140" spans="1:3" x14ac:dyDescent="0.3">
      <c r="A3140" s="1"/>
      <c r="B3140" s="2"/>
      <c r="C3140" s="2"/>
    </row>
    <row r="3141" spans="1:3" x14ac:dyDescent="0.3">
      <c r="A3141" s="1"/>
      <c r="B3141" s="2"/>
      <c r="C3141" s="2"/>
    </row>
    <row r="3142" spans="1:3" x14ac:dyDescent="0.3">
      <c r="A3142" s="1"/>
      <c r="B3142" s="2"/>
      <c r="C3142" s="2"/>
    </row>
    <row r="3143" spans="1:3" x14ac:dyDescent="0.3">
      <c r="A3143" s="1"/>
      <c r="B3143" s="2"/>
      <c r="C3143" s="2"/>
    </row>
    <row r="3144" spans="1:3" x14ac:dyDescent="0.3">
      <c r="A3144" s="1"/>
      <c r="B3144" s="2"/>
      <c r="C3144" s="2"/>
    </row>
    <row r="3145" spans="1:3" x14ac:dyDescent="0.3">
      <c r="A3145" s="1"/>
      <c r="B3145" s="2"/>
      <c r="C3145" s="2"/>
    </row>
    <row r="3146" spans="1:3" x14ac:dyDescent="0.3">
      <c r="A3146" s="1"/>
      <c r="B3146" s="2"/>
      <c r="C3146" s="2"/>
    </row>
    <row r="3147" spans="1:3" x14ac:dyDescent="0.3">
      <c r="A3147" s="1"/>
      <c r="B3147" s="2"/>
      <c r="C3147" s="2"/>
    </row>
    <row r="3148" spans="1:3" x14ac:dyDescent="0.3">
      <c r="A3148" s="1"/>
      <c r="B3148" s="2"/>
      <c r="C3148" s="2"/>
    </row>
    <row r="3149" spans="1:3" x14ac:dyDescent="0.3">
      <c r="A3149" s="1"/>
      <c r="B3149" s="2"/>
      <c r="C3149" s="2"/>
    </row>
    <row r="3150" spans="1:3" x14ac:dyDescent="0.3">
      <c r="A3150" s="1"/>
      <c r="B3150" s="2"/>
      <c r="C3150" s="2"/>
    </row>
    <row r="3151" spans="1:3" x14ac:dyDescent="0.3">
      <c r="A3151" s="1"/>
      <c r="B3151" s="2"/>
      <c r="C3151" s="2"/>
    </row>
    <row r="3152" spans="1:3" x14ac:dyDescent="0.3">
      <c r="A3152" s="1"/>
      <c r="B3152" s="2"/>
      <c r="C3152" s="2"/>
    </row>
    <row r="3153" spans="1:3" x14ac:dyDescent="0.3">
      <c r="A3153" s="1"/>
      <c r="B3153" s="2"/>
      <c r="C3153" s="2"/>
    </row>
    <row r="3154" spans="1:3" x14ac:dyDescent="0.3">
      <c r="A3154" s="1"/>
      <c r="B3154" s="2"/>
      <c r="C3154" s="2"/>
    </row>
    <row r="3155" spans="1:3" x14ac:dyDescent="0.3">
      <c r="A3155" s="1"/>
      <c r="B3155" s="2"/>
      <c r="C3155" s="2"/>
    </row>
    <row r="3156" spans="1:3" x14ac:dyDescent="0.3">
      <c r="A3156" s="1"/>
      <c r="B3156" s="2"/>
      <c r="C3156" s="2"/>
    </row>
    <row r="3157" spans="1:3" x14ac:dyDescent="0.3">
      <c r="A3157" s="1"/>
      <c r="B3157" s="2"/>
      <c r="C3157" s="2"/>
    </row>
    <row r="3158" spans="1:3" x14ac:dyDescent="0.3">
      <c r="A3158" s="1"/>
      <c r="B3158" s="2"/>
      <c r="C3158" s="2"/>
    </row>
    <row r="3159" spans="1:3" x14ac:dyDescent="0.3">
      <c r="A3159" s="1"/>
      <c r="B3159" s="2"/>
      <c r="C3159" s="2"/>
    </row>
    <row r="3160" spans="1:3" x14ac:dyDescent="0.3">
      <c r="A3160" s="1"/>
      <c r="B3160" s="2"/>
      <c r="C3160" s="2"/>
    </row>
    <row r="3161" spans="1:3" x14ac:dyDescent="0.3">
      <c r="A3161" s="1"/>
      <c r="B3161" s="2"/>
      <c r="C3161" s="2"/>
    </row>
    <row r="3162" spans="1:3" x14ac:dyDescent="0.3">
      <c r="A3162" s="1"/>
      <c r="B3162" s="2"/>
      <c r="C3162" s="2"/>
    </row>
    <row r="3163" spans="1:3" x14ac:dyDescent="0.3">
      <c r="A3163" s="1"/>
      <c r="B3163" s="2"/>
      <c r="C3163" s="2"/>
    </row>
    <row r="3164" spans="1:3" x14ac:dyDescent="0.3">
      <c r="A3164" s="1"/>
      <c r="B3164" s="2"/>
      <c r="C3164" s="2"/>
    </row>
    <row r="3165" spans="1:3" x14ac:dyDescent="0.3">
      <c r="A3165" s="1"/>
      <c r="B3165" s="2"/>
      <c r="C3165" s="2"/>
    </row>
    <row r="3166" spans="1:3" x14ac:dyDescent="0.3">
      <c r="A3166" s="1"/>
      <c r="B3166" s="2"/>
      <c r="C3166" s="2"/>
    </row>
    <row r="3167" spans="1:3" x14ac:dyDescent="0.3">
      <c r="A3167" s="1"/>
      <c r="B3167" s="2"/>
      <c r="C3167" s="2"/>
    </row>
    <row r="3168" spans="1:3" x14ac:dyDescent="0.3">
      <c r="A3168" s="1"/>
      <c r="B3168" s="2"/>
      <c r="C3168" s="2"/>
    </row>
    <row r="3169" spans="1:3" x14ac:dyDescent="0.3">
      <c r="A3169" s="1"/>
      <c r="B3169" s="2"/>
      <c r="C3169" s="2"/>
    </row>
    <row r="3170" spans="1:3" x14ac:dyDescent="0.3">
      <c r="A3170" s="1"/>
      <c r="B3170" s="2"/>
      <c r="C3170" s="2"/>
    </row>
    <row r="3171" spans="1:3" x14ac:dyDescent="0.3">
      <c r="A3171" s="1"/>
      <c r="B3171" s="2"/>
      <c r="C3171" s="2"/>
    </row>
    <row r="3172" spans="1:3" x14ac:dyDescent="0.3">
      <c r="A3172" s="1"/>
      <c r="B3172" s="2"/>
      <c r="C3172" s="2"/>
    </row>
    <row r="3173" spans="1:3" x14ac:dyDescent="0.3">
      <c r="A3173" s="1"/>
      <c r="B3173" s="2"/>
      <c r="C3173" s="2"/>
    </row>
    <row r="3174" spans="1:3" x14ac:dyDescent="0.3">
      <c r="A3174" s="1"/>
      <c r="B3174" s="2"/>
      <c r="C3174" s="2"/>
    </row>
    <row r="3175" spans="1:3" x14ac:dyDescent="0.3">
      <c r="A3175" s="1"/>
      <c r="B3175" s="2"/>
      <c r="C3175" s="2"/>
    </row>
    <row r="3176" spans="1:3" x14ac:dyDescent="0.3">
      <c r="A3176" s="1"/>
      <c r="B3176" s="2"/>
      <c r="C3176" s="2"/>
    </row>
    <row r="3177" spans="1:3" x14ac:dyDescent="0.3">
      <c r="A3177" s="1"/>
      <c r="B3177" s="2"/>
      <c r="C3177" s="2"/>
    </row>
    <row r="3178" spans="1:3" x14ac:dyDescent="0.3">
      <c r="A3178" s="1"/>
      <c r="B3178" s="2"/>
      <c r="C3178" s="2"/>
    </row>
    <row r="3179" spans="1:3" x14ac:dyDescent="0.3">
      <c r="A3179" s="1"/>
      <c r="B3179" s="2"/>
      <c r="C3179" s="2"/>
    </row>
    <row r="3180" spans="1:3" x14ac:dyDescent="0.3">
      <c r="A3180" s="1"/>
      <c r="B3180" s="2"/>
      <c r="C3180" s="2"/>
    </row>
    <row r="3181" spans="1:3" x14ac:dyDescent="0.3">
      <c r="A3181" s="1"/>
      <c r="B3181" s="2"/>
      <c r="C3181" s="2"/>
    </row>
    <row r="3182" spans="1:3" x14ac:dyDescent="0.3">
      <c r="A3182" s="1"/>
      <c r="B3182" s="2"/>
      <c r="C3182" s="2"/>
    </row>
    <row r="3183" spans="1:3" x14ac:dyDescent="0.3">
      <c r="A3183" s="1"/>
      <c r="B3183" s="2"/>
      <c r="C3183" s="2"/>
    </row>
    <row r="3184" spans="1:3" x14ac:dyDescent="0.3">
      <c r="A3184" s="1"/>
      <c r="B3184" s="2"/>
      <c r="C3184" s="2"/>
    </row>
    <row r="3185" spans="1:3" x14ac:dyDescent="0.3">
      <c r="A3185" s="1"/>
      <c r="B3185" s="2"/>
      <c r="C3185" s="2"/>
    </row>
    <row r="3186" spans="1:3" x14ac:dyDescent="0.3">
      <c r="A3186" s="1"/>
      <c r="B3186" s="2"/>
      <c r="C3186" s="2"/>
    </row>
    <row r="3187" spans="1:3" x14ac:dyDescent="0.3">
      <c r="A3187" s="1"/>
      <c r="B3187" s="2"/>
      <c r="C3187" s="2"/>
    </row>
    <row r="3188" spans="1:3" x14ac:dyDescent="0.3">
      <c r="A3188" s="1"/>
      <c r="B3188" s="2"/>
      <c r="C3188" s="2"/>
    </row>
    <row r="3189" spans="1:3" x14ac:dyDescent="0.3">
      <c r="A3189" s="1"/>
      <c r="B3189" s="2"/>
      <c r="C3189" s="2"/>
    </row>
    <row r="3190" spans="1:3" x14ac:dyDescent="0.3">
      <c r="A3190" s="1"/>
      <c r="B3190" s="2"/>
      <c r="C3190" s="2"/>
    </row>
    <row r="3191" spans="1:3" x14ac:dyDescent="0.3">
      <c r="A3191" s="1"/>
      <c r="B3191" s="2"/>
      <c r="C3191" s="2"/>
    </row>
    <row r="3192" spans="1:3" x14ac:dyDescent="0.3">
      <c r="A3192" s="1"/>
      <c r="B3192" s="2"/>
      <c r="C3192" s="2"/>
    </row>
    <row r="3193" spans="1:3" x14ac:dyDescent="0.3">
      <c r="A3193" s="1"/>
      <c r="B3193" s="2"/>
      <c r="C3193" s="2"/>
    </row>
    <row r="3194" spans="1:3" x14ac:dyDescent="0.3">
      <c r="A3194" s="1"/>
      <c r="B3194" s="2"/>
      <c r="C3194" s="2"/>
    </row>
    <row r="3195" spans="1:3" x14ac:dyDescent="0.3">
      <c r="A3195" s="1"/>
      <c r="B3195" s="2"/>
      <c r="C3195" s="2"/>
    </row>
    <row r="3196" spans="1:3" x14ac:dyDescent="0.3">
      <c r="A3196" s="1"/>
      <c r="B3196" s="2"/>
      <c r="C3196" s="2"/>
    </row>
    <row r="3197" spans="1:3" x14ac:dyDescent="0.3">
      <c r="A3197" s="1"/>
      <c r="B3197" s="2"/>
      <c r="C3197" s="2"/>
    </row>
    <row r="3198" spans="1:3" x14ac:dyDescent="0.3">
      <c r="A3198" s="1"/>
      <c r="B3198" s="2"/>
      <c r="C3198" s="2"/>
    </row>
    <row r="3199" spans="1:3" x14ac:dyDescent="0.3">
      <c r="A3199" s="1"/>
      <c r="B3199" s="2"/>
      <c r="C3199" s="2"/>
    </row>
    <row r="3200" spans="1:3" x14ac:dyDescent="0.3">
      <c r="A3200" s="1"/>
      <c r="B3200" s="2"/>
      <c r="C3200" s="2"/>
    </row>
    <row r="3201" spans="1:3" x14ac:dyDescent="0.3">
      <c r="A3201" s="1"/>
      <c r="B3201" s="2"/>
      <c r="C3201" s="2"/>
    </row>
    <row r="3202" spans="1:3" x14ac:dyDescent="0.3">
      <c r="A3202" s="1"/>
      <c r="B3202" s="2"/>
      <c r="C3202" s="2"/>
    </row>
    <row r="3203" spans="1:3" x14ac:dyDescent="0.3">
      <c r="A3203" s="1"/>
      <c r="B3203" s="2"/>
      <c r="C3203" s="2"/>
    </row>
    <row r="3204" spans="1:3" x14ac:dyDescent="0.3">
      <c r="A3204" s="1"/>
      <c r="B3204" s="2"/>
      <c r="C3204" s="2"/>
    </row>
    <row r="3205" spans="1:3" x14ac:dyDescent="0.3">
      <c r="A3205" s="1"/>
      <c r="B3205" s="2"/>
      <c r="C3205" s="2"/>
    </row>
    <row r="3206" spans="1:3" x14ac:dyDescent="0.3">
      <c r="A3206" s="1"/>
      <c r="B3206" s="2"/>
      <c r="C3206" s="2"/>
    </row>
    <row r="3207" spans="1:3" x14ac:dyDescent="0.3">
      <c r="A3207" s="1"/>
      <c r="B3207" s="2"/>
      <c r="C3207" s="2"/>
    </row>
    <row r="3208" spans="1:3" x14ac:dyDescent="0.3">
      <c r="A3208" s="1"/>
      <c r="B3208" s="2"/>
      <c r="C3208" s="2"/>
    </row>
    <row r="3209" spans="1:3" x14ac:dyDescent="0.3">
      <c r="A3209" s="1"/>
      <c r="B3209" s="2"/>
      <c r="C3209" s="2"/>
    </row>
    <row r="3210" spans="1:3" x14ac:dyDescent="0.3">
      <c r="A3210" s="1"/>
      <c r="B3210" s="2"/>
      <c r="C3210" s="2"/>
    </row>
    <row r="3211" spans="1:3" x14ac:dyDescent="0.3">
      <c r="A3211" s="1"/>
      <c r="B3211" s="2"/>
      <c r="C3211" s="2"/>
    </row>
    <row r="3212" spans="1:3" x14ac:dyDescent="0.3">
      <c r="A3212" s="1"/>
      <c r="B3212" s="2"/>
      <c r="C3212" s="2"/>
    </row>
    <row r="3213" spans="1:3" x14ac:dyDescent="0.3">
      <c r="A3213" s="1"/>
      <c r="B3213" s="2"/>
      <c r="C3213" s="2"/>
    </row>
    <row r="3214" spans="1:3" x14ac:dyDescent="0.3">
      <c r="A3214" s="1"/>
      <c r="B3214" s="2"/>
      <c r="C3214" s="2"/>
    </row>
    <row r="3215" spans="1:3" x14ac:dyDescent="0.3">
      <c r="A3215" s="1"/>
      <c r="B3215" s="2"/>
      <c r="C3215" s="2"/>
    </row>
    <row r="3216" spans="1:3" x14ac:dyDescent="0.3">
      <c r="A3216" s="1"/>
      <c r="B3216" s="2"/>
      <c r="C3216" s="2"/>
    </row>
    <row r="3217" spans="1:3" x14ac:dyDescent="0.3">
      <c r="A3217" s="1"/>
      <c r="B3217" s="2"/>
      <c r="C3217" s="2"/>
    </row>
    <row r="3218" spans="1:3" x14ac:dyDescent="0.3">
      <c r="A3218" s="1"/>
      <c r="B3218" s="2"/>
      <c r="C3218" s="2"/>
    </row>
    <row r="3219" spans="1:3" x14ac:dyDescent="0.3">
      <c r="A3219" s="1"/>
      <c r="B3219" s="2"/>
      <c r="C3219" s="2"/>
    </row>
    <row r="3220" spans="1:3" x14ac:dyDescent="0.3">
      <c r="A3220" s="1"/>
      <c r="B3220" s="2"/>
      <c r="C3220" s="2"/>
    </row>
    <row r="3221" spans="1:3" x14ac:dyDescent="0.3">
      <c r="A3221" s="1"/>
      <c r="B3221" s="2"/>
      <c r="C3221" s="2"/>
    </row>
    <row r="3222" spans="1:3" x14ac:dyDescent="0.3">
      <c r="A3222" s="1"/>
      <c r="B3222" s="2"/>
      <c r="C3222" s="2"/>
    </row>
    <row r="3223" spans="1:3" x14ac:dyDescent="0.3">
      <c r="A3223" s="1"/>
      <c r="B3223" s="2"/>
      <c r="C3223" s="2"/>
    </row>
    <row r="3224" spans="1:3" x14ac:dyDescent="0.3">
      <c r="A3224" s="1"/>
      <c r="B3224" s="2"/>
      <c r="C3224" s="2"/>
    </row>
    <row r="3225" spans="1:3" x14ac:dyDescent="0.3">
      <c r="A3225" s="1"/>
      <c r="B3225" s="2"/>
      <c r="C3225" s="2"/>
    </row>
    <row r="3226" spans="1:3" x14ac:dyDescent="0.3">
      <c r="A3226" s="1"/>
      <c r="B3226" s="2"/>
      <c r="C3226" s="2"/>
    </row>
    <row r="3227" spans="1:3" x14ac:dyDescent="0.3">
      <c r="A3227" s="1"/>
      <c r="B3227" s="2"/>
      <c r="C3227" s="2"/>
    </row>
    <row r="3228" spans="1:3" x14ac:dyDescent="0.3">
      <c r="A3228" s="1"/>
      <c r="B3228" s="2"/>
      <c r="C3228" s="2"/>
    </row>
    <row r="3229" spans="1:3" x14ac:dyDescent="0.3">
      <c r="A3229" s="1"/>
      <c r="B3229" s="2"/>
      <c r="C3229" s="2"/>
    </row>
    <row r="3230" spans="1:3" x14ac:dyDescent="0.3">
      <c r="A3230" s="1"/>
      <c r="B3230" s="2"/>
      <c r="C3230" s="2"/>
    </row>
    <row r="3231" spans="1:3" x14ac:dyDescent="0.3">
      <c r="A3231" s="1"/>
      <c r="B3231" s="2"/>
      <c r="C3231" s="2"/>
    </row>
    <row r="3232" spans="1:3" x14ac:dyDescent="0.3">
      <c r="A3232" s="1"/>
      <c r="B3232" s="2"/>
      <c r="C3232" s="2"/>
    </row>
    <row r="3233" spans="1:3" x14ac:dyDescent="0.3">
      <c r="A3233" s="1"/>
      <c r="B3233" s="2"/>
      <c r="C3233" s="2"/>
    </row>
    <row r="3234" spans="1:3" x14ac:dyDescent="0.3">
      <c r="A3234" s="1"/>
      <c r="B3234" s="2"/>
      <c r="C3234" s="2"/>
    </row>
    <row r="3235" spans="1:3" x14ac:dyDescent="0.3">
      <c r="A3235" s="1"/>
      <c r="B3235" s="2"/>
      <c r="C3235" s="2"/>
    </row>
    <row r="3236" spans="1:3" x14ac:dyDescent="0.3">
      <c r="A3236" s="1"/>
      <c r="B3236" s="2"/>
      <c r="C3236" s="2"/>
    </row>
    <row r="3237" spans="1:3" x14ac:dyDescent="0.3">
      <c r="A3237" s="1"/>
      <c r="B3237" s="2"/>
      <c r="C3237" s="2"/>
    </row>
    <row r="3238" spans="1:3" x14ac:dyDescent="0.3">
      <c r="A3238" s="1"/>
      <c r="B3238" s="2"/>
      <c r="C3238" s="2"/>
    </row>
    <row r="3239" spans="1:3" x14ac:dyDescent="0.3">
      <c r="A3239" s="1"/>
      <c r="B3239" s="2"/>
      <c r="C3239" s="2"/>
    </row>
    <row r="3240" spans="1:3" x14ac:dyDescent="0.3">
      <c r="A3240" s="1"/>
      <c r="B3240" s="2"/>
      <c r="C3240" s="2"/>
    </row>
    <row r="3241" spans="1:3" x14ac:dyDescent="0.3">
      <c r="A3241" s="1"/>
      <c r="B3241" s="2"/>
      <c r="C3241" s="2"/>
    </row>
    <row r="3242" spans="1:3" x14ac:dyDescent="0.3">
      <c r="A3242" s="1"/>
      <c r="B3242" s="2"/>
      <c r="C3242" s="2"/>
    </row>
    <row r="3243" spans="1:3" x14ac:dyDescent="0.3">
      <c r="A3243" s="1"/>
      <c r="B3243" s="2"/>
      <c r="C3243" s="2"/>
    </row>
    <row r="3244" spans="1:3" x14ac:dyDescent="0.3">
      <c r="A3244" s="1"/>
      <c r="B3244" s="2"/>
      <c r="C3244" s="2"/>
    </row>
    <row r="3245" spans="1:3" x14ac:dyDescent="0.3">
      <c r="A3245" s="1"/>
      <c r="B3245" s="2"/>
      <c r="C3245" s="2"/>
    </row>
    <row r="3246" spans="1:3" x14ac:dyDescent="0.3">
      <c r="A3246" s="1"/>
      <c r="B3246" s="2"/>
      <c r="C3246" s="2"/>
    </row>
    <row r="3247" spans="1:3" x14ac:dyDescent="0.3">
      <c r="A3247" s="1"/>
      <c r="B3247" s="2"/>
      <c r="C3247" s="2"/>
    </row>
    <row r="3248" spans="1:3" x14ac:dyDescent="0.3">
      <c r="A3248" s="1"/>
      <c r="B3248" s="2"/>
      <c r="C3248" s="2"/>
    </row>
    <row r="3249" spans="1:3" x14ac:dyDescent="0.3">
      <c r="A3249" s="1"/>
      <c r="B3249" s="2"/>
      <c r="C3249" s="2"/>
    </row>
    <row r="3250" spans="1:3" x14ac:dyDescent="0.3">
      <c r="A3250" s="1"/>
      <c r="B3250" s="2"/>
      <c r="C3250" s="2"/>
    </row>
    <row r="3251" spans="1:3" x14ac:dyDescent="0.3">
      <c r="A3251" s="1"/>
      <c r="B3251" s="2"/>
      <c r="C3251" s="2"/>
    </row>
    <row r="3252" spans="1:3" x14ac:dyDescent="0.3">
      <c r="A3252" s="1"/>
      <c r="B3252" s="2"/>
      <c r="C3252" s="2"/>
    </row>
    <row r="3253" spans="1:3" x14ac:dyDescent="0.3">
      <c r="A3253" s="1"/>
      <c r="B3253" s="2"/>
      <c r="C3253" s="2"/>
    </row>
    <row r="3254" spans="1:3" x14ac:dyDescent="0.3">
      <c r="A3254" s="1"/>
      <c r="B3254" s="2"/>
      <c r="C3254" s="2"/>
    </row>
    <row r="3255" spans="1:3" x14ac:dyDescent="0.3">
      <c r="A3255" s="1"/>
      <c r="B3255" s="2"/>
      <c r="C3255" s="2"/>
    </row>
    <row r="3256" spans="1:3" x14ac:dyDescent="0.3">
      <c r="A3256" s="1"/>
      <c r="B3256" s="2"/>
      <c r="C3256" s="2"/>
    </row>
    <row r="3257" spans="1:3" x14ac:dyDescent="0.3">
      <c r="A3257" s="1"/>
      <c r="B3257" s="2"/>
      <c r="C3257" s="2"/>
    </row>
    <row r="3258" spans="1:3" x14ac:dyDescent="0.3">
      <c r="A3258" s="1"/>
      <c r="B3258" s="2"/>
      <c r="C3258" s="2"/>
    </row>
    <row r="3259" spans="1:3" x14ac:dyDescent="0.3">
      <c r="A3259" s="1"/>
      <c r="B3259" s="2"/>
      <c r="C3259" s="2"/>
    </row>
    <row r="3260" spans="1:3" x14ac:dyDescent="0.3">
      <c r="A3260" s="1"/>
      <c r="B3260" s="2"/>
      <c r="C3260" s="2"/>
    </row>
    <row r="3261" spans="1:3" x14ac:dyDescent="0.3">
      <c r="A3261" s="1"/>
      <c r="B3261" s="2"/>
      <c r="C3261" s="2"/>
    </row>
    <row r="3262" spans="1:3" x14ac:dyDescent="0.3">
      <c r="A3262" s="1"/>
      <c r="B3262" s="2"/>
      <c r="C3262" s="2"/>
    </row>
    <row r="3263" spans="1:3" x14ac:dyDescent="0.3">
      <c r="A3263" s="1"/>
      <c r="B3263" s="2"/>
      <c r="C3263" s="2"/>
    </row>
    <row r="3264" spans="1:3" x14ac:dyDescent="0.3">
      <c r="A3264" s="1"/>
      <c r="B3264" s="2"/>
      <c r="C3264" s="2"/>
    </row>
    <row r="3265" spans="1:3" x14ac:dyDescent="0.3">
      <c r="A3265" s="1"/>
      <c r="B3265" s="2"/>
      <c r="C3265" s="2"/>
    </row>
    <row r="3266" spans="1:3" x14ac:dyDescent="0.3">
      <c r="A3266" s="1"/>
      <c r="B3266" s="2"/>
      <c r="C3266" s="2"/>
    </row>
    <row r="3267" spans="1:3" x14ac:dyDescent="0.3">
      <c r="A3267" s="1"/>
      <c r="B3267" s="2"/>
      <c r="C3267" s="2"/>
    </row>
    <row r="3268" spans="1:3" x14ac:dyDescent="0.3">
      <c r="A3268" s="1"/>
      <c r="B3268" s="2"/>
      <c r="C3268" s="2"/>
    </row>
    <row r="3269" spans="1:3" x14ac:dyDescent="0.3">
      <c r="A3269" s="1"/>
      <c r="B3269" s="2"/>
      <c r="C3269" s="2"/>
    </row>
    <row r="3270" spans="1:3" x14ac:dyDescent="0.3">
      <c r="A3270" s="1"/>
      <c r="B3270" s="2"/>
      <c r="C3270" s="2"/>
    </row>
    <row r="3271" spans="1:3" x14ac:dyDescent="0.3">
      <c r="A3271" s="1"/>
      <c r="B3271" s="2"/>
      <c r="C3271" s="2"/>
    </row>
    <row r="3272" spans="1:3" x14ac:dyDescent="0.3">
      <c r="A3272" s="1"/>
      <c r="B3272" s="2"/>
      <c r="C3272" s="2"/>
    </row>
    <row r="3273" spans="1:3" x14ac:dyDescent="0.3">
      <c r="A3273" s="1"/>
      <c r="B3273" s="2"/>
      <c r="C3273" s="2"/>
    </row>
    <row r="3274" spans="1:3" x14ac:dyDescent="0.3">
      <c r="A3274" s="1"/>
      <c r="B3274" s="2"/>
      <c r="C3274" s="2"/>
    </row>
    <row r="3275" spans="1:3" x14ac:dyDescent="0.3">
      <c r="A3275" s="1"/>
      <c r="B3275" s="2"/>
      <c r="C3275" s="2"/>
    </row>
    <row r="3276" spans="1:3" x14ac:dyDescent="0.3">
      <c r="A3276" s="1"/>
      <c r="B3276" s="2"/>
      <c r="C3276" s="2"/>
    </row>
    <row r="3277" spans="1:3" x14ac:dyDescent="0.3">
      <c r="A3277" s="1"/>
      <c r="B3277" s="2"/>
      <c r="C3277" s="2"/>
    </row>
    <row r="3278" spans="1:3" x14ac:dyDescent="0.3">
      <c r="A3278" s="1"/>
      <c r="B3278" s="2"/>
      <c r="C3278" s="2"/>
    </row>
    <row r="3279" spans="1:3" x14ac:dyDescent="0.3">
      <c r="A3279" s="1"/>
      <c r="B3279" s="2"/>
      <c r="C3279" s="2"/>
    </row>
    <row r="3280" spans="1:3" x14ac:dyDescent="0.3">
      <c r="A3280" s="1"/>
      <c r="B3280" s="2"/>
      <c r="C3280" s="2"/>
    </row>
    <row r="3281" spans="1:3" x14ac:dyDescent="0.3">
      <c r="A3281" s="1"/>
      <c r="B3281" s="2"/>
      <c r="C3281" s="2"/>
    </row>
    <row r="3282" spans="1:3" x14ac:dyDescent="0.3">
      <c r="A3282" s="1"/>
      <c r="B3282" s="2"/>
      <c r="C3282" s="2"/>
    </row>
    <row r="3283" spans="1:3" x14ac:dyDescent="0.3">
      <c r="A3283" s="1"/>
      <c r="B3283" s="2"/>
      <c r="C3283" s="2"/>
    </row>
    <row r="3284" spans="1:3" x14ac:dyDescent="0.3">
      <c r="A3284" s="1"/>
      <c r="B3284" s="2"/>
      <c r="C3284" s="2"/>
    </row>
    <row r="3285" spans="1:3" x14ac:dyDescent="0.3">
      <c r="A3285" s="1"/>
      <c r="B3285" s="2"/>
      <c r="C3285" s="2"/>
    </row>
    <row r="3286" spans="1:3" x14ac:dyDescent="0.3">
      <c r="A3286" s="1"/>
      <c r="B3286" s="2"/>
      <c r="C3286" s="2"/>
    </row>
    <row r="3287" spans="1:3" x14ac:dyDescent="0.3">
      <c r="A3287" s="1"/>
      <c r="B3287" s="2"/>
      <c r="C3287" s="2"/>
    </row>
    <row r="3288" spans="1:3" x14ac:dyDescent="0.3">
      <c r="A3288" s="1"/>
      <c r="B3288" s="2"/>
      <c r="C3288" s="2"/>
    </row>
    <row r="3289" spans="1:3" x14ac:dyDescent="0.3">
      <c r="A3289" s="1"/>
      <c r="B3289" s="2"/>
      <c r="C3289" s="2"/>
    </row>
    <row r="3290" spans="1:3" x14ac:dyDescent="0.3">
      <c r="A3290" s="1"/>
      <c r="B3290" s="2"/>
      <c r="C3290" s="2"/>
    </row>
    <row r="3291" spans="1:3" x14ac:dyDescent="0.3">
      <c r="A3291" s="1"/>
      <c r="B3291" s="2"/>
      <c r="C3291" s="2"/>
    </row>
    <row r="3292" spans="1:3" x14ac:dyDescent="0.3">
      <c r="A3292" s="1"/>
      <c r="B3292" s="2"/>
      <c r="C3292" s="2"/>
    </row>
    <row r="3293" spans="1:3" x14ac:dyDescent="0.3">
      <c r="A3293" s="1"/>
      <c r="B3293" s="2"/>
      <c r="C3293" s="2"/>
    </row>
    <row r="3294" spans="1:3" x14ac:dyDescent="0.3">
      <c r="A3294" s="1"/>
      <c r="B3294" s="2"/>
      <c r="C3294" s="2"/>
    </row>
    <row r="3295" spans="1:3" x14ac:dyDescent="0.3">
      <c r="A3295" s="1"/>
      <c r="B3295" s="2"/>
      <c r="C3295" s="2"/>
    </row>
    <row r="3296" spans="1:3" x14ac:dyDescent="0.3">
      <c r="A3296" s="1"/>
      <c r="B3296" s="2"/>
      <c r="C3296" s="2"/>
    </row>
    <row r="3297" spans="1:3" x14ac:dyDescent="0.3">
      <c r="A3297" s="1"/>
      <c r="B3297" s="2"/>
      <c r="C3297" s="2"/>
    </row>
    <row r="3298" spans="1:3" x14ac:dyDescent="0.3">
      <c r="A3298" s="1"/>
      <c r="B3298" s="2"/>
      <c r="C3298" s="2"/>
    </row>
    <row r="3299" spans="1:3" x14ac:dyDescent="0.3">
      <c r="A3299" s="1"/>
      <c r="B3299" s="2"/>
      <c r="C3299" s="2"/>
    </row>
    <row r="3300" spans="1:3" x14ac:dyDescent="0.3">
      <c r="A3300" s="1"/>
      <c r="B3300" s="2"/>
      <c r="C3300" s="2"/>
    </row>
    <row r="3301" spans="1:3" x14ac:dyDescent="0.3">
      <c r="A3301" s="1"/>
      <c r="B3301" s="2"/>
      <c r="C3301" s="2"/>
    </row>
    <row r="3302" spans="1:3" x14ac:dyDescent="0.3">
      <c r="A3302" s="1"/>
      <c r="B3302" s="2"/>
      <c r="C3302" s="2"/>
    </row>
    <row r="3303" spans="1:3" x14ac:dyDescent="0.3">
      <c r="A3303" s="1"/>
      <c r="B3303" s="2"/>
      <c r="C3303" s="2"/>
    </row>
    <row r="3304" spans="1:3" x14ac:dyDescent="0.3">
      <c r="A3304" s="1"/>
      <c r="B3304" s="2"/>
      <c r="C3304" s="2"/>
    </row>
    <row r="3305" spans="1:3" x14ac:dyDescent="0.3">
      <c r="A3305" s="1"/>
      <c r="B3305" s="2"/>
      <c r="C3305" s="2"/>
    </row>
    <row r="3306" spans="1:3" x14ac:dyDescent="0.3">
      <c r="A3306" s="1"/>
      <c r="B3306" s="2"/>
      <c r="C3306" s="2"/>
    </row>
    <row r="3307" spans="1:3" x14ac:dyDescent="0.3">
      <c r="A3307" s="1"/>
      <c r="B3307" s="2"/>
      <c r="C3307" s="2"/>
    </row>
    <row r="3308" spans="1:3" x14ac:dyDescent="0.3">
      <c r="A3308" s="1"/>
      <c r="B3308" s="2"/>
      <c r="C3308" s="2"/>
    </row>
    <row r="3309" spans="1:3" x14ac:dyDescent="0.3">
      <c r="A3309" s="1"/>
      <c r="B3309" s="2"/>
      <c r="C3309" s="2"/>
    </row>
    <row r="3310" spans="1:3" x14ac:dyDescent="0.3">
      <c r="A3310" s="1"/>
      <c r="B3310" s="2"/>
      <c r="C3310" s="2"/>
    </row>
    <row r="3311" spans="1:3" x14ac:dyDescent="0.3">
      <c r="A3311" s="1"/>
      <c r="B3311" s="2"/>
      <c r="C3311" s="2"/>
    </row>
    <row r="3312" spans="1:3" x14ac:dyDescent="0.3">
      <c r="A3312" s="1"/>
      <c r="B3312" s="2"/>
      <c r="C3312" s="2"/>
    </row>
    <row r="3313" spans="1:3" x14ac:dyDescent="0.3">
      <c r="A3313" s="1"/>
      <c r="B3313" s="2"/>
      <c r="C3313" s="2"/>
    </row>
    <row r="3314" spans="1:3" x14ac:dyDescent="0.3">
      <c r="A3314" s="1"/>
      <c r="B3314" s="2"/>
      <c r="C3314" s="2"/>
    </row>
    <row r="3315" spans="1:3" x14ac:dyDescent="0.3">
      <c r="A3315" s="1"/>
      <c r="B3315" s="2"/>
      <c r="C3315" s="2"/>
    </row>
    <row r="3316" spans="1:3" x14ac:dyDescent="0.3">
      <c r="A3316" s="1"/>
      <c r="B3316" s="2"/>
      <c r="C3316" s="2"/>
    </row>
    <row r="3317" spans="1:3" x14ac:dyDescent="0.3">
      <c r="A3317" s="1"/>
      <c r="B3317" s="2"/>
      <c r="C3317" s="2"/>
    </row>
    <row r="3318" spans="1:3" x14ac:dyDescent="0.3">
      <c r="A3318" s="1"/>
      <c r="B3318" s="2"/>
      <c r="C3318" s="2"/>
    </row>
    <row r="3319" spans="1:3" x14ac:dyDescent="0.3">
      <c r="A3319" s="1"/>
      <c r="B3319" s="2"/>
      <c r="C3319" s="2"/>
    </row>
    <row r="3320" spans="1:3" x14ac:dyDescent="0.3">
      <c r="A3320" s="1"/>
      <c r="B3320" s="2"/>
      <c r="C3320" s="2"/>
    </row>
    <row r="3321" spans="1:3" x14ac:dyDescent="0.3">
      <c r="A3321" s="1"/>
      <c r="B3321" s="2"/>
      <c r="C3321" s="2"/>
    </row>
    <row r="3322" spans="1:3" x14ac:dyDescent="0.3">
      <c r="A3322" s="1"/>
      <c r="B3322" s="2"/>
      <c r="C3322" s="2"/>
    </row>
    <row r="3323" spans="1:3" x14ac:dyDescent="0.3">
      <c r="A3323" s="1"/>
      <c r="B3323" s="2"/>
      <c r="C3323" s="2"/>
    </row>
    <row r="3324" spans="1:3" x14ac:dyDescent="0.3">
      <c r="A3324" s="1"/>
      <c r="B3324" s="2"/>
      <c r="C3324" s="2"/>
    </row>
    <row r="3325" spans="1:3" x14ac:dyDescent="0.3">
      <c r="A3325" s="1"/>
      <c r="B3325" s="2"/>
      <c r="C3325" s="2"/>
    </row>
    <row r="3326" spans="1:3" x14ac:dyDescent="0.3">
      <c r="A3326" s="1"/>
      <c r="B3326" s="2"/>
      <c r="C3326" s="2"/>
    </row>
    <row r="3327" spans="1:3" x14ac:dyDescent="0.3">
      <c r="A3327" s="1"/>
      <c r="B3327" s="2"/>
      <c r="C3327" s="2"/>
    </row>
    <row r="3328" spans="1:3" x14ac:dyDescent="0.3">
      <c r="A3328" s="1"/>
      <c r="B3328" s="2"/>
      <c r="C3328" s="2"/>
    </row>
    <row r="3329" spans="1:3" x14ac:dyDescent="0.3">
      <c r="A3329" s="1"/>
      <c r="B3329" s="2"/>
      <c r="C3329" s="2"/>
    </row>
    <row r="3330" spans="1:3" x14ac:dyDescent="0.3">
      <c r="A3330" s="1"/>
      <c r="B3330" s="2"/>
      <c r="C3330" s="2"/>
    </row>
    <row r="3331" spans="1:3" x14ac:dyDescent="0.3">
      <c r="A3331" s="1"/>
      <c r="B3331" s="2"/>
      <c r="C3331" s="2"/>
    </row>
    <row r="3332" spans="1:3" x14ac:dyDescent="0.3">
      <c r="A3332" s="1"/>
      <c r="B3332" s="2"/>
      <c r="C3332" s="2"/>
    </row>
    <row r="3333" spans="1:3" x14ac:dyDescent="0.3">
      <c r="A3333" s="1"/>
      <c r="B3333" s="2"/>
      <c r="C3333" s="2"/>
    </row>
    <row r="3334" spans="1:3" x14ac:dyDescent="0.3">
      <c r="A3334" s="1"/>
      <c r="B3334" s="2"/>
      <c r="C3334" s="2"/>
    </row>
    <row r="3335" spans="1:3" x14ac:dyDescent="0.3">
      <c r="A3335" s="1"/>
      <c r="B3335" s="2"/>
      <c r="C3335" s="2"/>
    </row>
    <row r="3336" spans="1:3" x14ac:dyDescent="0.3">
      <c r="A3336" s="1"/>
      <c r="B3336" s="2"/>
      <c r="C3336" s="2"/>
    </row>
    <row r="3337" spans="1:3" x14ac:dyDescent="0.3">
      <c r="A3337" s="1"/>
      <c r="B3337" s="2"/>
      <c r="C3337" s="2"/>
    </row>
    <row r="3338" spans="1:3" x14ac:dyDescent="0.3">
      <c r="A3338" s="1"/>
      <c r="B3338" s="2"/>
      <c r="C3338" s="2"/>
    </row>
    <row r="3339" spans="1:3" x14ac:dyDescent="0.3">
      <c r="A3339" s="1"/>
      <c r="B3339" s="2"/>
      <c r="C3339" s="2"/>
    </row>
    <row r="3340" spans="1:3" x14ac:dyDescent="0.3">
      <c r="A3340" s="1"/>
      <c r="B3340" s="2"/>
      <c r="C3340" s="2"/>
    </row>
    <row r="3341" spans="1:3" x14ac:dyDescent="0.3">
      <c r="A3341" s="1"/>
      <c r="B3341" s="2"/>
      <c r="C3341" s="2"/>
    </row>
    <row r="3342" spans="1:3" x14ac:dyDescent="0.3">
      <c r="A3342" s="1"/>
      <c r="B3342" s="2"/>
      <c r="C3342" s="2"/>
    </row>
    <row r="3343" spans="1:3" x14ac:dyDescent="0.3">
      <c r="A3343" s="1"/>
      <c r="B3343" s="2"/>
      <c r="C3343" s="2"/>
    </row>
    <row r="3344" spans="1:3" x14ac:dyDescent="0.3">
      <c r="A3344" s="1"/>
      <c r="B3344" s="2"/>
      <c r="C3344" s="2"/>
    </row>
    <row r="3345" spans="1:3" x14ac:dyDescent="0.3">
      <c r="A3345" s="1"/>
      <c r="B3345" s="2"/>
      <c r="C3345" s="2"/>
    </row>
    <row r="3346" spans="1:3" x14ac:dyDescent="0.3">
      <c r="A3346" s="1"/>
      <c r="B3346" s="2"/>
      <c r="C3346" s="2"/>
    </row>
    <row r="3347" spans="1:3" x14ac:dyDescent="0.3">
      <c r="A3347" s="1"/>
      <c r="B3347" s="2"/>
      <c r="C3347" s="2"/>
    </row>
    <row r="3348" spans="1:3" x14ac:dyDescent="0.3">
      <c r="A3348" s="1"/>
      <c r="B3348" s="2"/>
      <c r="C3348" s="2"/>
    </row>
    <row r="3349" spans="1:3" x14ac:dyDescent="0.3">
      <c r="A3349" s="1"/>
      <c r="B3349" s="2"/>
      <c r="C3349" s="2"/>
    </row>
    <row r="3350" spans="1:3" x14ac:dyDescent="0.3">
      <c r="A3350" s="1"/>
      <c r="B3350" s="2"/>
      <c r="C3350" s="2"/>
    </row>
    <row r="3351" spans="1:3" x14ac:dyDescent="0.3">
      <c r="A3351" s="1"/>
      <c r="B3351" s="2"/>
      <c r="C3351" s="2"/>
    </row>
    <row r="3352" spans="1:3" x14ac:dyDescent="0.3">
      <c r="A3352" s="1"/>
      <c r="B3352" s="2"/>
      <c r="C3352" s="2"/>
    </row>
    <row r="3353" spans="1:3" x14ac:dyDescent="0.3">
      <c r="A3353" s="1"/>
      <c r="B3353" s="2"/>
      <c r="C3353" s="2"/>
    </row>
    <row r="3354" spans="1:3" x14ac:dyDescent="0.3">
      <c r="A3354" s="1"/>
      <c r="B3354" s="2"/>
      <c r="C3354" s="2"/>
    </row>
    <row r="3355" spans="1:3" x14ac:dyDescent="0.3">
      <c r="A3355" s="1"/>
      <c r="B3355" s="2"/>
      <c r="C3355" s="2"/>
    </row>
    <row r="3356" spans="1:3" x14ac:dyDescent="0.3">
      <c r="A3356" s="1"/>
      <c r="B3356" s="2"/>
      <c r="C3356" s="2"/>
    </row>
    <row r="3357" spans="1:3" x14ac:dyDescent="0.3">
      <c r="A3357" s="1"/>
      <c r="B3357" s="2"/>
      <c r="C3357" s="2"/>
    </row>
    <row r="3358" spans="1:3" x14ac:dyDescent="0.3">
      <c r="A3358" s="1"/>
      <c r="B3358" s="2"/>
      <c r="C3358" s="2"/>
    </row>
    <row r="3359" spans="1:3" x14ac:dyDescent="0.3">
      <c r="A3359" s="1"/>
      <c r="B3359" s="2"/>
      <c r="C3359" s="2"/>
    </row>
    <row r="3360" spans="1:3" x14ac:dyDescent="0.3">
      <c r="A3360" s="1"/>
      <c r="B3360" s="2"/>
      <c r="C3360" s="2"/>
    </row>
    <row r="3361" spans="1:3" x14ac:dyDescent="0.3">
      <c r="A3361" s="1"/>
      <c r="B3361" s="2"/>
      <c r="C3361" s="2"/>
    </row>
    <row r="3362" spans="1:3" x14ac:dyDescent="0.3">
      <c r="A3362" s="1"/>
      <c r="B3362" s="2"/>
      <c r="C3362" s="2"/>
    </row>
    <row r="3363" spans="1:3" x14ac:dyDescent="0.3">
      <c r="A3363" s="1"/>
      <c r="B3363" s="2"/>
      <c r="C3363" s="2"/>
    </row>
    <row r="3364" spans="1:3" x14ac:dyDescent="0.3">
      <c r="A3364" s="1"/>
      <c r="B3364" s="2"/>
      <c r="C3364" s="2"/>
    </row>
    <row r="3365" spans="1:3" x14ac:dyDescent="0.3">
      <c r="A3365" s="1"/>
      <c r="B3365" s="2"/>
      <c r="C3365" s="2"/>
    </row>
    <row r="3366" spans="1:3" x14ac:dyDescent="0.3">
      <c r="A3366" s="1"/>
      <c r="B3366" s="2"/>
      <c r="C3366" s="2"/>
    </row>
    <row r="3367" spans="1:3" x14ac:dyDescent="0.3">
      <c r="A3367" s="1"/>
      <c r="B3367" s="2"/>
      <c r="C3367" s="2"/>
    </row>
    <row r="3368" spans="1:3" x14ac:dyDescent="0.3">
      <c r="A3368" s="1"/>
      <c r="B3368" s="2"/>
      <c r="C3368" s="2"/>
    </row>
    <row r="3369" spans="1:3" x14ac:dyDescent="0.3">
      <c r="A3369" s="1"/>
      <c r="B3369" s="2"/>
      <c r="C3369" s="2"/>
    </row>
    <row r="3370" spans="1:3" x14ac:dyDescent="0.3">
      <c r="A3370" s="1"/>
      <c r="B3370" s="2"/>
      <c r="C3370" s="2"/>
    </row>
    <row r="3371" spans="1:3" x14ac:dyDescent="0.3">
      <c r="A3371" s="1"/>
      <c r="B3371" s="2"/>
      <c r="C3371" s="2"/>
    </row>
    <row r="3372" spans="1:3" x14ac:dyDescent="0.3">
      <c r="A3372" s="1"/>
      <c r="B3372" s="2"/>
      <c r="C3372" s="2"/>
    </row>
    <row r="3373" spans="1:3" x14ac:dyDescent="0.3">
      <c r="A3373" s="1"/>
      <c r="B3373" s="2"/>
      <c r="C3373" s="2"/>
    </row>
    <row r="3374" spans="1:3" x14ac:dyDescent="0.3">
      <c r="A3374" s="1"/>
      <c r="B3374" s="2"/>
      <c r="C3374" s="2"/>
    </row>
    <row r="3375" spans="1:3" x14ac:dyDescent="0.3">
      <c r="A3375" s="1"/>
      <c r="B3375" s="2"/>
      <c r="C3375" s="2"/>
    </row>
    <row r="3376" spans="1:3" x14ac:dyDescent="0.3">
      <c r="A3376" s="1"/>
      <c r="B3376" s="2"/>
      <c r="C3376" s="2"/>
    </row>
    <row r="3377" spans="1:3" x14ac:dyDescent="0.3">
      <c r="A3377" s="1"/>
      <c r="B3377" s="2"/>
      <c r="C3377" s="2"/>
    </row>
    <row r="3378" spans="1:3" x14ac:dyDescent="0.3">
      <c r="A3378" s="1"/>
      <c r="B3378" s="2"/>
      <c r="C3378" s="2"/>
    </row>
    <row r="3379" spans="1:3" x14ac:dyDescent="0.3">
      <c r="A3379" s="1"/>
      <c r="B3379" s="2"/>
      <c r="C3379" s="2"/>
    </row>
    <row r="3380" spans="1:3" x14ac:dyDescent="0.3">
      <c r="A3380" s="1"/>
      <c r="B3380" s="2"/>
      <c r="C3380" s="2"/>
    </row>
    <row r="3381" spans="1:3" x14ac:dyDescent="0.3">
      <c r="A3381" s="1"/>
      <c r="B3381" s="2"/>
      <c r="C3381" s="2"/>
    </row>
    <row r="3382" spans="1:3" x14ac:dyDescent="0.3">
      <c r="A3382" s="1"/>
      <c r="B3382" s="2"/>
      <c r="C3382" s="2"/>
    </row>
    <row r="3383" spans="1:3" x14ac:dyDescent="0.3">
      <c r="A3383" s="1"/>
      <c r="B3383" s="2"/>
      <c r="C3383" s="2"/>
    </row>
    <row r="3384" spans="1:3" x14ac:dyDescent="0.3">
      <c r="A3384" s="1"/>
      <c r="B3384" s="2"/>
      <c r="C3384" s="2"/>
    </row>
    <row r="3385" spans="1:3" x14ac:dyDescent="0.3">
      <c r="A3385" s="1"/>
      <c r="B3385" s="2"/>
      <c r="C3385" s="2"/>
    </row>
    <row r="3386" spans="1:3" x14ac:dyDescent="0.3">
      <c r="A3386" s="1"/>
      <c r="B3386" s="2"/>
      <c r="C3386" s="2"/>
    </row>
    <row r="3387" spans="1:3" x14ac:dyDescent="0.3">
      <c r="A3387" s="1"/>
      <c r="B3387" s="2"/>
      <c r="C3387" s="2"/>
    </row>
    <row r="3388" spans="1:3" x14ac:dyDescent="0.3">
      <c r="A3388" s="1"/>
      <c r="B3388" s="2"/>
      <c r="C3388" s="2"/>
    </row>
    <row r="3389" spans="1:3" x14ac:dyDescent="0.3">
      <c r="A3389" s="1"/>
      <c r="B3389" s="2"/>
      <c r="C3389" s="2"/>
    </row>
    <row r="3390" spans="1:3" x14ac:dyDescent="0.3">
      <c r="A3390" s="1"/>
      <c r="B3390" s="2"/>
      <c r="C3390" s="2"/>
    </row>
    <row r="3391" spans="1:3" x14ac:dyDescent="0.3">
      <c r="A3391" s="1"/>
      <c r="B3391" s="2"/>
      <c r="C3391" s="2"/>
    </row>
    <row r="3392" spans="1:3" x14ac:dyDescent="0.3">
      <c r="A3392" s="1"/>
      <c r="B3392" s="2"/>
      <c r="C3392" s="2"/>
    </row>
    <row r="3393" spans="1:3" x14ac:dyDescent="0.3">
      <c r="A3393" s="1"/>
      <c r="B3393" s="2"/>
      <c r="C3393" s="2"/>
    </row>
    <row r="3394" spans="1:3" x14ac:dyDescent="0.3">
      <c r="A3394" s="1"/>
      <c r="B3394" s="2"/>
      <c r="C3394" s="2"/>
    </row>
    <row r="3395" spans="1:3" x14ac:dyDescent="0.3">
      <c r="A3395" s="1"/>
      <c r="B3395" s="2"/>
      <c r="C3395" s="2"/>
    </row>
    <row r="3396" spans="1:3" x14ac:dyDescent="0.3">
      <c r="A3396" s="1"/>
      <c r="B3396" s="2"/>
      <c r="C3396" s="2"/>
    </row>
    <row r="3397" spans="1:3" x14ac:dyDescent="0.3">
      <c r="A3397" s="1"/>
      <c r="B3397" s="2"/>
      <c r="C3397" s="2"/>
    </row>
    <row r="3398" spans="1:3" x14ac:dyDescent="0.3">
      <c r="A3398" s="1"/>
      <c r="B3398" s="2"/>
      <c r="C3398" s="2"/>
    </row>
    <row r="3399" spans="1:3" x14ac:dyDescent="0.3">
      <c r="A3399" s="1"/>
      <c r="B3399" s="2"/>
      <c r="C3399" s="2"/>
    </row>
    <row r="3400" spans="1:3" x14ac:dyDescent="0.3">
      <c r="A3400" s="1"/>
      <c r="B3400" s="2"/>
      <c r="C3400" s="2"/>
    </row>
    <row r="3401" spans="1:3" x14ac:dyDescent="0.3">
      <c r="A3401" s="1"/>
      <c r="B3401" s="2"/>
      <c r="C3401" s="2"/>
    </row>
    <row r="3402" spans="1:3" x14ac:dyDescent="0.3">
      <c r="A3402" s="1"/>
      <c r="B3402" s="2"/>
      <c r="C3402" s="2"/>
    </row>
    <row r="3403" spans="1:3" x14ac:dyDescent="0.3">
      <c r="A3403" s="1"/>
      <c r="B3403" s="2"/>
      <c r="C3403" s="2"/>
    </row>
    <row r="3404" spans="1:3" x14ac:dyDescent="0.3">
      <c r="A3404" s="1"/>
      <c r="B3404" s="2"/>
      <c r="C3404" s="2"/>
    </row>
    <row r="3405" spans="1:3" x14ac:dyDescent="0.3">
      <c r="A3405" s="1"/>
      <c r="B3405" s="2"/>
      <c r="C3405" s="2"/>
    </row>
    <row r="3406" spans="1:3" x14ac:dyDescent="0.3">
      <c r="A3406" s="1"/>
      <c r="B3406" s="2"/>
      <c r="C3406" s="2"/>
    </row>
    <row r="3407" spans="1:3" x14ac:dyDescent="0.3">
      <c r="A3407" s="1"/>
      <c r="B3407" s="2"/>
      <c r="C3407" s="2"/>
    </row>
    <row r="3408" spans="1:3" x14ac:dyDescent="0.3">
      <c r="A3408" s="1"/>
      <c r="B3408" s="2"/>
      <c r="C3408" s="2"/>
    </row>
    <row r="3409" spans="1:3" x14ac:dyDescent="0.3">
      <c r="A3409" s="1"/>
      <c r="B3409" s="2"/>
      <c r="C3409" s="2"/>
    </row>
    <row r="3410" spans="1:3" x14ac:dyDescent="0.3">
      <c r="A3410" s="1"/>
      <c r="B3410" s="2"/>
      <c r="C3410" s="2"/>
    </row>
    <row r="3411" spans="1:3" x14ac:dyDescent="0.3">
      <c r="A3411" s="1"/>
      <c r="B3411" s="2"/>
      <c r="C3411" s="2"/>
    </row>
    <row r="3412" spans="1:3" x14ac:dyDescent="0.3">
      <c r="A3412" s="1"/>
      <c r="B3412" s="2"/>
      <c r="C3412" s="2"/>
    </row>
    <row r="3413" spans="1:3" x14ac:dyDescent="0.3">
      <c r="A3413" s="1"/>
      <c r="B3413" s="2"/>
      <c r="C3413" s="2"/>
    </row>
    <row r="3414" spans="1:3" x14ac:dyDescent="0.3">
      <c r="A3414" s="1"/>
      <c r="B3414" s="2"/>
      <c r="C3414" s="2"/>
    </row>
    <row r="3415" spans="1:3" x14ac:dyDescent="0.3">
      <c r="A3415" s="1"/>
      <c r="B3415" s="2"/>
      <c r="C3415" s="2"/>
    </row>
    <row r="3416" spans="1:3" x14ac:dyDescent="0.3">
      <c r="A3416" s="1"/>
      <c r="B3416" s="2"/>
      <c r="C3416" s="2"/>
    </row>
    <row r="3417" spans="1:3" x14ac:dyDescent="0.3">
      <c r="A3417" s="1"/>
      <c r="B3417" s="2"/>
      <c r="C3417" s="2"/>
    </row>
    <row r="3418" spans="1:3" x14ac:dyDescent="0.3">
      <c r="A3418" s="1"/>
      <c r="B3418" s="2"/>
      <c r="C3418" s="2"/>
    </row>
    <row r="3419" spans="1:3" x14ac:dyDescent="0.3">
      <c r="A3419" s="1"/>
      <c r="B3419" s="2"/>
      <c r="C3419" s="2"/>
    </row>
    <row r="3420" spans="1:3" x14ac:dyDescent="0.3">
      <c r="A3420" s="1"/>
      <c r="B3420" s="2"/>
      <c r="C3420" s="2"/>
    </row>
    <row r="3421" spans="1:3" x14ac:dyDescent="0.3">
      <c r="A3421" s="1"/>
      <c r="B3421" s="2"/>
      <c r="C3421" s="2"/>
    </row>
    <row r="3422" spans="1:3" x14ac:dyDescent="0.3">
      <c r="A3422" s="1"/>
      <c r="B3422" s="2"/>
      <c r="C3422" s="2"/>
    </row>
    <row r="3423" spans="1:3" x14ac:dyDescent="0.3">
      <c r="A3423" s="1"/>
      <c r="B3423" s="2"/>
      <c r="C3423" s="2"/>
    </row>
    <row r="3424" spans="1:3" x14ac:dyDescent="0.3">
      <c r="A3424" s="1"/>
      <c r="B3424" s="2"/>
      <c r="C3424" s="2"/>
    </row>
    <row r="3425" spans="1:3" x14ac:dyDescent="0.3">
      <c r="A3425" s="1"/>
      <c r="B3425" s="2"/>
      <c r="C3425" s="2"/>
    </row>
    <row r="3426" spans="1:3" x14ac:dyDescent="0.3">
      <c r="A3426" s="1"/>
      <c r="B3426" s="2"/>
      <c r="C3426" s="2"/>
    </row>
    <row r="3427" spans="1:3" x14ac:dyDescent="0.3">
      <c r="A3427" s="1"/>
      <c r="B3427" s="2"/>
      <c r="C3427" s="2"/>
    </row>
    <row r="3428" spans="1:3" x14ac:dyDescent="0.3">
      <c r="A3428" s="1"/>
      <c r="B3428" s="2"/>
      <c r="C3428" s="2"/>
    </row>
    <row r="3429" spans="1:3" x14ac:dyDescent="0.3">
      <c r="A3429" s="1"/>
      <c r="B3429" s="2"/>
      <c r="C3429" s="2"/>
    </row>
    <row r="3430" spans="1:3" x14ac:dyDescent="0.3">
      <c r="A3430" s="1"/>
      <c r="B3430" s="2"/>
      <c r="C3430" s="2"/>
    </row>
    <row r="3431" spans="1:3" x14ac:dyDescent="0.3">
      <c r="A3431" s="1"/>
      <c r="B3431" s="2"/>
      <c r="C3431" s="2"/>
    </row>
    <row r="3432" spans="1:3" x14ac:dyDescent="0.3">
      <c r="A3432" s="1"/>
      <c r="B3432" s="2"/>
      <c r="C3432" s="2"/>
    </row>
    <row r="3433" spans="1:3" x14ac:dyDescent="0.3">
      <c r="A3433" s="1"/>
      <c r="B3433" s="2"/>
      <c r="C3433" s="2"/>
    </row>
    <row r="3434" spans="1:3" x14ac:dyDescent="0.3">
      <c r="A3434" s="1"/>
      <c r="B3434" s="2"/>
      <c r="C3434" s="2"/>
    </row>
    <row r="3435" spans="1:3" x14ac:dyDescent="0.3">
      <c r="A3435" s="1"/>
      <c r="B3435" s="2"/>
      <c r="C3435" s="2"/>
    </row>
    <row r="3436" spans="1:3" x14ac:dyDescent="0.3">
      <c r="A3436" s="1"/>
      <c r="B3436" s="2"/>
      <c r="C3436" s="2"/>
    </row>
    <row r="3437" spans="1:3" x14ac:dyDescent="0.3">
      <c r="A3437" s="1"/>
      <c r="B3437" s="2"/>
      <c r="C3437" s="2"/>
    </row>
    <row r="3438" spans="1:3" x14ac:dyDescent="0.3">
      <c r="A3438" s="1"/>
      <c r="B3438" s="2"/>
      <c r="C3438" s="2"/>
    </row>
    <row r="3439" spans="1:3" x14ac:dyDescent="0.3">
      <c r="A3439" s="1"/>
      <c r="B3439" s="2"/>
      <c r="C3439" s="2"/>
    </row>
    <row r="3440" spans="1:3" x14ac:dyDescent="0.3">
      <c r="A3440" s="1"/>
      <c r="B3440" s="2"/>
      <c r="C3440" s="2"/>
    </row>
    <row r="3441" spans="1:3" x14ac:dyDescent="0.3">
      <c r="A3441" s="1"/>
      <c r="B3441" s="2"/>
      <c r="C3441" s="2"/>
    </row>
    <row r="3442" spans="1:3" x14ac:dyDescent="0.3">
      <c r="A3442" s="1"/>
      <c r="B3442" s="2"/>
      <c r="C3442" s="2"/>
    </row>
    <row r="3443" spans="1:3" x14ac:dyDescent="0.3">
      <c r="A3443" s="1"/>
      <c r="B3443" s="2"/>
      <c r="C3443" s="2"/>
    </row>
    <row r="3444" spans="1:3" x14ac:dyDescent="0.3">
      <c r="A3444" s="1"/>
      <c r="B3444" s="2"/>
      <c r="C3444" s="2"/>
    </row>
    <row r="3445" spans="1:3" x14ac:dyDescent="0.3">
      <c r="A3445" s="1"/>
      <c r="B3445" s="2"/>
      <c r="C3445" s="2"/>
    </row>
    <row r="3446" spans="1:3" x14ac:dyDescent="0.3">
      <c r="A3446" s="1"/>
      <c r="B3446" s="2"/>
      <c r="C3446" s="2"/>
    </row>
    <row r="3447" spans="1:3" x14ac:dyDescent="0.3">
      <c r="A3447" s="1"/>
      <c r="B3447" s="2"/>
      <c r="C3447" s="2"/>
    </row>
    <row r="3448" spans="1:3" x14ac:dyDescent="0.3">
      <c r="A3448" s="1"/>
      <c r="B3448" s="2"/>
      <c r="C3448" s="2"/>
    </row>
    <row r="3449" spans="1:3" x14ac:dyDescent="0.3">
      <c r="A3449" s="1"/>
      <c r="B3449" s="2"/>
      <c r="C3449" s="2"/>
    </row>
    <row r="3450" spans="1:3" x14ac:dyDescent="0.3">
      <c r="A3450" s="1"/>
      <c r="B3450" s="2"/>
      <c r="C3450" s="2"/>
    </row>
    <row r="3451" spans="1:3" x14ac:dyDescent="0.3">
      <c r="A3451" s="1"/>
      <c r="B3451" s="2"/>
      <c r="C3451" s="2"/>
    </row>
    <row r="3452" spans="1:3" x14ac:dyDescent="0.3">
      <c r="A3452" s="1"/>
      <c r="B3452" s="2"/>
      <c r="C3452" s="2"/>
    </row>
    <row r="3453" spans="1:3" x14ac:dyDescent="0.3">
      <c r="A3453" s="1"/>
      <c r="B3453" s="2"/>
      <c r="C3453" s="2"/>
    </row>
    <row r="3454" spans="1:3" x14ac:dyDescent="0.3">
      <c r="A3454" s="1"/>
      <c r="B3454" s="2"/>
      <c r="C3454" s="2"/>
    </row>
    <row r="3455" spans="1:3" x14ac:dyDescent="0.3">
      <c r="A3455" s="1"/>
      <c r="B3455" s="2"/>
      <c r="C3455" s="2"/>
    </row>
    <row r="3456" spans="1:3" x14ac:dyDescent="0.3">
      <c r="A3456" s="1"/>
      <c r="B3456" s="2"/>
      <c r="C3456" s="2"/>
    </row>
    <row r="3457" spans="1:3" x14ac:dyDescent="0.3">
      <c r="A3457" s="1"/>
      <c r="B3457" s="2"/>
      <c r="C3457" s="2"/>
    </row>
    <row r="3458" spans="1:3" x14ac:dyDescent="0.3">
      <c r="A3458" s="1"/>
      <c r="B3458" s="2"/>
      <c r="C3458" s="2"/>
    </row>
    <row r="3459" spans="1:3" x14ac:dyDescent="0.3">
      <c r="A3459" s="1"/>
      <c r="B3459" s="2"/>
      <c r="C3459" s="2"/>
    </row>
    <row r="3460" spans="1:3" x14ac:dyDescent="0.3">
      <c r="A3460" s="1"/>
      <c r="B3460" s="2"/>
      <c r="C3460" s="2"/>
    </row>
    <row r="3461" spans="1:3" x14ac:dyDescent="0.3">
      <c r="A3461" s="1"/>
      <c r="B3461" s="2"/>
      <c r="C3461" s="2"/>
    </row>
    <row r="3462" spans="1:3" x14ac:dyDescent="0.3">
      <c r="A3462" s="1"/>
      <c r="B3462" s="2"/>
      <c r="C3462" s="2"/>
    </row>
    <row r="3463" spans="1:3" x14ac:dyDescent="0.3">
      <c r="A3463" s="1"/>
      <c r="B3463" s="2"/>
      <c r="C3463" s="2"/>
    </row>
    <row r="3464" spans="1:3" x14ac:dyDescent="0.3">
      <c r="A3464" s="1"/>
      <c r="B3464" s="2"/>
      <c r="C3464" s="2"/>
    </row>
    <row r="3465" spans="1:3" x14ac:dyDescent="0.3">
      <c r="A3465" s="1"/>
      <c r="B3465" s="2"/>
      <c r="C3465" s="2"/>
    </row>
    <row r="3466" spans="1:3" x14ac:dyDescent="0.3">
      <c r="A3466" s="1"/>
      <c r="B3466" s="2"/>
      <c r="C3466" s="2"/>
    </row>
    <row r="3467" spans="1:3" x14ac:dyDescent="0.3">
      <c r="A3467" s="1"/>
      <c r="B3467" s="2"/>
      <c r="C3467" s="2"/>
    </row>
    <row r="3468" spans="1:3" x14ac:dyDescent="0.3">
      <c r="A3468" s="1"/>
      <c r="B3468" s="2"/>
      <c r="C3468" s="2"/>
    </row>
    <row r="3469" spans="1:3" x14ac:dyDescent="0.3">
      <c r="A3469" s="1"/>
      <c r="B3469" s="2"/>
      <c r="C3469" s="2"/>
    </row>
    <row r="3470" spans="1:3" x14ac:dyDescent="0.3">
      <c r="A3470" s="1"/>
      <c r="B3470" s="2"/>
      <c r="C3470" s="2"/>
    </row>
    <row r="3471" spans="1:3" x14ac:dyDescent="0.3">
      <c r="A3471" s="1"/>
      <c r="B3471" s="2"/>
      <c r="C3471" s="2"/>
    </row>
    <row r="3472" spans="1:3" x14ac:dyDescent="0.3">
      <c r="A3472" s="1"/>
      <c r="B3472" s="2"/>
      <c r="C3472" s="2"/>
    </row>
    <row r="3473" spans="1:3" x14ac:dyDescent="0.3">
      <c r="A3473" s="1"/>
      <c r="B3473" s="2"/>
      <c r="C3473" s="2"/>
    </row>
    <row r="3474" spans="1:3" x14ac:dyDescent="0.3">
      <c r="A3474" s="1"/>
      <c r="B3474" s="2"/>
      <c r="C3474" s="2"/>
    </row>
    <row r="3475" spans="1:3" x14ac:dyDescent="0.3">
      <c r="A3475" s="1"/>
      <c r="B3475" s="2"/>
      <c r="C3475" s="2"/>
    </row>
    <row r="3476" spans="1:3" x14ac:dyDescent="0.3">
      <c r="A3476" s="1"/>
      <c r="B3476" s="2"/>
      <c r="C3476" s="2"/>
    </row>
    <row r="3477" spans="1:3" x14ac:dyDescent="0.3">
      <c r="A3477" s="1"/>
      <c r="B3477" s="2"/>
      <c r="C3477" s="2"/>
    </row>
    <row r="3478" spans="1:3" x14ac:dyDescent="0.3">
      <c r="A3478" s="1"/>
      <c r="B3478" s="2"/>
      <c r="C3478" s="2"/>
    </row>
    <row r="3479" spans="1:3" x14ac:dyDescent="0.3">
      <c r="A3479" s="1"/>
      <c r="B3479" s="2"/>
      <c r="C3479" s="2"/>
    </row>
    <row r="3480" spans="1:3" x14ac:dyDescent="0.3">
      <c r="A3480" s="1"/>
      <c r="B3480" s="2"/>
      <c r="C3480" s="2"/>
    </row>
    <row r="3481" spans="1:3" x14ac:dyDescent="0.3">
      <c r="A3481" s="1"/>
      <c r="B3481" s="2"/>
      <c r="C3481" s="2"/>
    </row>
    <row r="3482" spans="1:3" x14ac:dyDescent="0.3">
      <c r="A3482" s="1"/>
      <c r="B3482" s="2"/>
      <c r="C3482" s="2"/>
    </row>
    <row r="3483" spans="1:3" x14ac:dyDescent="0.3">
      <c r="A3483" s="1"/>
      <c r="B3483" s="2"/>
      <c r="C3483" s="2"/>
    </row>
    <row r="3484" spans="1:3" x14ac:dyDescent="0.3">
      <c r="A3484" s="1"/>
      <c r="B3484" s="2"/>
      <c r="C3484" s="2"/>
    </row>
    <row r="3485" spans="1:3" x14ac:dyDescent="0.3">
      <c r="A3485" s="1"/>
      <c r="B3485" s="2"/>
      <c r="C3485" s="2"/>
    </row>
    <row r="3486" spans="1:3" x14ac:dyDescent="0.3">
      <c r="A3486" s="1"/>
      <c r="B3486" s="2"/>
      <c r="C3486" s="2"/>
    </row>
    <row r="3487" spans="1:3" x14ac:dyDescent="0.3">
      <c r="A3487" s="1"/>
      <c r="B3487" s="2"/>
      <c r="C3487" s="2"/>
    </row>
    <row r="3488" spans="1:3" x14ac:dyDescent="0.3">
      <c r="A3488" s="1"/>
      <c r="B3488" s="2"/>
      <c r="C3488" s="2"/>
    </row>
    <row r="3489" spans="1:3" x14ac:dyDescent="0.3">
      <c r="A3489" s="1"/>
      <c r="B3489" s="2"/>
      <c r="C3489" s="2"/>
    </row>
    <row r="3490" spans="1:3" x14ac:dyDescent="0.3">
      <c r="A3490" s="1"/>
      <c r="B3490" s="2"/>
      <c r="C3490" s="2"/>
    </row>
    <row r="3491" spans="1:3" x14ac:dyDescent="0.3">
      <c r="A3491" s="1"/>
      <c r="B3491" s="2"/>
      <c r="C3491" s="2"/>
    </row>
    <row r="3492" spans="1:3" x14ac:dyDescent="0.3">
      <c r="A3492" s="1"/>
      <c r="B3492" s="2"/>
      <c r="C3492" s="2"/>
    </row>
    <row r="3493" spans="1:3" x14ac:dyDescent="0.3">
      <c r="A3493" s="1"/>
      <c r="B3493" s="2"/>
      <c r="C3493" s="2"/>
    </row>
    <row r="3494" spans="1:3" x14ac:dyDescent="0.3">
      <c r="A3494" s="1"/>
      <c r="B3494" s="2"/>
      <c r="C3494" s="2"/>
    </row>
    <row r="3495" spans="1:3" x14ac:dyDescent="0.3">
      <c r="A3495" s="1"/>
      <c r="B3495" s="2"/>
      <c r="C3495" s="2"/>
    </row>
    <row r="3496" spans="1:3" x14ac:dyDescent="0.3">
      <c r="A3496" s="1"/>
      <c r="B3496" s="2"/>
      <c r="C3496" s="2"/>
    </row>
    <row r="3497" spans="1:3" x14ac:dyDescent="0.3">
      <c r="A3497" s="1"/>
      <c r="B3497" s="2"/>
      <c r="C3497" s="2"/>
    </row>
    <row r="3498" spans="1:3" x14ac:dyDescent="0.3">
      <c r="A3498" s="1"/>
      <c r="B3498" s="2"/>
      <c r="C3498" s="2"/>
    </row>
    <row r="3499" spans="1:3" x14ac:dyDescent="0.3">
      <c r="A3499" s="1"/>
      <c r="B3499" s="2"/>
      <c r="C3499" s="2"/>
    </row>
    <row r="3500" spans="1:3" x14ac:dyDescent="0.3">
      <c r="A3500" s="1"/>
      <c r="B3500" s="2"/>
      <c r="C3500" s="2"/>
    </row>
    <row r="3501" spans="1:3" x14ac:dyDescent="0.3">
      <c r="A3501" s="1"/>
      <c r="B3501" s="2"/>
      <c r="C3501" s="2"/>
    </row>
    <row r="3502" spans="1:3" x14ac:dyDescent="0.3">
      <c r="A3502" s="1"/>
      <c r="B3502" s="2"/>
      <c r="C3502" s="2"/>
    </row>
    <row r="3503" spans="1:3" x14ac:dyDescent="0.3">
      <c r="A3503" s="1"/>
      <c r="B3503" s="2"/>
      <c r="C3503" s="2"/>
    </row>
    <row r="3504" spans="1:3" x14ac:dyDescent="0.3">
      <c r="A3504" s="1"/>
      <c r="B3504" s="2"/>
      <c r="C3504" s="2"/>
    </row>
    <row r="3505" spans="1:3" x14ac:dyDescent="0.3">
      <c r="A3505" s="1"/>
      <c r="B3505" s="2"/>
      <c r="C3505" s="2"/>
    </row>
    <row r="3506" spans="1:3" x14ac:dyDescent="0.3">
      <c r="A3506" s="1"/>
      <c r="B3506" s="2"/>
      <c r="C3506" s="2"/>
    </row>
    <row r="3507" spans="1:3" x14ac:dyDescent="0.3">
      <c r="A3507" s="1"/>
      <c r="B3507" s="2"/>
      <c r="C3507" s="2"/>
    </row>
    <row r="3508" spans="1:3" x14ac:dyDescent="0.3">
      <c r="A3508" s="1"/>
      <c r="B3508" s="2"/>
      <c r="C3508" s="2"/>
    </row>
    <row r="3509" spans="1:3" x14ac:dyDescent="0.3">
      <c r="A3509" s="1"/>
      <c r="B3509" s="2"/>
      <c r="C3509" s="2"/>
    </row>
    <row r="3510" spans="1:3" x14ac:dyDescent="0.3">
      <c r="A3510" s="1"/>
      <c r="B3510" s="2"/>
      <c r="C3510" s="2"/>
    </row>
    <row r="3511" spans="1:3" x14ac:dyDescent="0.3">
      <c r="A3511" s="1"/>
      <c r="B3511" s="2"/>
      <c r="C3511" s="2"/>
    </row>
    <row r="3512" spans="1:3" x14ac:dyDescent="0.3">
      <c r="A3512" s="1"/>
      <c r="B3512" s="2"/>
      <c r="C3512" s="2"/>
    </row>
    <row r="3513" spans="1:3" x14ac:dyDescent="0.3">
      <c r="A3513" s="1"/>
      <c r="B3513" s="2"/>
      <c r="C3513" s="2"/>
    </row>
    <row r="3514" spans="1:3" x14ac:dyDescent="0.3">
      <c r="A3514" s="1"/>
      <c r="B3514" s="2"/>
      <c r="C3514" s="2"/>
    </row>
    <row r="3515" spans="1:3" x14ac:dyDescent="0.3">
      <c r="A3515" s="1"/>
      <c r="B3515" s="2"/>
      <c r="C3515" s="2"/>
    </row>
    <row r="3516" spans="1:3" x14ac:dyDescent="0.3">
      <c r="A3516" s="1"/>
      <c r="B3516" s="2"/>
      <c r="C3516" s="2"/>
    </row>
    <row r="3517" spans="1:3" x14ac:dyDescent="0.3">
      <c r="A3517" s="1"/>
      <c r="B3517" s="2"/>
      <c r="C3517" s="2"/>
    </row>
    <row r="3518" spans="1:3" x14ac:dyDescent="0.3">
      <c r="A3518" s="1"/>
      <c r="B3518" s="2"/>
      <c r="C3518" s="2"/>
    </row>
    <row r="3519" spans="1:3" x14ac:dyDescent="0.3">
      <c r="A3519" s="1"/>
      <c r="B3519" s="2"/>
      <c r="C3519" s="2"/>
    </row>
    <row r="3520" spans="1:3" x14ac:dyDescent="0.3">
      <c r="A3520" s="1"/>
      <c r="B3520" s="2"/>
      <c r="C3520" s="2"/>
    </row>
    <row r="3521" spans="1:3" x14ac:dyDescent="0.3">
      <c r="A3521" s="1"/>
      <c r="B3521" s="2"/>
      <c r="C3521" s="2"/>
    </row>
    <row r="3522" spans="1:3" x14ac:dyDescent="0.3">
      <c r="A3522" s="1"/>
      <c r="B3522" s="2"/>
      <c r="C3522" s="2"/>
    </row>
    <row r="3523" spans="1:3" x14ac:dyDescent="0.3">
      <c r="A3523" s="1"/>
      <c r="B3523" s="2"/>
      <c r="C3523" s="2"/>
    </row>
    <row r="3524" spans="1:3" x14ac:dyDescent="0.3">
      <c r="A3524" s="1"/>
      <c r="B3524" s="2"/>
      <c r="C3524" s="2"/>
    </row>
    <row r="3525" spans="1:3" x14ac:dyDescent="0.3">
      <c r="A3525" s="1"/>
      <c r="B3525" s="2"/>
      <c r="C3525" s="2"/>
    </row>
    <row r="3526" spans="1:3" x14ac:dyDescent="0.3">
      <c r="A3526" s="1"/>
      <c r="B3526" s="2"/>
      <c r="C3526" s="2"/>
    </row>
    <row r="3527" spans="1:3" x14ac:dyDescent="0.3">
      <c r="A3527" s="1"/>
      <c r="B3527" s="2"/>
      <c r="C3527" s="2"/>
    </row>
    <row r="3528" spans="1:3" x14ac:dyDescent="0.3">
      <c r="A3528" s="1"/>
      <c r="B3528" s="2"/>
      <c r="C3528" s="2"/>
    </row>
    <row r="3529" spans="1:3" x14ac:dyDescent="0.3">
      <c r="A3529" s="1"/>
      <c r="B3529" s="2"/>
      <c r="C3529" s="2"/>
    </row>
    <row r="3530" spans="1:3" x14ac:dyDescent="0.3">
      <c r="A3530" s="1"/>
      <c r="B3530" s="2"/>
      <c r="C3530" s="2"/>
    </row>
    <row r="3531" spans="1:3" x14ac:dyDescent="0.3">
      <c r="A3531" s="1"/>
      <c r="B3531" s="2"/>
      <c r="C3531" s="2"/>
    </row>
    <row r="3532" spans="1:3" x14ac:dyDescent="0.3">
      <c r="A3532" s="1"/>
      <c r="B3532" s="2"/>
      <c r="C3532" s="2"/>
    </row>
    <row r="3533" spans="1:3" x14ac:dyDescent="0.3">
      <c r="A3533" s="1"/>
      <c r="B3533" s="2"/>
      <c r="C3533" s="2"/>
    </row>
    <row r="3534" spans="1:3" x14ac:dyDescent="0.3">
      <c r="A3534" s="1"/>
      <c r="B3534" s="2"/>
      <c r="C3534" s="2"/>
    </row>
    <row r="3535" spans="1:3" x14ac:dyDescent="0.3">
      <c r="A3535" s="1"/>
      <c r="B3535" s="2"/>
      <c r="C3535" s="2"/>
    </row>
    <row r="3536" spans="1:3" x14ac:dyDescent="0.3">
      <c r="A3536" s="1"/>
      <c r="B3536" s="2"/>
      <c r="C3536" s="2"/>
    </row>
    <row r="3537" spans="1:3" x14ac:dyDescent="0.3">
      <c r="A3537" s="1"/>
      <c r="B3537" s="2"/>
      <c r="C3537" s="2"/>
    </row>
    <row r="3538" spans="1:3" x14ac:dyDescent="0.3">
      <c r="A3538" s="1"/>
      <c r="B3538" s="2"/>
      <c r="C3538" s="2"/>
    </row>
    <row r="3539" spans="1:3" x14ac:dyDescent="0.3">
      <c r="A3539" s="1"/>
      <c r="B3539" s="2"/>
      <c r="C3539" s="2"/>
    </row>
    <row r="3540" spans="1:3" x14ac:dyDescent="0.3">
      <c r="A3540" s="1"/>
      <c r="B3540" s="2"/>
      <c r="C3540" s="2"/>
    </row>
    <row r="3541" spans="1:3" x14ac:dyDescent="0.3">
      <c r="A3541" s="1"/>
      <c r="B3541" s="2"/>
      <c r="C3541" s="2"/>
    </row>
    <row r="3542" spans="1:3" x14ac:dyDescent="0.3">
      <c r="A3542" s="1"/>
      <c r="B3542" s="2"/>
      <c r="C3542" s="2"/>
    </row>
    <row r="3543" spans="1:3" x14ac:dyDescent="0.3">
      <c r="A3543" s="1"/>
      <c r="B3543" s="2"/>
      <c r="C3543" s="2"/>
    </row>
    <row r="3544" spans="1:3" x14ac:dyDescent="0.3">
      <c r="A3544" s="1"/>
      <c r="B3544" s="2"/>
      <c r="C3544" s="2"/>
    </row>
    <row r="3545" spans="1:3" x14ac:dyDescent="0.3">
      <c r="A3545" s="1"/>
      <c r="B3545" s="2"/>
      <c r="C3545" s="2"/>
    </row>
    <row r="3546" spans="1:3" x14ac:dyDescent="0.3">
      <c r="A3546" s="1"/>
      <c r="B3546" s="2"/>
      <c r="C3546" s="2"/>
    </row>
    <row r="3547" spans="1:3" x14ac:dyDescent="0.3">
      <c r="A3547" s="1"/>
      <c r="B3547" s="2"/>
      <c r="C3547" s="2"/>
    </row>
    <row r="3548" spans="1:3" x14ac:dyDescent="0.3">
      <c r="A3548" s="1"/>
      <c r="B3548" s="2"/>
      <c r="C3548" s="2"/>
    </row>
    <row r="3549" spans="1:3" x14ac:dyDescent="0.3">
      <c r="A3549" s="1"/>
      <c r="B3549" s="2"/>
      <c r="C3549" s="2"/>
    </row>
    <row r="3550" spans="1:3" x14ac:dyDescent="0.3">
      <c r="A3550" s="1"/>
      <c r="B3550" s="2"/>
      <c r="C3550" s="2"/>
    </row>
    <row r="3551" spans="1:3" x14ac:dyDescent="0.3">
      <c r="A3551" s="1"/>
      <c r="B3551" s="2"/>
      <c r="C3551" s="2"/>
    </row>
    <row r="3552" spans="1:3" x14ac:dyDescent="0.3">
      <c r="A3552" s="1"/>
      <c r="B3552" s="2"/>
      <c r="C3552" s="2"/>
    </row>
    <row r="3553" spans="1:3" x14ac:dyDescent="0.3">
      <c r="A3553" s="1"/>
      <c r="B3553" s="2"/>
      <c r="C3553" s="2"/>
    </row>
    <row r="3554" spans="1:3" x14ac:dyDescent="0.3">
      <c r="A3554" s="1"/>
      <c r="B3554" s="2"/>
      <c r="C3554" s="2"/>
    </row>
    <row r="3555" spans="1:3" x14ac:dyDescent="0.3">
      <c r="A3555" s="1"/>
      <c r="B3555" s="2"/>
      <c r="C3555" s="2"/>
    </row>
    <row r="3556" spans="1:3" x14ac:dyDescent="0.3">
      <c r="A3556" s="1"/>
      <c r="B3556" s="2"/>
      <c r="C3556" s="2"/>
    </row>
    <row r="3557" spans="1:3" x14ac:dyDescent="0.3">
      <c r="A3557" s="1"/>
      <c r="B3557" s="2"/>
      <c r="C3557" s="2"/>
    </row>
    <row r="3558" spans="1:3" x14ac:dyDescent="0.3">
      <c r="A3558" s="1"/>
      <c r="B3558" s="2"/>
      <c r="C3558" s="2"/>
    </row>
    <row r="3559" spans="1:3" x14ac:dyDescent="0.3">
      <c r="A3559" s="1"/>
      <c r="B3559" s="2"/>
      <c r="C3559" s="2"/>
    </row>
    <row r="3560" spans="1:3" x14ac:dyDescent="0.3">
      <c r="A3560" s="1"/>
      <c r="B3560" s="2"/>
      <c r="C3560" s="2"/>
    </row>
    <row r="3561" spans="1:3" x14ac:dyDescent="0.3">
      <c r="A3561" s="1"/>
      <c r="B3561" s="2"/>
      <c r="C3561" s="2"/>
    </row>
    <row r="3562" spans="1:3" x14ac:dyDescent="0.3">
      <c r="A3562" s="1"/>
      <c r="B3562" s="2"/>
      <c r="C3562" s="2"/>
    </row>
    <row r="3563" spans="1:3" x14ac:dyDescent="0.3">
      <c r="A3563" s="1"/>
      <c r="B3563" s="2"/>
      <c r="C3563" s="2"/>
    </row>
    <row r="3564" spans="1:3" x14ac:dyDescent="0.3">
      <c r="A3564" s="1"/>
      <c r="B3564" s="2"/>
      <c r="C3564" s="2"/>
    </row>
    <row r="3565" spans="1:3" x14ac:dyDescent="0.3">
      <c r="A3565" s="1"/>
      <c r="B3565" s="2"/>
      <c r="C3565" s="2"/>
    </row>
    <row r="3566" spans="1:3" x14ac:dyDescent="0.3">
      <c r="A3566" s="1"/>
      <c r="B3566" s="2"/>
      <c r="C3566" s="2"/>
    </row>
    <row r="3567" spans="1:3" x14ac:dyDescent="0.3">
      <c r="A3567" s="1"/>
      <c r="B3567" s="2"/>
      <c r="C3567" s="2"/>
    </row>
    <row r="3568" spans="1:3" x14ac:dyDescent="0.3">
      <c r="A3568" s="1"/>
      <c r="B3568" s="2"/>
      <c r="C3568" s="2"/>
    </row>
    <row r="3569" spans="1:3" x14ac:dyDescent="0.3">
      <c r="A3569" s="1"/>
      <c r="B3569" s="2"/>
      <c r="C3569" s="2"/>
    </row>
    <row r="3570" spans="1:3" x14ac:dyDescent="0.3">
      <c r="A3570" s="1"/>
      <c r="B3570" s="2"/>
      <c r="C3570" s="2"/>
    </row>
    <row r="3571" spans="1:3" x14ac:dyDescent="0.3">
      <c r="A3571" s="1"/>
      <c r="B3571" s="2"/>
      <c r="C3571" s="2"/>
    </row>
    <row r="3572" spans="1:3" x14ac:dyDescent="0.3">
      <c r="A3572" s="1"/>
      <c r="B3572" s="2"/>
      <c r="C3572" s="2"/>
    </row>
    <row r="3573" spans="1:3" x14ac:dyDescent="0.3">
      <c r="A3573" s="1"/>
      <c r="B3573" s="2"/>
      <c r="C3573" s="2"/>
    </row>
    <row r="3574" spans="1:3" x14ac:dyDescent="0.3">
      <c r="A3574" s="1"/>
      <c r="B3574" s="2"/>
      <c r="C3574" s="2"/>
    </row>
    <row r="3575" spans="1:3" x14ac:dyDescent="0.3">
      <c r="A3575" s="1"/>
      <c r="B3575" s="2"/>
      <c r="C3575" s="2"/>
    </row>
    <row r="3576" spans="1:3" x14ac:dyDescent="0.3">
      <c r="A3576" s="1"/>
      <c r="B3576" s="2"/>
      <c r="C3576" s="2"/>
    </row>
    <row r="3577" spans="1:3" x14ac:dyDescent="0.3">
      <c r="A3577" s="1"/>
      <c r="B3577" s="2"/>
      <c r="C3577" s="2"/>
    </row>
    <row r="3578" spans="1:3" x14ac:dyDescent="0.3">
      <c r="A3578" s="1"/>
      <c r="B3578" s="2"/>
      <c r="C3578" s="2"/>
    </row>
    <row r="3579" spans="1:3" x14ac:dyDescent="0.3">
      <c r="A3579" s="1"/>
      <c r="B3579" s="2"/>
      <c r="C3579" s="2"/>
    </row>
    <row r="3580" spans="1:3" x14ac:dyDescent="0.3">
      <c r="A3580" s="1"/>
      <c r="B3580" s="2"/>
      <c r="C3580" s="2"/>
    </row>
    <row r="3581" spans="1:3" x14ac:dyDescent="0.3">
      <c r="A3581" s="1"/>
      <c r="B3581" s="2"/>
      <c r="C3581" s="2"/>
    </row>
    <row r="3582" spans="1:3" x14ac:dyDescent="0.3">
      <c r="A3582" s="1"/>
      <c r="B3582" s="2"/>
      <c r="C3582" s="2"/>
    </row>
    <row r="3583" spans="1:3" x14ac:dyDescent="0.3">
      <c r="A3583" s="1"/>
      <c r="B3583" s="2"/>
      <c r="C3583" s="2"/>
    </row>
    <row r="3584" spans="1:3" x14ac:dyDescent="0.3">
      <c r="A3584" s="1"/>
      <c r="B3584" s="2"/>
      <c r="C3584" s="2"/>
    </row>
    <row r="3585" spans="1:3" x14ac:dyDescent="0.3">
      <c r="A3585" s="1"/>
      <c r="B3585" s="2"/>
      <c r="C3585" s="2"/>
    </row>
    <row r="3586" spans="1:3" x14ac:dyDescent="0.3">
      <c r="A3586" s="1"/>
      <c r="B3586" s="2"/>
      <c r="C3586" s="2"/>
    </row>
    <row r="3587" spans="1:3" x14ac:dyDescent="0.3">
      <c r="A3587" s="1"/>
      <c r="B3587" s="2"/>
      <c r="C3587" s="2"/>
    </row>
    <row r="3588" spans="1:3" x14ac:dyDescent="0.3">
      <c r="A3588" s="1"/>
      <c r="B3588" s="2"/>
      <c r="C3588" s="2"/>
    </row>
    <row r="3589" spans="1:3" x14ac:dyDescent="0.3">
      <c r="A3589" s="1"/>
      <c r="B3589" s="2"/>
      <c r="C3589" s="2"/>
    </row>
    <row r="3590" spans="1:3" x14ac:dyDescent="0.3">
      <c r="A3590" s="1"/>
      <c r="B3590" s="2"/>
      <c r="C3590" s="2"/>
    </row>
    <row r="3591" spans="1:3" x14ac:dyDescent="0.3">
      <c r="A3591" s="1"/>
      <c r="B3591" s="2"/>
      <c r="C3591" s="2"/>
    </row>
    <row r="3592" spans="1:3" x14ac:dyDescent="0.3">
      <c r="A3592" s="1"/>
      <c r="B3592" s="2"/>
      <c r="C3592" s="2"/>
    </row>
    <row r="3593" spans="1:3" x14ac:dyDescent="0.3">
      <c r="A3593" s="1"/>
      <c r="B3593" s="2"/>
      <c r="C3593" s="2"/>
    </row>
    <row r="3594" spans="1:3" x14ac:dyDescent="0.3">
      <c r="A3594" s="1"/>
      <c r="B3594" s="2"/>
      <c r="C3594" s="2"/>
    </row>
    <row r="3595" spans="1:3" x14ac:dyDescent="0.3">
      <c r="A3595" s="1"/>
      <c r="B3595" s="2"/>
      <c r="C3595" s="2"/>
    </row>
    <row r="3596" spans="1:3" x14ac:dyDescent="0.3">
      <c r="A3596" s="1"/>
      <c r="B3596" s="2"/>
      <c r="C3596" s="2"/>
    </row>
    <row r="3597" spans="1:3" x14ac:dyDescent="0.3">
      <c r="A3597" s="1"/>
      <c r="B3597" s="2"/>
      <c r="C3597" s="2"/>
    </row>
    <row r="3598" spans="1:3" x14ac:dyDescent="0.3">
      <c r="A3598" s="1"/>
      <c r="B3598" s="2"/>
      <c r="C3598" s="2"/>
    </row>
    <row r="3599" spans="1:3" x14ac:dyDescent="0.3">
      <c r="A3599" s="1"/>
      <c r="B3599" s="2"/>
      <c r="C3599" s="2"/>
    </row>
    <row r="3600" spans="1:3" x14ac:dyDescent="0.3">
      <c r="A3600" s="1"/>
      <c r="B3600" s="2"/>
      <c r="C3600" s="2"/>
    </row>
    <row r="3601" spans="1:3" x14ac:dyDescent="0.3">
      <c r="A3601" s="1"/>
      <c r="B3601" s="2"/>
      <c r="C3601" s="2"/>
    </row>
    <row r="3602" spans="1:3" x14ac:dyDescent="0.3">
      <c r="A3602" s="1"/>
      <c r="B3602" s="2"/>
      <c r="C3602" s="2"/>
    </row>
    <row r="3603" spans="1:3" x14ac:dyDescent="0.3">
      <c r="A3603" s="1"/>
      <c r="B3603" s="2"/>
      <c r="C3603" s="2"/>
    </row>
    <row r="3604" spans="1:3" x14ac:dyDescent="0.3">
      <c r="A3604" s="1"/>
      <c r="B3604" s="2"/>
      <c r="C3604" s="2"/>
    </row>
    <row r="3605" spans="1:3" x14ac:dyDescent="0.3">
      <c r="A3605" s="1"/>
      <c r="B3605" s="2"/>
      <c r="C3605" s="2"/>
    </row>
    <row r="3606" spans="1:3" x14ac:dyDescent="0.3">
      <c r="A3606" s="1"/>
      <c r="B3606" s="2"/>
      <c r="C3606" s="2"/>
    </row>
    <row r="3607" spans="1:3" x14ac:dyDescent="0.3">
      <c r="A3607" s="1"/>
      <c r="B3607" s="2"/>
      <c r="C3607" s="2"/>
    </row>
    <row r="3608" spans="1:3" x14ac:dyDescent="0.3">
      <c r="A3608" s="1"/>
      <c r="B3608" s="2"/>
      <c r="C3608" s="2"/>
    </row>
    <row r="3609" spans="1:3" x14ac:dyDescent="0.3">
      <c r="A3609" s="1"/>
      <c r="B3609" s="2"/>
      <c r="C3609" s="2"/>
    </row>
    <row r="3610" spans="1:3" x14ac:dyDescent="0.3">
      <c r="A3610" s="1"/>
      <c r="B3610" s="2"/>
      <c r="C3610" s="2"/>
    </row>
    <row r="3611" spans="1:3" x14ac:dyDescent="0.3">
      <c r="A3611" s="1"/>
      <c r="B3611" s="2"/>
      <c r="C3611" s="2"/>
    </row>
    <row r="3612" spans="1:3" x14ac:dyDescent="0.3">
      <c r="A3612" s="1"/>
      <c r="B3612" s="2"/>
      <c r="C3612" s="2"/>
    </row>
    <row r="3613" spans="1:3" x14ac:dyDescent="0.3">
      <c r="A3613" s="1"/>
      <c r="B3613" s="2"/>
      <c r="C3613" s="2"/>
    </row>
    <row r="3614" spans="1:3" x14ac:dyDescent="0.3">
      <c r="A3614" s="1"/>
      <c r="B3614" s="2"/>
      <c r="C3614" s="2"/>
    </row>
    <row r="3615" spans="1:3" x14ac:dyDescent="0.3">
      <c r="A3615" s="1"/>
      <c r="B3615" s="2"/>
      <c r="C3615" s="2"/>
    </row>
    <row r="3616" spans="1:3" x14ac:dyDescent="0.3">
      <c r="A3616" s="1"/>
      <c r="B3616" s="2"/>
      <c r="C3616" s="2"/>
    </row>
    <row r="3617" spans="1:3" x14ac:dyDescent="0.3">
      <c r="A3617" s="1"/>
      <c r="B3617" s="2"/>
      <c r="C3617" s="2"/>
    </row>
    <row r="3618" spans="1:3" x14ac:dyDescent="0.3">
      <c r="A3618" s="1"/>
      <c r="B3618" s="2"/>
      <c r="C3618" s="2"/>
    </row>
    <row r="3619" spans="1:3" x14ac:dyDescent="0.3">
      <c r="A3619" s="1"/>
      <c r="B3619" s="2"/>
      <c r="C3619" s="2"/>
    </row>
    <row r="3620" spans="1:3" x14ac:dyDescent="0.3">
      <c r="A3620" s="1"/>
      <c r="B3620" s="2"/>
      <c r="C3620" s="2"/>
    </row>
    <row r="3621" spans="1:3" x14ac:dyDescent="0.3">
      <c r="A3621" s="1"/>
      <c r="B3621" s="2"/>
      <c r="C3621" s="2"/>
    </row>
    <row r="3622" spans="1:3" x14ac:dyDescent="0.3">
      <c r="A3622" s="1"/>
      <c r="B3622" s="2"/>
      <c r="C3622" s="2"/>
    </row>
    <row r="3623" spans="1:3" x14ac:dyDescent="0.3">
      <c r="A3623" s="1"/>
      <c r="B3623" s="2"/>
      <c r="C3623" s="2"/>
    </row>
    <row r="3624" spans="1:3" x14ac:dyDescent="0.3">
      <c r="A3624" s="1"/>
      <c r="B3624" s="2"/>
      <c r="C3624" s="2"/>
    </row>
    <row r="3625" spans="1:3" x14ac:dyDescent="0.3">
      <c r="A3625" s="1"/>
      <c r="B3625" s="2"/>
      <c r="C3625" s="2"/>
    </row>
    <row r="3626" spans="1:3" x14ac:dyDescent="0.3">
      <c r="A3626" s="1"/>
      <c r="B3626" s="2"/>
      <c r="C3626" s="2"/>
    </row>
    <row r="3627" spans="1:3" x14ac:dyDescent="0.3">
      <c r="A3627" s="1"/>
      <c r="B3627" s="2"/>
      <c r="C3627" s="2"/>
    </row>
    <row r="3628" spans="1:3" x14ac:dyDescent="0.3">
      <c r="A3628" s="1"/>
      <c r="B3628" s="2"/>
      <c r="C3628" s="2"/>
    </row>
    <row r="3629" spans="1:3" x14ac:dyDescent="0.3">
      <c r="A3629" s="1"/>
      <c r="B3629" s="2"/>
      <c r="C3629" s="2"/>
    </row>
    <row r="3630" spans="1:3" x14ac:dyDescent="0.3">
      <c r="A3630" s="1"/>
      <c r="B3630" s="2"/>
      <c r="C3630" s="2"/>
    </row>
    <row r="3631" spans="1:3" x14ac:dyDescent="0.3">
      <c r="A3631" s="1"/>
      <c r="B3631" s="2"/>
      <c r="C3631" s="2"/>
    </row>
    <row r="3632" spans="1:3" x14ac:dyDescent="0.3">
      <c r="A3632" s="1"/>
      <c r="B3632" s="2"/>
      <c r="C3632" s="2"/>
    </row>
    <row r="3633" spans="1:3" x14ac:dyDescent="0.3">
      <c r="A3633" s="1"/>
      <c r="B3633" s="2"/>
      <c r="C3633" s="2"/>
    </row>
    <row r="3634" spans="1:3" x14ac:dyDescent="0.3">
      <c r="A3634" s="1"/>
      <c r="B3634" s="2"/>
      <c r="C3634" s="2"/>
    </row>
    <row r="3635" spans="1:3" x14ac:dyDescent="0.3">
      <c r="A3635" s="1"/>
      <c r="B3635" s="2"/>
      <c r="C3635" s="2"/>
    </row>
    <row r="3636" spans="1:3" x14ac:dyDescent="0.3">
      <c r="A3636" s="1"/>
      <c r="B3636" s="2"/>
      <c r="C3636" s="2"/>
    </row>
    <row r="3637" spans="1:3" x14ac:dyDescent="0.3">
      <c r="A3637" s="1"/>
      <c r="B3637" s="2"/>
      <c r="C3637" s="2"/>
    </row>
    <row r="3638" spans="1:3" x14ac:dyDescent="0.3">
      <c r="A3638" s="1"/>
      <c r="B3638" s="2"/>
      <c r="C3638" s="2"/>
    </row>
    <row r="3639" spans="1:3" x14ac:dyDescent="0.3">
      <c r="A3639" s="1"/>
      <c r="B3639" s="2"/>
      <c r="C3639" s="2"/>
    </row>
    <row r="3640" spans="1:3" x14ac:dyDescent="0.3">
      <c r="A3640" s="1"/>
      <c r="B3640" s="2"/>
      <c r="C3640" s="2"/>
    </row>
    <row r="3641" spans="1:3" x14ac:dyDescent="0.3">
      <c r="A3641" s="1"/>
      <c r="B3641" s="2"/>
      <c r="C3641" s="2"/>
    </row>
    <row r="3642" spans="1:3" x14ac:dyDescent="0.3">
      <c r="A3642" s="1"/>
      <c r="B3642" s="2"/>
      <c r="C3642" s="2"/>
    </row>
    <row r="3643" spans="1:3" x14ac:dyDescent="0.3">
      <c r="A3643" s="1"/>
      <c r="B3643" s="2"/>
      <c r="C3643" s="2"/>
    </row>
    <row r="3644" spans="1:3" x14ac:dyDescent="0.3">
      <c r="A3644" s="1"/>
      <c r="B3644" s="2"/>
      <c r="C3644" s="2"/>
    </row>
    <row r="3645" spans="1:3" x14ac:dyDescent="0.3">
      <c r="A3645" s="1"/>
      <c r="B3645" s="2"/>
      <c r="C3645" s="2"/>
    </row>
    <row r="3646" spans="1:3" x14ac:dyDescent="0.3">
      <c r="A3646" s="1"/>
      <c r="B3646" s="2"/>
      <c r="C3646" s="2"/>
    </row>
    <row r="3647" spans="1:3" x14ac:dyDescent="0.3">
      <c r="A3647" s="1"/>
      <c r="B3647" s="2"/>
      <c r="C3647" s="2"/>
    </row>
    <row r="3648" spans="1:3" x14ac:dyDescent="0.3">
      <c r="A3648" s="1"/>
      <c r="B3648" s="2"/>
      <c r="C3648" s="2"/>
    </row>
    <row r="3649" spans="1:3" x14ac:dyDescent="0.3">
      <c r="A3649" s="1"/>
      <c r="B3649" s="2"/>
      <c r="C3649" s="2"/>
    </row>
    <row r="3650" spans="1:3" x14ac:dyDescent="0.3">
      <c r="A3650" s="1"/>
      <c r="B3650" s="2"/>
      <c r="C3650" s="2"/>
    </row>
    <row r="3651" spans="1:3" x14ac:dyDescent="0.3">
      <c r="A3651" s="1"/>
      <c r="B3651" s="2"/>
      <c r="C3651" s="2"/>
    </row>
    <row r="3652" spans="1:3" x14ac:dyDescent="0.3">
      <c r="A3652" s="1"/>
      <c r="B3652" s="2"/>
      <c r="C3652" s="2"/>
    </row>
    <row r="3653" spans="1:3" x14ac:dyDescent="0.3">
      <c r="A3653" s="1"/>
      <c r="B3653" s="2"/>
      <c r="C3653" s="2"/>
    </row>
    <row r="3654" spans="1:3" x14ac:dyDescent="0.3">
      <c r="A3654" s="1"/>
      <c r="B3654" s="2"/>
      <c r="C3654" s="2"/>
    </row>
    <row r="3655" spans="1:3" x14ac:dyDescent="0.3">
      <c r="A3655" s="1"/>
      <c r="B3655" s="2"/>
      <c r="C3655" s="2"/>
    </row>
    <row r="3656" spans="1:3" x14ac:dyDescent="0.3">
      <c r="A3656" s="1"/>
      <c r="B3656" s="2"/>
      <c r="C3656" s="2"/>
    </row>
    <row r="3657" spans="1:3" x14ac:dyDescent="0.3">
      <c r="A3657" s="1"/>
      <c r="B3657" s="2"/>
      <c r="C3657" s="2"/>
    </row>
    <row r="3658" spans="1:3" x14ac:dyDescent="0.3">
      <c r="A3658" s="1"/>
      <c r="B3658" s="2"/>
      <c r="C3658" s="2"/>
    </row>
    <row r="3659" spans="1:3" x14ac:dyDescent="0.3">
      <c r="A3659" s="1"/>
      <c r="B3659" s="2"/>
      <c r="C3659" s="2"/>
    </row>
    <row r="3660" spans="1:3" x14ac:dyDescent="0.3">
      <c r="A3660" s="1"/>
      <c r="B3660" s="2"/>
      <c r="C3660" s="2"/>
    </row>
    <row r="3661" spans="1:3" x14ac:dyDescent="0.3">
      <c r="A3661" s="1"/>
      <c r="B3661" s="2"/>
      <c r="C3661" s="2"/>
    </row>
    <row r="3662" spans="1:3" x14ac:dyDescent="0.3">
      <c r="A3662" s="1"/>
      <c r="B3662" s="2"/>
      <c r="C3662" s="2"/>
    </row>
    <row r="3663" spans="1:3" x14ac:dyDescent="0.3">
      <c r="A3663" s="1"/>
      <c r="B3663" s="2"/>
      <c r="C3663" s="2"/>
    </row>
    <row r="3664" spans="1:3" x14ac:dyDescent="0.3">
      <c r="A3664" s="1"/>
      <c r="B3664" s="2"/>
      <c r="C3664" s="2"/>
    </row>
    <row r="3665" spans="1:3" x14ac:dyDescent="0.3">
      <c r="A3665" s="1"/>
      <c r="B3665" s="2"/>
      <c r="C3665" s="2"/>
    </row>
    <row r="3666" spans="1:3" x14ac:dyDescent="0.3">
      <c r="A3666" s="1"/>
      <c r="B3666" s="2"/>
      <c r="C3666" s="2"/>
    </row>
    <row r="3667" spans="1:3" x14ac:dyDescent="0.3">
      <c r="A3667" s="1"/>
      <c r="B3667" s="2"/>
      <c r="C3667" s="2"/>
    </row>
    <row r="3668" spans="1:3" x14ac:dyDescent="0.3">
      <c r="A3668" s="1"/>
      <c r="B3668" s="2"/>
      <c r="C3668" s="2"/>
    </row>
    <row r="3669" spans="1:3" x14ac:dyDescent="0.3">
      <c r="A3669" s="1"/>
      <c r="B3669" s="2"/>
      <c r="C3669" s="2"/>
    </row>
    <row r="3670" spans="1:3" x14ac:dyDescent="0.3">
      <c r="A3670" s="1"/>
      <c r="B3670" s="2"/>
      <c r="C3670" s="2"/>
    </row>
    <row r="3671" spans="1:3" x14ac:dyDescent="0.3">
      <c r="A3671" s="1"/>
      <c r="B3671" s="2"/>
      <c r="C3671" s="2"/>
    </row>
    <row r="3672" spans="1:3" x14ac:dyDescent="0.3">
      <c r="A3672" s="1"/>
      <c r="B3672" s="2"/>
      <c r="C3672" s="2"/>
    </row>
    <row r="3673" spans="1:3" x14ac:dyDescent="0.3">
      <c r="A3673" s="1"/>
      <c r="B3673" s="2"/>
      <c r="C3673" s="2"/>
    </row>
    <row r="3674" spans="1:3" x14ac:dyDescent="0.3">
      <c r="A3674" s="1"/>
      <c r="B3674" s="2"/>
      <c r="C3674" s="2"/>
    </row>
    <row r="3675" spans="1:3" x14ac:dyDescent="0.3">
      <c r="A3675" s="1"/>
      <c r="B3675" s="2"/>
      <c r="C3675" s="2"/>
    </row>
    <row r="3676" spans="1:3" x14ac:dyDescent="0.3">
      <c r="A3676" s="1"/>
      <c r="B3676" s="2"/>
      <c r="C3676" s="2"/>
    </row>
    <row r="3677" spans="1:3" x14ac:dyDescent="0.3">
      <c r="A3677" s="1"/>
      <c r="B3677" s="2"/>
      <c r="C3677" s="2"/>
    </row>
    <row r="3678" spans="1:3" x14ac:dyDescent="0.3">
      <c r="A3678" s="1"/>
      <c r="B3678" s="2"/>
      <c r="C3678" s="2"/>
    </row>
    <row r="3679" spans="1:3" x14ac:dyDescent="0.3">
      <c r="A3679" s="1"/>
      <c r="B3679" s="2"/>
      <c r="C3679" s="2"/>
    </row>
    <row r="3680" spans="1:3" x14ac:dyDescent="0.3">
      <c r="A3680" s="1"/>
      <c r="B3680" s="2"/>
      <c r="C3680" s="2"/>
    </row>
    <row r="3681" spans="1:3" x14ac:dyDescent="0.3">
      <c r="A3681" s="1"/>
      <c r="B3681" s="2"/>
      <c r="C3681" s="2"/>
    </row>
    <row r="3682" spans="1:3" x14ac:dyDescent="0.3">
      <c r="A3682" s="1"/>
      <c r="B3682" s="2"/>
      <c r="C3682" s="2"/>
    </row>
    <row r="3683" spans="1:3" x14ac:dyDescent="0.3">
      <c r="A3683" s="1"/>
      <c r="B3683" s="2"/>
      <c r="C3683" s="2"/>
    </row>
    <row r="3684" spans="1:3" x14ac:dyDescent="0.3">
      <c r="A3684" s="1"/>
      <c r="B3684" s="2"/>
      <c r="C3684" s="2"/>
    </row>
    <row r="3685" spans="1:3" x14ac:dyDescent="0.3">
      <c r="A3685" s="1"/>
      <c r="B3685" s="2"/>
      <c r="C3685" s="2"/>
    </row>
    <row r="3686" spans="1:3" x14ac:dyDescent="0.3">
      <c r="A3686" s="1"/>
      <c r="B3686" s="2"/>
      <c r="C3686" s="2"/>
    </row>
    <row r="3687" spans="1:3" x14ac:dyDescent="0.3">
      <c r="A3687" s="1"/>
      <c r="B3687" s="2"/>
      <c r="C3687" s="2"/>
    </row>
    <row r="3688" spans="1:3" x14ac:dyDescent="0.3">
      <c r="A3688" s="1"/>
      <c r="B3688" s="2"/>
      <c r="C3688" s="2"/>
    </row>
    <row r="3689" spans="1:3" x14ac:dyDescent="0.3">
      <c r="A3689" s="1"/>
      <c r="B3689" s="2"/>
      <c r="C3689" s="2"/>
    </row>
    <row r="3690" spans="1:3" x14ac:dyDescent="0.3">
      <c r="A3690" s="1"/>
      <c r="B3690" s="2"/>
      <c r="C3690" s="2"/>
    </row>
    <row r="3691" spans="1:3" x14ac:dyDescent="0.3">
      <c r="A3691" s="1"/>
      <c r="B3691" s="2"/>
      <c r="C3691" s="2"/>
    </row>
    <row r="3692" spans="1:3" x14ac:dyDescent="0.3">
      <c r="A3692" s="1"/>
      <c r="B3692" s="2"/>
      <c r="C3692" s="2"/>
    </row>
    <row r="3693" spans="1:3" x14ac:dyDescent="0.3">
      <c r="A3693" s="1"/>
      <c r="B3693" s="2"/>
      <c r="C3693" s="2"/>
    </row>
    <row r="3694" spans="1:3" x14ac:dyDescent="0.3">
      <c r="A3694" s="1"/>
      <c r="B3694" s="2"/>
      <c r="C3694" s="2"/>
    </row>
    <row r="3695" spans="1:3" x14ac:dyDescent="0.3">
      <c r="A3695" s="1"/>
      <c r="B3695" s="2"/>
      <c r="C3695" s="2"/>
    </row>
    <row r="3696" spans="1:3" x14ac:dyDescent="0.3">
      <c r="A3696" s="1"/>
      <c r="B3696" s="2"/>
      <c r="C3696" s="2"/>
    </row>
    <row r="3697" spans="1:3" x14ac:dyDescent="0.3">
      <c r="A3697" s="1"/>
      <c r="B3697" s="2"/>
      <c r="C3697" s="2"/>
    </row>
    <row r="3698" spans="1:3" x14ac:dyDescent="0.3">
      <c r="A3698" s="1"/>
      <c r="B3698" s="2"/>
      <c r="C3698" s="2"/>
    </row>
    <row r="3699" spans="1:3" x14ac:dyDescent="0.3">
      <c r="A3699" s="1"/>
      <c r="B3699" s="2"/>
      <c r="C3699" s="2"/>
    </row>
    <row r="3700" spans="1:3" x14ac:dyDescent="0.3">
      <c r="A3700" s="1"/>
      <c r="B3700" s="2"/>
      <c r="C3700" s="2"/>
    </row>
    <row r="3701" spans="1:3" x14ac:dyDescent="0.3">
      <c r="A3701" s="1"/>
      <c r="B3701" s="2"/>
      <c r="C3701" s="2"/>
    </row>
    <row r="3702" spans="1:3" x14ac:dyDescent="0.3">
      <c r="A3702" s="1"/>
      <c r="B3702" s="2"/>
      <c r="C3702" s="2"/>
    </row>
    <row r="3703" spans="1:3" x14ac:dyDescent="0.3">
      <c r="A3703" s="1"/>
      <c r="B3703" s="2"/>
      <c r="C3703" s="2"/>
    </row>
    <row r="3704" spans="1:3" x14ac:dyDescent="0.3">
      <c r="A3704" s="1"/>
      <c r="B3704" s="2"/>
      <c r="C3704" s="2"/>
    </row>
    <row r="3705" spans="1:3" x14ac:dyDescent="0.3">
      <c r="A3705" s="1"/>
      <c r="B3705" s="2"/>
      <c r="C3705" s="2"/>
    </row>
    <row r="3706" spans="1:3" x14ac:dyDescent="0.3">
      <c r="A3706" s="1"/>
      <c r="B3706" s="2"/>
      <c r="C3706" s="2"/>
    </row>
    <row r="3707" spans="1:3" x14ac:dyDescent="0.3">
      <c r="A3707" s="1"/>
      <c r="B3707" s="2"/>
      <c r="C3707" s="2"/>
    </row>
    <row r="3708" spans="1:3" x14ac:dyDescent="0.3">
      <c r="A3708" s="1"/>
      <c r="B3708" s="2"/>
      <c r="C3708" s="2"/>
    </row>
    <row r="3709" spans="1:3" x14ac:dyDescent="0.3">
      <c r="A3709" s="1"/>
      <c r="B3709" s="2"/>
      <c r="C3709" s="2"/>
    </row>
    <row r="3710" spans="1:3" x14ac:dyDescent="0.3">
      <c r="A3710" s="1"/>
      <c r="B3710" s="2"/>
      <c r="C3710" s="2"/>
    </row>
    <row r="3711" spans="1:3" x14ac:dyDescent="0.3">
      <c r="A3711" s="1"/>
      <c r="B3711" s="2"/>
      <c r="C3711" s="2"/>
    </row>
    <row r="3712" spans="1:3" x14ac:dyDescent="0.3">
      <c r="A3712" s="1"/>
      <c r="B3712" s="2"/>
      <c r="C3712" s="2"/>
    </row>
    <row r="3713" spans="1:3" x14ac:dyDescent="0.3">
      <c r="A3713" s="1"/>
      <c r="B3713" s="2"/>
      <c r="C3713" s="2"/>
    </row>
    <row r="3714" spans="1:3" x14ac:dyDescent="0.3">
      <c r="A3714" s="1"/>
      <c r="B3714" s="2"/>
      <c r="C3714" s="2"/>
    </row>
    <row r="3715" spans="1:3" x14ac:dyDescent="0.3">
      <c r="A3715" s="1"/>
      <c r="B3715" s="2"/>
      <c r="C3715" s="2"/>
    </row>
    <row r="3716" spans="1:3" x14ac:dyDescent="0.3">
      <c r="A3716" s="1"/>
      <c r="B3716" s="2"/>
      <c r="C3716" s="2"/>
    </row>
    <row r="3717" spans="1:3" x14ac:dyDescent="0.3">
      <c r="A3717" s="1"/>
      <c r="B3717" s="2"/>
      <c r="C3717" s="2"/>
    </row>
    <row r="3718" spans="1:3" x14ac:dyDescent="0.3">
      <c r="A3718" s="1"/>
      <c r="B3718" s="2"/>
      <c r="C3718" s="2"/>
    </row>
    <row r="3719" spans="1:3" x14ac:dyDescent="0.3">
      <c r="A3719" s="1"/>
      <c r="B3719" s="2"/>
      <c r="C3719" s="2"/>
    </row>
    <row r="3720" spans="1:3" x14ac:dyDescent="0.3">
      <c r="A3720" s="1"/>
      <c r="B3720" s="2"/>
      <c r="C3720" s="2"/>
    </row>
    <row r="3721" spans="1:3" x14ac:dyDescent="0.3">
      <c r="A3721" s="1"/>
      <c r="B3721" s="2"/>
      <c r="C3721" s="2"/>
    </row>
    <row r="3722" spans="1:3" x14ac:dyDescent="0.3">
      <c r="A3722" s="1"/>
      <c r="B3722" s="2"/>
      <c r="C3722" s="2"/>
    </row>
    <row r="3723" spans="1:3" x14ac:dyDescent="0.3">
      <c r="A3723" s="1"/>
      <c r="B3723" s="2"/>
      <c r="C3723" s="2"/>
    </row>
    <row r="3724" spans="1:3" x14ac:dyDescent="0.3">
      <c r="A3724" s="1"/>
      <c r="B3724" s="2"/>
      <c r="C3724" s="2"/>
    </row>
    <row r="3725" spans="1:3" x14ac:dyDescent="0.3">
      <c r="A3725" s="1"/>
      <c r="B3725" s="2"/>
      <c r="C3725" s="2"/>
    </row>
    <row r="3726" spans="1:3" x14ac:dyDescent="0.3">
      <c r="A3726" s="1"/>
      <c r="B3726" s="2"/>
      <c r="C3726" s="2"/>
    </row>
    <row r="3727" spans="1:3" x14ac:dyDescent="0.3">
      <c r="A3727" s="1"/>
      <c r="B3727" s="2"/>
      <c r="C3727" s="2"/>
    </row>
    <row r="3728" spans="1:3" x14ac:dyDescent="0.3">
      <c r="A3728" s="1"/>
      <c r="B3728" s="2"/>
      <c r="C3728" s="2"/>
    </row>
    <row r="3729" spans="1:3" x14ac:dyDescent="0.3">
      <c r="A3729" s="1"/>
      <c r="B3729" s="2"/>
      <c r="C3729" s="2"/>
    </row>
    <row r="3730" spans="1:3" x14ac:dyDescent="0.3">
      <c r="A3730" s="1"/>
      <c r="B3730" s="2"/>
      <c r="C3730" s="2"/>
    </row>
    <row r="3731" spans="1:3" x14ac:dyDescent="0.3">
      <c r="A3731" s="1"/>
      <c r="B3731" s="2"/>
      <c r="C3731" s="2"/>
    </row>
    <row r="3732" spans="1:3" x14ac:dyDescent="0.3">
      <c r="A3732" s="1"/>
      <c r="B3732" s="2"/>
      <c r="C3732" s="2"/>
    </row>
    <row r="3733" spans="1:3" x14ac:dyDescent="0.3">
      <c r="A3733" s="1"/>
      <c r="B3733" s="2"/>
      <c r="C3733" s="2"/>
    </row>
    <row r="3734" spans="1:3" x14ac:dyDescent="0.3">
      <c r="A3734" s="1"/>
      <c r="B3734" s="2"/>
      <c r="C3734" s="2"/>
    </row>
    <row r="3735" spans="1:3" x14ac:dyDescent="0.3">
      <c r="A3735" s="1"/>
      <c r="B3735" s="2"/>
      <c r="C3735" s="2"/>
    </row>
    <row r="3736" spans="1:3" x14ac:dyDescent="0.3">
      <c r="A3736" s="1"/>
      <c r="B3736" s="2"/>
      <c r="C3736" s="2"/>
    </row>
    <row r="3737" spans="1:3" x14ac:dyDescent="0.3">
      <c r="A3737" s="1"/>
      <c r="B3737" s="2"/>
      <c r="C3737" s="2"/>
    </row>
    <row r="3738" spans="1:3" x14ac:dyDescent="0.3">
      <c r="A3738" s="1"/>
      <c r="B3738" s="2"/>
      <c r="C3738" s="2"/>
    </row>
    <row r="3739" spans="1:3" x14ac:dyDescent="0.3">
      <c r="A3739" s="1"/>
      <c r="B3739" s="2"/>
      <c r="C3739" s="2"/>
    </row>
    <row r="3740" spans="1:3" x14ac:dyDescent="0.3">
      <c r="A3740" s="1"/>
      <c r="B3740" s="2"/>
      <c r="C3740" s="2"/>
    </row>
    <row r="3741" spans="1:3" x14ac:dyDescent="0.3">
      <c r="A3741" s="1"/>
      <c r="B3741" s="2"/>
      <c r="C3741" s="2"/>
    </row>
    <row r="3742" spans="1:3" x14ac:dyDescent="0.3">
      <c r="A3742" s="1"/>
      <c r="B3742" s="2"/>
      <c r="C3742" s="2"/>
    </row>
    <row r="3743" spans="1:3" x14ac:dyDescent="0.3">
      <c r="A3743" s="1"/>
      <c r="B3743" s="2"/>
      <c r="C3743" s="2"/>
    </row>
    <row r="3744" spans="1:3" x14ac:dyDescent="0.3">
      <c r="A3744" s="1"/>
      <c r="B3744" s="2"/>
      <c r="C3744" s="2"/>
    </row>
    <row r="3745" spans="1:3" x14ac:dyDescent="0.3">
      <c r="A3745" s="1"/>
      <c r="B3745" s="2"/>
      <c r="C3745" s="2"/>
    </row>
    <row r="3746" spans="1:3" x14ac:dyDescent="0.3">
      <c r="A3746" s="1"/>
      <c r="B3746" s="2"/>
      <c r="C3746" s="2"/>
    </row>
    <row r="3747" spans="1:3" x14ac:dyDescent="0.3">
      <c r="A3747" s="1"/>
      <c r="B3747" s="2"/>
      <c r="C3747" s="2"/>
    </row>
    <row r="3748" spans="1:3" x14ac:dyDescent="0.3">
      <c r="A3748" s="1"/>
      <c r="B3748" s="2"/>
      <c r="C3748" s="2"/>
    </row>
    <row r="3749" spans="1:3" x14ac:dyDescent="0.3">
      <c r="A3749" s="1"/>
      <c r="B3749" s="2"/>
      <c r="C3749" s="2"/>
    </row>
    <row r="3750" spans="1:3" x14ac:dyDescent="0.3">
      <c r="A3750" s="1"/>
      <c r="B3750" s="2"/>
      <c r="C3750" s="2"/>
    </row>
    <row r="3751" spans="1:3" x14ac:dyDescent="0.3">
      <c r="A3751" s="1"/>
      <c r="B3751" s="2"/>
      <c r="C3751" s="2"/>
    </row>
    <row r="3752" spans="1:3" x14ac:dyDescent="0.3">
      <c r="A3752" s="1"/>
      <c r="B3752" s="2"/>
      <c r="C3752" s="2"/>
    </row>
    <row r="3753" spans="1:3" x14ac:dyDescent="0.3">
      <c r="A3753" s="1"/>
      <c r="B3753" s="2"/>
      <c r="C3753" s="2"/>
    </row>
    <row r="3754" spans="1:3" x14ac:dyDescent="0.3">
      <c r="A3754" s="1"/>
      <c r="B3754" s="2"/>
      <c r="C3754" s="2"/>
    </row>
    <row r="3755" spans="1:3" x14ac:dyDescent="0.3">
      <c r="A3755" s="1"/>
      <c r="B3755" s="2"/>
      <c r="C3755" s="2"/>
    </row>
    <row r="3756" spans="1:3" x14ac:dyDescent="0.3">
      <c r="A3756" s="1"/>
      <c r="B3756" s="2"/>
      <c r="C3756" s="2"/>
    </row>
    <row r="3757" spans="1:3" x14ac:dyDescent="0.3">
      <c r="A3757" s="1"/>
      <c r="B3757" s="2"/>
      <c r="C3757" s="2"/>
    </row>
    <row r="3758" spans="1:3" x14ac:dyDescent="0.3">
      <c r="A3758" s="1"/>
      <c r="B3758" s="2"/>
      <c r="C3758" s="2"/>
    </row>
    <row r="3759" spans="1:3" x14ac:dyDescent="0.3">
      <c r="A3759" s="1"/>
      <c r="B3759" s="2"/>
      <c r="C3759" s="2"/>
    </row>
    <row r="3760" spans="1:3" x14ac:dyDescent="0.3">
      <c r="A3760" s="1"/>
      <c r="B3760" s="2"/>
      <c r="C3760" s="2"/>
    </row>
    <row r="3761" spans="1:3" x14ac:dyDescent="0.3">
      <c r="A3761" s="1"/>
      <c r="B3761" s="2"/>
      <c r="C3761" s="2"/>
    </row>
    <row r="3762" spans="1:3" x14ac:dyDescent="0.3">
      <c r="A3762" s="1"/>
      <c r="B3762" s="2"/>
      <c r="C3762" s="2"/>
    </row>
    <row r="3763" spans="1:3" x14ac:dyDescent="0.3">
      <c r="A3763" s="1"/>
      <c r="B3763" s="2"/>
      <c r="C3763" s="2"/>
    </row>
    <row r="3764" spans="1:3" x14ac:dyDescent="0.3">
      <c r="A3764" s="1"/>
      <c r="B3764" s="2"/>
      <c r="C3764" s="2"/>
    </row>
    <row r="3765" spans="1:3" x14ac:dyDescent="0.3">
      <c r="A3765" s="1"/>
      <c r="B3765" s="2"/>
      <c r="C3765" s="2"/>
    </row>
    <row r="3766" spans="1:3" x14ac:dyDescent="0.3">
      <c r="A3766" s="1"/>
      <c r="B3766" s="2"/>
      <c r="C3766" s="2"/>
    </row>
    <row r="3767" spans="1:3" x14ac:dyDescent="0.3">
      <c r="A3767" s="1"/>
      <c r="B3767" s="2"/>
      <c r="C3767" s="2"/>
    </row>
    <row r="3768" spans="1:3" x14ac:dyDescent="0.3">
      <c r="A3768" s="1"/>
      <c r="B3768" s="2"/>
      <c r="C3768" s="2"/>
    </row>
    <row r="3769" spans="1:3" x14ac:dyDescent="0.3">
      <c r="A3769" s="1"/>
      <c r="B3769" s="2"/>
      <c r="C3769" s="2"/>
    </row>
    <row r="3770" spans="1:3" x14ac:dyDescent="0.3">
      <c r="A3770" s="1"/>
      <c r="B3770" s="2"/>
      <c r="C3770" s="2"/>
    </row>
    <row r="3771" spans="1:3" x14ac:dyDescent="0.3">
      <c r="A3771" s="1"/>
      <c r="B3771" s="2"/>
      <c r="C3771" s="2"/>
    </row>
    <row r="3772" spans="1:3" x14ac:dyDescent="0.3">
      <c r="A3772" s="1"/>
      <c r="B3772" s="2"/>
      <c r="C3772" s="2"/>
    </row>
    <row r="3773" spans="1:3" x14ac:dyDescent="0.3">
      <c r="A3773" s="1"/>
      <c r="B3773" s="2"/>
      <c r="C3773" s="2"/>
    </row>
    <row r="3774" spans="1:3" x14ac:dyDescent="0.3">
      <c r="A3774" s="1"/>
      <c r="B3774" s="2"/>
      <c r="C3774" s="2"/>
    </row>
    <row r="3775" spans="1:3" x14ac:dyDescent="0.3">
      <c r="A3775" s="1"/>
      <c r="B3775" s="2"/>
      <c r="C3775" s="2"/>
    </row>
    <row r="3776" spans="1:3" x14ac:dyDescent="0.3">
      <c r="A3776" s="1"/>
      <c r="B3776" s="2"/>
      <c r="C3776" s="2"/>
    </row>
    <row r="3777" spans="1:3" x14ac:dyDescent="0.3">
      <c r="A3777" s="1"/>
      <c r="B3777" s="2"/>
      <c r="C3777" s="2"/>
    </row>
    <row r="3778" spans="1:3" x14ac:dyDescent="0.3">
      <c r="A3778" s="1"/>
      <c r="B3778" s="2"/>
      <c r="C3778" s="2"/>
    </row>
    <row r="3779" spans="1:3" x14ac:dyDescent="0.3">
      <c r="A3779" s="1"/>
      <c r="B3779" s="2"/>
      <c r="C3779" s="2"/>
    </row>
    <row r="3780" spans="1:3" x14ac:dyDescent="0.3">
      <c r="A3780" s="1"/>
      <c r="B3780" s="2"/>
      <c r="C3780" s="2"/>
    </row>
    <row r="3781" spans="1:3" x14ac:dyDescent="0.3">
      <c r="A3781" s="1"/>
      <c r="B3781" s="2"/>
      <c r="C3781" s="2"/>
    </row>
    <row r="3782" spans="1:3" x14ac:dyDescent="0.3">
      <c r="A3782" s="1"/>
      <c r="B3782" s="2"/>
      <c r="C3782" s="2"/>
    </row>
    <row r="3783" spans="1:3" x14ac:dyDescent="0.3">
      <c r="A3783" s="1"/>
      <c r="B3783" s="2"/>
      <c r="C3783" s="2"/>
    </row>
    <row r="3784" spans="1:3" x14ac:dyDescent="0.3">
      <c r="A3784" s="1"/>
      <c r="B3784" s="2"/>
      <c r="C3784" s="2"/>
    </row>
    <row r="3785" spans="1:3" x14ac:dyDescent="0.3">
      <c r="A3785" s="1"/>
      <c r="B3785" s="2"/>
      <c r="C3785" s="2"/>
    </row>
    <row r="3786" spans="1:3" x14ac:dyDescent="0.3">
      <c r="A3786" s="1"/>
      <c r="B3786" s="2"/>
      <c r="C3786" s="2"/>
    </row>
    <row r="3787" spans="1:3" x14ac:dyDescent="0.3">
      <c r="A3787" s="1"/>
      <c r="B3787" s="2"/>
      <c r="C3787" s="2"/>
    </row>
    <row r="3788" spans="1:3" x14ac:dyDescent="0.3">
      <c r="A3788" s="1"/>
      <c r="B3788" s="2"/>
      <c r="C3788" s="2"/>
    </row>
    <row r="3789" spans="1:3" x14ac:dyDescent="0.3">
      <c r="A3789" s="1"/>
      <c r="B3789" s="2"/>
      <c r="C3789" s="2"/>
    </row>
    <row r="3790" spans="1:3" x14ac:dyDescent="0.3">
      <c r="A3790" s="1"/>
      <c r="B3790" s="2"/>
      <c r="C3790" s="2"/>
    </row>
    <row r="3791" spans="1:3" x14ac:dyDescent="0.3">
      <c r="A3791" s="1"/>
      <c r="B3791" s="2"/>
      <c r="C3791" s="2"/>
    </row>
    <row r="3792" spans="1:3" x14ac:dyDescent="0.3">
      <c r="A3792" s="1"/>
      <c r="B3792" s="2"/>
      <c r="C3792" s="2"/>
    </row>
    <row r="3793" spans="1:3" x14ac:dyDescent="0.3">
      <c r="A3793" s="1"/>
      <c r="B3793" s="2"/>
      <c r="C3793" s="2"/>
    </row>
    <row r="3794" spans="1:3" x14ac:dyDescent="0.3">
      <c r="A3794" s="1"/>
      <c r="B3794" s="2"/>
      <c r="C3794" s="2"/>
    </row>
    <row r="3795" spans="1:3" x14ac:dyDescent="0.3">
      <c r="A3795" s="1"/>
      <c r="B3795" s="2"/>
      <c r="C3795" s="2"/>
    </row>
    <row r="3796" spans="1:3" x14ac:dyDescent="0.3">
      <c r="A3796" s="1"/>
      <c r="B3796" s="2"/>
      <c r="C3796" s="2"/>
    </row>
    <row r="3797" spans="1:3" x14ac:dyDescent="0.3">
      <c r="A3797" s="1"/>
      <c r="B3797" s="2"/>
      <c r="C3797" s="2"/>
    </row>
    <row r="3798" spans="1:3" x14ac:dyDescent="0.3">
      <c r="A3798" s="1"/>
      <c r="B3798" s="2"/>
      <c r="C3798" s="2"/>
    </row>
    <row r="3799" spans="1:3" x14ac:dyDescent="0.3">
      <c r="A3799" s="1"/>
      <c r="B3799" s="2"/>
      <c r="C3799" s="2"/>
    </row>
    <row r="3800" spans="1:3" x14ac:dyDescent="0.3">
      <c r="A3800" s="1"/>
      <c r="B3800" s="2"/>
      <c r="C3800" s="2"/>
    </row>
    <row r="3801" spans="1:3" x14ac:dyDescent="0.3">
      <c r="A3801" s="1"/>
      <c r="B3801" s="2"/>
      <c r="C3801" s="2"/>
    </row>
    <row r="3802" spans="1:3" x14ac:dyDescent="0.3">
      <c r="A3802" s="1"/>
      <c r="B3802" s="2"/>
      <c r="C3802" s="2"/>
    </row>
    <row r="3803" spans="1:3" x14ac:dyDescent="0.3">
      <c r="A3803" s="1"/>
      <c r="B3803" s="2"/>
      <c r="C3803" s="2"/>
    </row>
    <row r="3804" spans="1:3" x14ac:dyDescent="0.3">
      <c r="A3804" s="1"/>
      <c r="B3804" s="2"/>
      <c r="C3804" s="2"/>
    </row>
    <row r="3805" spans="1:3" x14ac:dyDescent="0.3">
      <c r="A3805" s="1"/>
      <c r="B3805" s="2"/>
      <c r="C3805" s="2"/>
    </row>
    <row r="3806" spans="1:3" x14ac:dyDescent="0.3">
      <c r="A3806" s="1"/>
      <c r="B3806" s="2"/>
      <c r="C3806" s="2"/>
    </row>
    <row r="3807" spans="1:3" x14ac:dyDescent="0.3">
      <c r="A3807" s="1"/>
      <c r="B3807" s="2"/>
      <c r="C3807" s="2"/>
    </row>
    <row r="3808" spans="1:3" x14ac:dyDescent="0.3">
      <c r="A3808" s="1"/>
      <c r="B3808" s="2"/>
      <c r="C3808" s="2"/>
    </row>
    <row r="3809" spans="1:3" x14ac:dyDescent="0.3">
      <c r="A3809" s="1"/>
      <c r="B3809" s="2"/>
      <c r="C3809" s="2"/>
    </row>
    <row r="3810" spans="1:3" x14ac:dyDescent="0.3">
      <c r="A3810" s="1"/>
      <c r="B3810" s="2"/>
      <c r="C3810" s="2"/>
    </row>
    <row r="3811" spans="1:3" x14ac:dyDescent="0.3">
      <c r="A3811" s="1"/>
      <c r="B3811" s="2"/>
      <c r="C3811" s="2"/>
    </row>
    <row r="3812" spans="1:3" x14ac:dyDescent="0.3">
      <c r="A3812" s="1"/>
      <c r="B3812" s="2"/>
      <c r="C3812" s="2"/>
    </row>
    <row r="3813" spans="1:3" x14ac:dyDescent="0.3">
      <c r="A3813" s="1"/>
      <c r="B3813" s="2"/>
      <c r="C3813" s="2"/>
    </row>
    <row r="3814" spans="1:3" x14ac:dyDescent="0.3">
      <c r="A3814" s="1"/>
      <c r="B3814" s="2"/>
      <c r="C3814" s="2"/>
    </row>
    <row r="3815" spans="1:3" x14ac:dyDescent="0.3">
      <c r="A3815" s="1"/>
      <c r="B3815" s="2"/>
      <c r="C3815" s="2"/>
    </row>
    <row r="3816" spans="1:3" x14ac:dyDescent="0.3">
      <c r="A3816" s="1"/>
      <c r="B3816" s="2"/>
      <c r="C3816" s="2"/>
    </row>
    <row r="3817" spans="1:3" x14ac:dyDescent="0.3">
      <c r="A3817" s="1"/>
      <c r="B3817" s="2"/>
      <c r="C3817" s="2"/>
    </row>
    <row r="3818" spans="1:3" x14ac:dyDescent="0.3">
      <c r="A3818" s="1"/>
      <c r="B3818" s="2"/>
      <c r="C3818" s="2"/>
    </row>
    <row r="3819" spans="1:3" x14ac:dyDescent="0.3">
      <c r="A3819" s="1"/>
      <c r="B3819" s="2"/>
      <c r="C3819" s="2"/>
    </row>
    <row r="3820" spans="1:3" x14ac:dyDescent="0.3">
      <c r="A3820" s="1"/>
      <c r="B3820" s="2"/>
      <c r="C3820" s="2"/>
    </row>
    <row r="3821" spans="1:3" x14ac:dyDescent="0.3">
      <c r="A3821" s="1"/>
      <c r="B3821" s="2"/>
      <c r="C3821" s="2"/>
    </row>
    <row r="3822" spans="1:3" x14ac:dyDescent="0.3">
      <c r="A3822" s="1"/>
      <c r="B3822" s="2"/>
      <c r="C3822" s="2"/>
    </row>
    <row r="3823" spans="1:3" x14ac:dyDescent="0.3">
      <c r="A3823" s="1"/>
      <c r="B3823" s="2"/>
      <c r="C3823" s="2"/>
    </row>
    <row r="3824" spans="1:3" x14ac:dyDescent="0.3">
      <c r="A3824" s="1"/>
      <c r="B3824" s="2"/>
      <c r="C3824" s="2"/>
    </row>
    <row r="3825" spans="1:3" x14ac:dyDescent="0.3">
      <c r="A3825" s="1"/>
      <c r="B3825" s="2"/>
      <c r="C3825" s="2"/>
    </row>
    <row r="3826" spans="1:3" x14ac:dyDescent="0.3">
      <c r="A3826" s="1"/>
      <c r="B3826" s="2"/>
      <c r="C3826" s="2"/>
    </row>
    <row r="3827" spans="1:3" x14ac:dyDescent="0.3">
      <c r="A3827" s="1"/>
      <c r="B3827" s="2"/>
      <c r="C3827" s="2"/>
    </row>
    <row r="3828" spans="1:3" x14ac:dyDescent="0.3">
      <c r="A3828" s="1"/>
      <c r="B3828" s="2"/>
      <c r="C3828" s="2"/>
    </row>
    <row r="3829" spans="1:3" x14ac:dyDescent="0.3">
      <c r="A3829" s="1"/>
      <c r="B3829" s="2"/>
      <c r="C3829" s="2"/>
    </row>
    <row r="3830" spans="1:3" x14ac:dyDescent="0.3">
      <c r="A3830" s="1"/>
      <c r="B3830" s="2"/>
      <c r="C3830" s="2"/>
    </row>
    <row r="3831" spans="1:3" x14ac:dyDescent="0.3">
      <c r="A3831" s="1"/>
      <c r="B3831" s="2"/>
      <c r="C3831" s="2"/>
    </row>
    <row r="3832" spans="1:3" x14ac:dyDescent="0.3">
      <c r="A3832" s="1"/>
      <c r="B3832" s="2"/>
      <c r="C3832" s="2"/>
    </row>
    <row r="3833" spans="1:3" x14ac:dyDescent="0.3">
      <c r="A3833" s="1"/>
      <c r="B3833" s="2"/>
      <c r="C3833" s="2"/>
    </row>
    <row r="3834" spans="1:3" x14ac:dyDescent="0.3">
      <c r="A3834" s="1"/>
      <c r="B3834" s="2"/>
      <c r="C3834" s="2"/>
    </row>
    <row r="3835" spans="1:3" x14ac:dyDescent="0.3">
      <c r="A3835" s="1"/>
      <c r="B3835" s="2"/>
      <c r="C3835" s="2"/>
    </row>
    <row r="3836" spans="1:3" x14ac:dyDescent="0.3">
      <c r="A3836" s="1"/>
      <c r="B3836" s="2"/>
      <c r="C3836" s="2"/>
    </row>
    <row r="3837" spans="1:3" x14ac:dyDescent="0.3">
      <c r="A3837" s="1"/>
      <c r="B3837" s="2"/>
      <c r="C3837" s="2"/>
    </row>
    <row r="3838" spans="1:3" x14ac:dyDescent="0.3">
      <c r="A3838" s="1"/>
      <c r="B3838" s="2"/>
      <c r="C3838" s="2"/>
    </row>
    <row r="3839" spans="1:3" x14ac:dyDescent="0.3">
      <c r="A3839" s="1"/>
      <c r="B3839" s="2"/>
      <c r="C3839" s="2"/>
    </row>
    <row r="3840" spans="1:3" x14ac:dyDescent="0.3">
      <c r="A3840" s="1"/>
      <c r="B3840" s="2"/>
      <c r="C3840" s="2"/>
    </row>
    <row r="3841" spans="1:3" x14ac:dyDescent="0.3">
      <c r="A3841" s="1"/>
      <c r="B3841" s="2"/>
      <c r="C3841" s="2"/>
    </row>
    <row r="3842" spans="1:3" x14ac:dyDescent="0.3">
      <c r="A3842" s="1"/>
      <c r="B3842" s="2"/>
      <c r="C3842" s="2"/>
    </row>
    <row r="3843" spans="1:3" x14ac:dyDescent="0.3">
      <c r="A3843" s="1"/>
      <c r="B3843" s="2"/>
      <c r="C3843" s="2"/>
    </row>
    <row r="3844" spans="1:3" x14ac:dyDescent="0.3">
      <c r="A3844" s="1"/>
      <c r="B3844" s="2"/>
      <c r="C3844" s="2"/>
    </row>
    <row r="3845" spans="1:3" x14ac:dyDescent="0.3">
      <c r="A3845" s="1"/>
      <c r="B3845" s="2"/>
      <c r="C3845" s="2"/>
    </row>
    <row r="3846" spans="1:3" x14ac:dyDescent="0.3">
      <c r="A3846" s="1"/>
      <c r="B3846" s="2"/>
      <c r="C3846" s="2"/>
    </row>
    <row r="3847" spans="1:3" x14ac:dyDescent="0.3">
      <c r="A3847" s="1"/>
      <c r="B3847" s="2"/>
      <c r="C3847" s="2"/>
    </row>
    <row r="3848" spans="1:3" x14ac:dyDescent="0.3">
      <c r="A3848" s="1"/>
      <c r="B3848" s="2"/>
      <c r="C3848" s="2"/>
    </row>
    <row r="3849" spans="1:3" x14ac:dyDescent="0.3">
      <c r="A3849" s="1"/>
      <c r="B3849" s="2"/>
      <c r="C3849" s="2"/>
    </row>
    <row r="3850" spans="1:3" x14ac:dyDescent="0.3">
      <c r="A3850" s="1"/>
      <c r="B3850" s="2"/>
      <c r="C3850" s="2"/>
    </row>
    <row r="3851" spans="1:3" x14ac:dyDescent="0.3">
      <c r="A3851" s="1"/>
      <c r="B3851" s="2"/>
      <c r="C3851" s="2"/>
    </row>
    <row r="3852" spans="1:3" x14ac:dyDescent="0.3">
      <c r="A3852" s="1"/>
      <c r="B3852" s="2"/>
      <c r="C3852" s="2"/>
    </row>
    <row r="3853" spans="1:3" x14ac:dyDescent="0.3">
      <c r="A3853" s="1"/>
      <c r="B3853" s="2"/>
      <c r="C3853" s="2"/>
    </row>
    <row r="3854" spans="1:3" x14ac:dyDescent="0.3">
      <c r="A3854" s="1"/>
      <c r="B3854" s="2"/>
      <c r="C3854" s="2"/>
    </row>
    <row r="3855" spans="1:3" x14ac:dyDescent="0.3">
      <c r="A3855" s="1"/>
      <c r="B3855" s="2"/>
      <c r="C3855" s="2"/>
    </row>
    <row r="3856" spans="1:3" x14ac:dyDescent="0.3">
      <c r="A3856" s="1"/>
      <c r="B3856" s="2"/>
      <c r="C3856" s="2"/>
    </row>
    <row r="3857" spans="1:3" x14ac:dyDescent="0.3">
      <c r="A3857" s="1"/>
      <c r="B3857" s="2"/>
      <c r="C3857" s="2"/>
    </row>
    <row r="3858" spans="1:3" x14ac:dyDescent="0.3">
      <c r="A3858" s="1"/>
      <c r="B3858" s="2"/>
      <c r="C3858" s="2"/>
    </row>
    <row r="3859" spans="1:3" x14ac:dyDescent="0.3">
      <c r="A3859" s="1"/>
      <c r="B3859" s="2"/>
      <c r="C3859" s="2"/>
    </row>
    <row r="3860" spans="1:3" x14ac:dyDescent="0.3">
      <c r="A3860" s="1"/>
      <c r="B3860" s="2"/>
      <c r="C3860" s="2"/>
    </row>
    <row r="3861" spans="1:3" x14ac:dyDescent="0.3">
      <c r="A3861" s="1"/>
      <c r="B3861" s="2"/>
      <c r="C3861" s="2"/>
    </row>
    <row r="3862" spans="1:3" x14ac:dyDescent="0.3">
      <c r="A3862" s="1"/>
      <c r="B3862" s="2"/>
      <c r="C3862" s="2"/>
    </row>
    <row r="3863" spans="1:3" x14ac:dyDescent="0.3">
      <c r="A3863" s="1"/>
      <c r="B3863" s="2"/>
      <c r="C3863" s="2"/>
    </row>
    <row r="3864" spans="1:3" x14ac:dyDescent="0.3">
      <c r="A3864" s="1"/>
      <c r="B3864" s="2"/>
      <c r="C3864" s="2"/>
    </row>
    <row r="3865" spans="1:3" x14ac:dyDescent="0.3">
      <c r="A3865" s="1"/>
      <c r="B3865" s="2"/>
      <c r="C3865" s="2"/>
    </row>
    <row r="3866" spans="1:3" x14ac:dyDescent="0.3">
      <c r="A3866" s="1"/>
      <c r="B3866" s="2"/>
      <c r="C3866" s="2"/>
    </row>
    <row r="3867" spans="1:3" x14ac:dyDescent="0.3">
      <c r="A3867" s="1"/>
      <c r="B3867" s="2"/>
      <c r="C3867" s="2"/>
    </row>
    <row r="3868" spans="1:3" x14ac:dyDescent="0.3">
      <c r="A3868" s="1"/>
      <c r="B3868" s="2"/>
      <c r="C3868" s="2"/>
    </row>
    <row r="3869" spans="1:3" x14ac:dyDescent="0.3">
      <c r="A3869" s="1"/>
      <c r="B3869" s="2"/>
      <c r="C3869" s="2"/>
    </row>
    <row r="3870" spans="1:3" x14ac:dyDescent="0.3">
      <c r="A3870" s="1"/>
      <c r="B3870" s="2"/>
      <c r="C3870" s="2"/>
    </row>
    <row r="3871" spans="1:3" x14ac:dyDescent="0.3">
      <c r="A3871" s="1"/>
      <c r="B3871" s="2"/>
      <c r="C3871" s="2"/>
    </row>
    <row r="3872" spans="1:3" x14ac:dyDescent="0.3">
      <c r="A3872" s="1"/>
      <c r="B3872" s="2"/>
      <c r="C3872" s="2"/>
    </row>
    <row r="3873" spans="1:3" x14ac:dyDescent="0.3">
      <c r="A3873" s="1"/>
      <c r="B3873" s="2"/>
      <c r="C3873" s="2"/>
    </row>
    <row r="3874" spans="1:3" x14ac:dyDescent="0.3">
      <c r="A3874" s="1"/>
      <c r="B3874" s="2"/>
      <c r="C3874" s="2"/>
    </row>
    <row r="3875" spans="1:3" x14ac:dyDescent="0.3">
      <c r="A3875" s="1"/>
      <c r="B3875" s="2"/>
      <c r="C3875" s="2"/>
    </row>
    <row r="3876" spans="1:3" x14ac:dyDescent="0.3">
      <c r="A3876" s="1"/>
      <c r="B3876" s="2"/>
      <c r="C3876" s="2"/>
    </row>
    <row r="3877" spans="1:3" x14ac:dyDescent="0.3">
      <c r="A3877" s="1"/>
      <c r="B3877" s="2"/>
      <c r="C3877" s="2"/>
    </row>
    <row r="3878" spans="1:3" x14ac:dyDescent="0.3">
      <c r="A3878" s="1"/>
      <c r="B3878" s="2"/>
      <c r="C3878" s="2"/>
    </row>
    <row r="3879" spans="1:3" x14ac:dyDescent="0.3">
      <c r="A3879" s="1"/>
      <c r="B3879" s="2"/>
      <c r="C3879" s="2"/>
    </row>
    <row r="3880" spans="1:3" x14ac:dyDescent="0.3">
      <c r="A3880" s="1"/>
      <c r="B3880" s="2"/>
      <c r="C3880" s="2"/>
    </row>
    <row r="3881" spans="1:3" x14ac:dyDescent="0.3">
      <c r="A3881" s="1"/>
      <c r="B3881" s="2"/>
      <c r="C3881" s="2"/>
    </row>
    <row r="3882" spans="1:3" x14ac:dyDescent="0.3">
      <c r="A3882" s="1"/>
      <c r="B3882" s="2"/>
      <c r="C3882" s="2"/>
    </row>
    <row r="3883" spans="1:3" x14ac:dyDescent="0.3">
      <c r="A3883" s="1"/>
      <c r="B3883" s="2"/>
      <c r="C3883" s="2"/>
    </row>
    <row r="3884" spans="1:3" x14ac:dyDescent="0.3">
      <c r="A3884" s="1"/>
      <c r="B3884" s="2"/>
      <c r="C3884" s="2"/>
    </row>
    <row r="3885" spans="1:3" x14ac:dyDescent="0.3">
      <c r="A3885" s="1"/>
      <c r="B3885" s="2"/>
      <c r="C3885" s="2"/>
    </row>
    <row r="3886" spans="1:3" x14ac:dyDescent="0.3">
      <c r="A3886" s="1"/>
      <c r="B3886" s="2"/>
      <c r="C3886" s="2"/>
    </row>
    <row r="3887" spans="1:3" x14ac:dyDescent="0.3">
      <c r="A3887" s="1"/>
      <c r="B3887" s="2"/>
      <c r="C3887" s="2"/>
    </row>
    <row r="3888" spans="1:3" x14ac:dyDescent="0.3">
      <c r="A3888" s="1"/>
      <c r="B3888" s="2"/>
      <c r="C3888" s="2"/>
    </row>
    <row r="3889" spans="1:3" x14ac:dyDescent="0.3">
      <c r="A3889" s="1"/>
      <c r="B3889" s="2"/>
      <c r="C3889" s="2"/>
    </row>
    <row r="3890" spans="1:3" x14ac:dyDescent="0.3">
      <c r="A3890" s="1"/>
      <c r="B3890" s="2"/>
      <c r="C3890" s="2"/>
    </row>
    <row r="3891" spans="1:3" x14ac:dyDescent="0.3">
      <c r="A3891" s="1"/>
      <c r="B3891" s="2"/>
      <c r="C3891" s="2"/>
    </row>
    <row r="3892" spans="1:3" x14ac:dyDescent="0.3">
      <c r="A3892" s="1"/>
      <c r="B3892" s="2"/>
      <c r="C3892" s="2"/>
    </row>
    <row r="3893" spans="1:3" x14ac:dyDescent="0.3">
      <c r="A3893" s="1"/>
      <c r="B3893" s="2"/>
      <c r="C3893" s="2"/>
    </row>
    <row r="3894" spans="1:3" x14ac:dyDescent="0.3">
      <c r="A3894" s="1"/>
      <c r="B3894" s="2"/>
      <c r="C3894" s="2"/>
    </row>
    <row r="3895" spans="1:3" x14ac:dyDescent="0.3">
      <c r="A3895" s="1"/>
      <c r="B3895" s="2"/>
      <c r="C3895" s="2"/>
    </row>
    <row r="3896" spans="1:3" x14ac:dyDescent="0.3">
      <c r="A3896" s="1"/>
      <c r="B3896" s="2"/>
      <c r="C3896" s="2"/>
    </row>
    <row r="3897" spans="1:3" x14ac:dyDescent="0.3">
      <c r="A3897" s="1"/>
      <c r="B3897" s="2"/>
      <c r="C3897" s="2"/>
    </row>
    <row r="3898" spans="1:3" x14ac:dyDescent="0.3">
      <c r="A3898" s="1"/>
      <c r="B3898" s="2"/>
      <c r="C3898" s="2"/>
    </row>
    <row r="3899" spans="1:3" x14ac:dyDescent="0.3">
      <c r="A3899" s="1"/>
      <c r="B3899" s="2"/>
      <c r="C3899" s="2"/>
    </row>
    <row r="3900" spans="1:3" x14ac:dyDescent="0.3">
      <c r="A3900" s="1"/>
      <c r="B3900" s="2"/>
      <c r="C3900" s="2"/>
    </row>
    <row r="3901" spans="1:3" x14ac:dyDescent="0.3">
      <c r="A3901" s="1"/>
      <c r="B3901" s="2"/>
      <c r="C3901" s="2"/>
    </row>
    <row r="3902" spans="1:3" x14ac:dyDescent="0.3">
      <c r="A3902" s="1"/>
      <c r="B3902" s="2"/>
      <c r="C3902" s="2"/>
    </row>
    <row r="3903" spans="1:3" x14ac:dyDescent="0.3">
      <c r="A3903" s="1"/>
      <c r="B3903" s="2"/>
      <c r="C3903" s="2"/>
    </row>
    <row r="3904" spans="1:3" x14ac:dyDescent="0.3">
      <c r="A3904" s="1"/>
      <c r="B3904" s="2"/>
      <c r="C3904" s="2"/>
    </row>
    <row r="3905" spans="1:3" x14ac:dyDescent="0.3">
      <c r="A3905" s="1"/>
      <c r="B3905" s="2"/>
      <c r="C3905" s="2"/>
    </row>
    <row r="3906" spans="1:3" x14ac:dyDescent="0.3">
      <c r="A3906" s="1"/>
      <c r="B3906" s="2"/>
      <c r="C3906" s="2"/>
    </row>
    <row r="3907" spans="1:3" x14ac:dyDescent="0.3">
      <c r="A3907" s="1"/>
      <c r="B3907" s="2"/>
      <c r="C3907" s="2"/>
    </row>
    <row r="3908" spans="1:3" x14ac:dyDescent="0.3">
      <c r="A3908" s="1"/>
      <c r="B3908" s="2"/>
      <c r="C3908" s="2"/>
    </row>
    <row r="3909" spans="1:3" x14ac:dyDescent="0.3">
      <c r="A3909" s="1"/>
      <c r="B3909" s="2"/>
      <c r="C3909" s="2"/>
    </row>
    <row r="3910" spans="1:3" x14ac:dyDescent="0.3">
      <c r="A3910" s="1"/>
      <c r="B3910" s="2"/>
      <c r="C3910" s="2"/>
    </row>
    <row r="3911" spans="1:3" x14ac:dyDescent="0.3">
      <c r="A3911" s="1"/>
      <c r="B3911" s="2"/>
      <c r="C3911" s="2"/>
    </row>
    <row r="3912" spans="1:3" x14ac:dyDescent="0.3">
      <c r="A3912" s="1"/>
      <c r="B3912" s="2"/>
      <c r="C3912" s="2"/>
    </row>
    <row r="3913" spans="1:3" x14ac:dyDescent="0.3">
      <c r="A3913" s="1"/>
      <c r="B3913" s="2"/>
      <c r="C3913" s="2"/>
    </row>
    <row r="3914" spans="1:3" x14ac:dyDescent="0.3">
      <c r="A3914" s="1"/>
      <c r="B3914" s="2"/>
      <c r="C3914" s="2"/>
    </row>
    <row r="3915" spans="1:3" x14ac:dyDescent="0.3">
      <c r="A3915" s="1"/>
      <c r="B3915" s="2"/>
      <c r="C3915" s="2"/>
    </row>
    <row r="3916" spans="1:3" x14ac:dyDescent="0.3">
      <c r="A3916" s="1"/>
      <c r="B3916" s="2"/>
      <c r="C3916" s="2"/>
    </row>
    <row r="3917" spans="1:3" x14ac:dyDescent="0.3">
      <c r="A3917" s="1"/>
      <c r="B3917" s="2"/>
      <c r="C3917" s="2"/>
    </row>
    <row r="3918" spans="1:3" x14ac:dyDescent="0.3">
      <c r="A3918" s="1"/>
      <c r="B3918" s="2"/>
      <c r="C3918" s="2"/>
    </row>
    <row r="3919" spans="1:3" x14ac:dyDescent="0.3">
      <c r="A3919" s="1"/>
      <c r="B3919" s="2"/>
      <c r="C3919" s="2"/>
    </row>
    <row r="3920" spans="1:3" x14ac:dyDescent="0.3">
      <c r="A3920" s="1"/>
      <c r="B3920" s="2"/>
      <c r="C3920" s="2"/>
    </row>
    <row r="3921" spans="1:3" x14ac:dyDescent="0.3">
      <c r="A3921" s="1"/>
      <c r="B3921" s="2"/>
      <c r="C3921" s="2"/>
    </row>
    <row r="3922" spans="1:3" x14ac:dyDescent="0.3">
      <c r="A3922" s="1"/>
      <c r="B3922" s="2"/>
      <c r="C3922" s="2"/>
    </row>
    <row r="3923" spans="1:3" x14ac:dyDescent="0.3">
      <c r="A3923" s="1"/>
      <c r="B3923" s="2"/>
      <c r="C3923" s="2"/>
    </row>
    <row r="3924" spans="1:3" x14ac:dyDescent="0.3">
      <c r="A3924" s="1"/>
      <c r="B3924" s="2"/>
      <c r="C3924" s="2"/>
    </row>
    <row r="3925" spans="1:3" x14ac:dyDescent="0.3">
      <c r="A3925" s="1"/>
      <c r="B3925" s="2"/>
      <c r="C3925" s="2"/>
    </row>
    <row r="3926" spans="1:3" x14ac:dyDescent="0.3">
      <c r="A3926" s="1"/>
      <c r="B3926" s="2"/>
      <c r="C3926" s="2"/>
    </row>
    <row r="3927" spans="1:3" x14ac:dyDescent="0.3">
      <c r="A3927" s="1"/>
      <c r="B3927" s="2"/>
      <c r="C3927" s="2"/>
    </row>
    <row r="3928" spans="1:3" x14ac:dyDescent="0.3">
      <c r="A3928" s="1"/>
      <c r="B3928" s="2"/>
      <c r="C3928" s="2"/>
    </row>
    <row r="3929" spans="1:3" x14ac:dyDescent="0.3">
      <c r="A3929" s="1"/>
      <c r="B3929" s="2"/>
      <c r="C3929" s="2"/>
    </row>
    <row r="3930" spans="1:3" x14ac:dyDescent="0.3">
      <c r="A3930" s="1"/>
      <c r="B3930" s="2"/>
      <c r="C3930" s="2"/>
    </row>
    <row r="3931" spans="1:3" x14ac:dyDescent="0.3">
      <c r="A3931" s="1"/>
      <c r="B3931" s="2"/>
      <c r="C3931" s="2"/>
    </row>
    <row r="3932" spans="1:3" x14ac:dyDescent="0.3">
      <c r="A3932" s="1"/>
      <c r="B3932" s="2"/>
      <c r="C3932" s="2"/>
    </row>
    <row r="3933" spans="1:3" x14ac:dyDescent="0.3">
      <c r="A3933" s="1"/>
      <c r="B3933" s="2"/>
      <c r="C3933" s="2"/>
    </row>
    <row r="3934" spans="1:3" x14ac:dyDescent="0.3">
      <c r="A3934" s="1"/>
      <c r="B3934" s="2"/>
      <c r="C3934" s="2"/>
    </row>
    <row r="3935" spans="1:3" x14ac:dyDescent="0.3">
      <c r="A3935" s="1"/>
      <c r="B3935" s="2"/>
      <c r="C3935" s="2"/>
    </row>
    <row r="3936" spans="1:3" x14ac:dyDescent="0.3">
      <c r="A3936" s="1"/>
      <c r="B3936" s="2"/>
      <c r="C3936" s="2"/>
    </row>
    <row r="3937" spans="1:3" x14ac:dyDescent="0.3">
      <c r="A3937" s="1"/>
      <c r="B3937" s="2"/>
      <c r="C3937" s="2"/>
    </row>
    <row r="3938" spans="1:3" x14ac:dyDescent="0.3">
      <c r="A3938" s="1"/>
      <c r="B3938" s="2"/>
      <c r="C3938" s="2"/>
    </row>
    <row r="3939" spans="1:3" x14ac:dyDescent="0.3">
      <c r="A3939" s="1"/>
      <c r="B3939" s="2"/>
      <c r="C3939" s="2"/>
    </row>
    <row r="3940" spans="1:3" x14ac:dyDescent="0.3">
      <c r="A3940" s="1"/>
      <c r="B3940" s="2"/>
      <c r="C3940" s="2"/>
    </row>
    <row r="3941" spans="1:3" x14ac:dyDescent="0.3">
      <c r="A3941" s="1"/>
      <c r="B3941" s="2"/>
      <c r="C3941" s="2"/>
    </row>
    <row r="3942" spans="1:3" x14ac:dyDescent="0.3">
      <c r="A3942" s="1"/>
      <c r="B3942" s="2"/>
      <c r="C3942" s="2"/>
    </row>
    <row r="3943" spans="1:3" x14ac:dyDescent="0.3">
      <c r="A3943" s="1"/>
      <c r="B3943" s="2"/>
      <c r="C3943" s="2"/>
    </row>
    <row r="3944" spans="1:3" x14ac:dyDescent="0.3">
      <c r="A3944" s="1"/>
      <c r="B3944" s="2"/>
      <c r="C3944" s="2"/>
    </row>
    <row r="3945" spans="1:3" x14ac:dyDescent="0.3">
      <c r="A3945" s="1"/>
      <c r="B3945" s="2"/>
      <c r="C3945" s="2"/>
    </row>
    <row r="3946" spans="1:3" x14ac:dyDescent="0.3">
      <c r="A3946" s="1"/>
      <c r="B3946" s="2"/>
      <c r="C3946" s="2"/>
    </row>
    <row r="3947" spans="1:3" x14ac:dyDescent="0.3">
      <c r="A3947" s="1"/>
      <c r="B3947" s="2"/>
      <c r="C3947" s="2"/>
    </row>
    <row r="3948" spans="1:3" x14ac:dyDescent="0.3">
      <c r="A3948" s="1"/>
      <c r="B3948" s="2"/>
      <c r="C3948" s="2"/>
    </row>
    <row r="3949" spans="1:3" x14ac:dyDescent="0.3">
      <c r="A3949" s="1"/>
      <c r="B3949" s="2"/>
      <c r="C3949" s="2"/>
    </row>
    <row r="3950" spans="1:3" x14ac:dyDescent="0.3">
      <c r="A3950" s="1"/>
      <c r="B3950" s="2"/>
      <c r="C3950" s="2"/>
    </row>
    <row r="3951" spans="1:3" x14ac:dyDescent="0.3">
      <c r="A3951" s="1"/>
      <c r="B3951" s="2"/>
      <c r="C3951" s="2"/>
    </row>
    <row r="3952" spans="1:3" x14ac:dyDescent="0.3">
      <c r="A3952" s="1"/>
      <c r="B3952" s="2"/>
      <c r="C3952" s="2"/>
    </row>
    <row r="3953" spans="1:3" x14ac:dyDescent="0.3">
      <c r="A3953" s="1"/>
      <c r="B3953" s="2"/>
      <c r="C3953" s="2"/>
    </row>
    <row r="3954" spans="1:3" x14ac:dyDescent="0.3">
      <c r="A3954" s="1"/>
      <c r="B3954" s="2"/>
      <c r="C3954" s="2"/>
    </row>
    <row r="3955" spans="1:3" x14ac:dyDescent="0.3">
      <c r="A3955" s="1"/>
      <c r="B3955" s="2"/>
      <c r="C3955" s="2"/>
    </row>
    <row r="3956" spans="1:3" x14ac:dyDescent="0.3">
      <c r="A3956" s="1"/>
      <c r="B3956" s="2"/>
      <c r="C3956" s="2"/>
    </row>
    <row r="3957" spans="1:3" x14ac:dyDescent="0.3">
      <c r="A3957" s="1"/>
      <c r="B3957" s="2"/>
      <c r="C3957" s="2"/>
    </row>
    <row r="3958" spans="1:3" x14ac:dyDescent="0.3">
      <c r="A3958" s="1"/>
      <c r="B3958" s="2"/>
      <c r="C3958" s="2"/>
    </row>
    <row r="3959" spans="1:3" x14ac:dyDescent="0.3">
      <c r="A3959" s="1"/>
      <c r="B3959" s="2"/>
      <c r="C3959" s="2"/>
    </row>
    <row r="3960" spans="1:3" x14ac:dyDescent="0.3">
      <c r="A3960" s="1"/>
      <c r="B3960" s="2"/>
      <c r="C3960" s="2"/>
    </row>
    <row r="3961" spans="1:3" x14ac:dyDescent="0.3">
      <c r="A3961" s="1"/>
      <c r="B3961" s="2"/>
      <c r="C3961" s="2"/>
    </row>
    <row r="3962" spans="1:3" x14ac:dyDescent="0.3">
      <c r="A3962" s="1"/>
      <c r="B3962" s="2"/>
      <c r="C3962" s="2"/>
    </row>
    <row r="3963" spans="1:3" x14ac:dyDescent="0.3">
      <c r="A3963" s="1"/>
      <c r="B3963" s="2"/>
      <c r="C3963" s="2"/>
    </row>
    <row r="3964" spans="1:3" x14ac:dyDescent="0.3">
      <c r="A3964" s="1"/>
      <c r="B3964" s="2"/>
      <c r="C3964" s="2"/>
    </row>
    <row r="3965" spans="1:3" x14ac:dyDescent="0.3">
      <c r="A3965" s="1"/>
      <c r="B3965" s="2"/>
      <c r="C3965" s="2"/>
    </row>
    <row r="3966" spans="1:3" x14ac:dyDescent="0.3">
      <c r="A3966" s="1"/>
      <c r="B3966" s="2"/>
      <c r="C3966" s="2"/>
    </row>
    <row r="3967" spans="1:3" x14ac:dyDescent="0.3">
      <c r="A3967" s="1"/>
      <c r="B3967" s="2"/>
      <c r="C3967" s="2"/>
    </row>
    <row r="3968" spans="1:3" x14ac:dyDescent="0.3">
      <c r="A3968" s="1"/>
      <c r="B3968" s="2"/>
      <c r="C3968" s="2"/>
    </row>
    <row r="3969" spans="1:3" x14ac:dyDescent="0.3">
      <c r="A3969" s="1"/>
      <c r="B3969" s="2"/>
      <c r="C3969" s="2"/>
    </row>
    <row r="3970" spans="1:3" x14ac:dyDescent="0.3">
      <c r="A3970" s="1"/>
      <c r="B3970" s="2"/>
      <c r="C3970" s="2"/>
    </row>
    <row r="3971" spans="1:3" x14ac:dyDescent="0.3">
      <c r="A3971" s="1"/>
      <c r="B3971" s="2"/>
      <c r="C3971" s="2"/>
    </row>
    <row r="3972" spans="1:3" x14ac:dyDescent="0.3">
      <c r="A3972" s="1"/>
      <c r="B3972" s="2"/>
      <c r="C3972" s="2"/>
    </row>
    <row r="3973" spans="1:3" x14ac:dyDescent="0.3">
      <c r="A3973" s="1"/>
      <c r="B3973" s="2"/>
      <c r="C3973" s="2"/>
    </row>
    <row r="3974" spans="1:3" x14ac:dyDescent="0.3">
      <c r="A3974" s="1"/>
      <c r="B3974" s="2"/>
      <c r="C3974" s="2"/>
    </row>
    <row r="3975" spans="1:3" x14ac:dyDescent="0.3">
      <c r="A3975" s="1"/>
      <c r="B3975" s="2"/>
      <c r="C3975" s="2"/>
    </row>
    <row r="3976" spans="1:3" x14ac:dyDescent="0.3">
      <c r="A3976" s="1"/>
      <c r="B3976" s="2"/>
      <c r="C3976" s="2"/>
    </row>
    <row r="3977" spans="1:3" x14ac:dyDescent="0.3">
      <c r="A3977" s="1"/>
      <c r="B3977" s="2"/>
      <c r="C3977" s="2"/>
    </row>
    <row r="3978" spans="1:3" x14ac:dyDescent="0.3">
      <c r="A3978" s="1"/>
      <c r="B3978" s="2"/>
      <c r="C3978" s="2"/>
    </row>
    <row r="3979" spans="1:3" x14ac:dyDescent="0.3">
      <c r="A3979" s="1"/>
      <c r="B3979" s="2"/>
      <c r="C3979" s="2"/>
    </row>
    <row r="3980" spans="1:3" x14ac:dyDescent="0.3">
      <c r="A3980" s="1"/>
      <c r="B3980" s="2"/>
      <c r="C3980" s="2"/>
    </row>
    <row r="3981" spans="1:3" x14ac:dyDescent="0.3">
      <c r="A3981" s="1"/>
      <c r="B3981" s="2"/>
      <c r="C3981" s="2"/>
    </row>
    <row r="3982" spans="1:3" x14ac:dyDescent="0.3">
      <c r="A3982" s="1"/>
      <c r="B3982" s="2"/>
      <c r="C3982" s="2"/>
    </row>
    <row r="3983" spans="1:3" x14ac:dyDescent="0.3">
      <c r="A3983" s="1"/>
      <c r="B3983" s="2"/>
      <c r="C3983" s="2"/>
    </row>
    <row r="3984" spans="1:3" x14ac:dyDescent="0.3">
      <c r="A3984" s="1"/>
      <c r="B3984" s="2"/>
      <c r="C3984" s="2"/>
    </row>
    <row r="3985" spans="1:3" x14ac:dyDescent="0.3">
      <c r="A3985" s="1"/>
      <c r="B3985" s="2"/>
      <c r="C3985" s="2"/>
    </row>
    <row r="3986" spans="1:3" x14ac:dyDescent="0.3">
      <c r="A3986" s="1"/>
      <c r="B3986" s="2"/>
      <c r="C3986" s="2"/>
    </row>
    <row r="3987" spans="1:3" x14ac:dyDescent="0.3">
      <c r="A3987" s="1"/>
      <c r="B3987" s="2"/>
      <c r="C3987" s="2"/>
    </row>
    <row r="3988" spans="1:3" x14ac:dyDescent="0.3">
      <c r="A3988" s="1"/>
      <c r="B3988" s="2"/>
      <c r="C3988" s="2"/>
    </row>
    <row r="3989" spans="1:3" x14ac:dyDescent="0.3">
      <c r="A3989" s="1"/>
      <c r="B3989" s="2"/>
      <c r="C3989" s="2"/>
    </row>
    <row r="3990" spans="1:3" x14ac:dyDescent="0.3">
      <c r="A3990" s="1"/>
      <c r="B3990" s="2"/>
      <c r="C3990" s="2"/>
    </row>
    <row r="3991" spans="1:3" x14ac:dyDescent="0.3">
      <c r="A3991" s="1"/>
      <c r="B3991" s="2"/>
      <c r="C3991" s="2"/>
    </row>
    <row r="3992" spans="1:3" x14ac:dyDescent="0.3">
      <c r="A3992" s="1"/>
      <c r="B3992" s="2"/>
      <c r="C3992" s="2"/>
    </row>
    <row r="3993" spans="1:3" x14ac:dyDescent="0.3">
      <c r="A3993" s="1"/>
      <c r="B3993" s="2"/>
      <c r="C3993" s="2"/>
    </row>
    <row r="3994" spans="1:3" x14ac:dyDescent="0.3">
      <c r="A3994" s="1"/>
      <c r="B3994" s="2"/>
      <c r="C3994" s="2"/>
    </row>
    <row r="3995" spans="1:3" x14ac:dyDescent="0.3">
      <c r="A3995" s="1"/>
      <c r="B3995" s="2"/>
      <c r="C3995" s="2"/>
    </row>
    <row r="3996" spans="1:3" x14ac:dyDescent="0.3">
      <c r="A3996" s="1"/>
      <c r="B3996" s="2"/>
      <c r="C3996" s="2"/>
    </row>
    <row r="3997" spans="1:3" x14ac:dyDescent="0.3">
      <c r="A3997" s="1"/>
      <c r="B3997" s="2"/>
      <c r="C3997" s="2"/>
    </row>
    <row r="3998" spans="1:3" x14ac:dyDescent="0.3">
      <c r="A3998" s="1"/>
      <c r="B3998" s="2"/>
      <c r="C3998" s="2"/>
    </row>
    <row r="3999" spans="1:3" x14ac:dyDescent="0.3">
      <c r="A3999" s="1"/>
      <c r="B3999" s="2"/>
      <c r="C3999" s="2"/>
    </row>
    <row r="4000" spans="1:3" x14ac:dyDescent="0.3">
      <c r="A4000" s="1"/>
      <c r="B4000" s="2"/>
      <c r="C4000" s="2"/>
    </row>
    <row r="4001" spans="1:3" x14ac:dyDescent="0.3">
      <c r="A4001" s="1"/>
      <c r="B4001" s="2"/>
      <c r="C4001" s="2"/>
    </row>
    <row r="4002" spans="1:3" x14ac:dyDescent="0.3">
      <c r="A4002" s="1"/>
      <c r="B4002" s="2"/>
      <c r="C4002" s="2"/>
    </row>
    <row r="4003" spans="1:3" x14ac:dyDescent="0.3">
      <c r="A4003" s="1"/>
      <c r="B4003" s="2"/>
      <c r="C4003" s="2"/>
    </row>
    <row r="4004" spans="1:3" x14ac:dyDescent="0.3">
      <c r="A4004" s="1"/>
      <c r="B4004" s="2"/>
      <c r="C4004" s="2"/>
    </row>
    <row r="4005" spans="1:3" x14ac:dyDescent="0.3">
      <c r="A4005" s="1"/>
      <c r="B4005" s="2"/>
      <c r="C4005" s="2"/>
    </row>
    <row r="4006" spans="1:3" x14ac:dyDescent="0.3">
      <c r="A4006" s="1"/>
      <c r="B4006" s="2"/>
      <c r="C4006" s="2"/>
    </row>
    <row r="4007" spans="1:3" x14ac:dyDescent="0.3">
      <c r="A4007" s="1"/>
      <c r="B4007" s="2"/>
      <c r="C4007" s="2"/>
    </row>
    <row r="4008" spans="1:3" x14ac:dyDescent="0.3">
      <c r="A4008" s="1"/>
      <c r="B4008" s="2"/>
      <c r="C4008" s="2"/>
    </row>
    <row r="4009" spans="1:3" x14ac:dyDescent="0.3">
      <c r="A4009" s="1"/>
      <c r="B4009" s="2"/>
      <c r="C4009" s="2"/>
    </row>
    <row r="4010" spans="1:3" x14ac:dyDescent="0.3">
      <c r="A4010" s="1"/>
      <c r="B4010" s="2"/>
      <c r="C4010" s="2"/>
    </row>
    <row r="4011" spans="1:3" x14ac:dyDescent="0.3">
      <c r="A4011" s="1"/>
      <c r="B4011" s="2"/>
      <c r="C4011" s="2"/>
    </row>
    <row r="4012" spans="1:3" x14ac:dyDescent="0.3">
      <c r="A4012" s="1"/>
      <c r="B4012" s="2"/>
      <c r="C4012" s="2"/>
    </row>
    <row r="4013" spans="1:3" x14ac:dyDescent="0.3">
      <c r="A4013" s="1"/>
      <c r="B4013" s="2"/>
      <c r="C4013" s="2"/>
    </row>
    <row r="4014" spans="1:3" x14ac:dyDescent="0.3">
      <c r="A4014" s="1"/>
      <c r="B4014" s="2"/>
      <c r="C4014" s="2"/>
    </row>
    <row r="4015" spans="1:3" x14ac:dyDescent="0.3">
      <c r="A4015" s="1"/>
      <c r="B4015" s="2"/>
      <c r="C4015" s="2"/>
    </row>
    <row r="4016" spans="1:3" x14ac:dyDescent="0.3">
      <c r="A4016" s="1"/>
      <c r="B4016" s="2"/>
      <c r="C4016" s="2"/>
    </row>
    <row r="4017" spans="1:3" x14ac:dyDescent="0.3">
      <c r="A4017" s="1"/>
      <c r="B4017" s="2"/>
      <c r="C4017" s="2"/>
    </row>
    <row r="4018" spans="1:3" x14ac:dyDescent="0.3">
      <c r="A4018" s="1"/>
      <c r="B4018" s="2"/>
      <c r="C4018" s="2"/>
    </row>
    <row r="4019" spans="1:3" x14ac:dyDescent="0.3">
      <c r="A4019" s="1"/>
      <c r="B4019" s="2"/>
      <c r="C4019" s="2"/>
    </row>
    <row r="4020" spans="1:3" x14ac:dyDescent="0.3">
      <c r="A4020" s="1"/>
      <c r="B4020" s="2"/>
      <c r="C4020" s="2"/>
    </row>
    <row r="4021" spans="1:3" x14ac:dyDescent="0.3">
      <c r="A4021" s="1"/>
      <c r="B4021" s="2"/>
      <c r="C4021" s="2"/>
    </row>
    <row r="4022" spans="1:3" x14ac:dyDescent="0.3">
      <c r="A4022" s="1"/>
      <c r="B4022" s="2"/>
      <c r="C4022" s="2"/>
    </row>
    <row r="4023" spans="1:3" x14ac:dyDescent="0.3">
      <c r="A4023" s="1"/>
      <c r="B4023" s="2"/>
      <c r="C4023" s="2"/>
    </row>
    <row r="4024" spans="1:3" x14ac:dyDescent="0.3">
      <c r="A4024" s="1"/>
      <c r="B4024" s="2"/>
      <c r="C4024" s="2"/>
    </row>
    <row r="4025" spans="1:3" x14ac:dyDescent="0.3">
      <c r="A4025" s="1"/>
      <c r="B4025" s="2"/>
      <c r="C4025" s="2"/>
    </row>
    <row r="4026" spans="1:3" x14ac:dyDescent="0.3">
      <c r="A4026" s="1"/>
      <c r="B4026" s="2"/>
      <c r="C4026" s="2"/>
    </row>
    <row r="4027" spans="1:3" x14ac:dyDescent="0.3">
      <c r="A4027" s="1"/>
      <c r="B4027" s="2"/>
      <c r="C4027" s="2"/>
    </row>
    <row r="4028" spans="1:3" x14ac:dyDescent="0.3">
      <c r="A4028" s="1"/>
      <c r="B4028" s="2"/>
      <c r="C4028" s="2"/>
    </row>
    <row r="4029" spans="1:3" x14ac:dyDescent="0.3">
      <c r="A4029" s="1"/>
      <c r="B4029" s="2"/>
      <c r="C4029" s="2"/>
    </row>
    <row r="4030" spans="1:3" x14ac:dyDescent="0.3">
      <c r="A4030" s="1"/>
      <c r="B4030" s="2"/>
      <c r="C4030" s="2"/>
    </row>
    <row r="4031" spans="1:3" x14ac:dyDescent="0.3">
      <c r="A4031" s="1"/>
      <c r="B4031" s="2"/>
      <c r="C4031" s="2"/>
    </row>
    <row r="4032" spans="1:3" x14ac:dyDescent="0.3">
      <c r="A4032" s="1"/>
      <c r="B4032" s="2"/>
      <c r="C4032" s="2"/>
    </row>
    <row r="4033" spans="1:3" x14ac:dyDescent="0.3">
      <c r="A4033" s="1"/>
      <c r="B4033" s="2"/>
      <c r="C4033" s="2"/>
    </row>
    <row r="4034" spans="1:3" x14ac:dyDescent="0.3">
      <c r="A4034" s="1"/>
      <c r="B4034" s="2"/>
      <c r="C4034" s="2"/>
    </row>
    <row r="4035" spans="1:3" x14ac:dyDescent="0.3">
      <c r="A4035" s="1"/>
      <c r="B4035" s="2"/>
      <c r="C4035" s="2"/>
    </row>
    <row r="4036" spans="1:3" x14ac:dyDescent="0.3">
      <c r="A4036" s="1"/>
      <c r="B4036" s="2"/>
      <c r="C4036" s="2"/>
    </row>
    <row r="4037" spans="1:3" x14ac:dyDescent="0.3">
      <c r="A4037" s="1"/>
      <c r="B4037" s="2"/>
      <c r="C4037" s="2"/>
    </row>
    <row r="4038" spans="1:3" x14ac:dyDescent="0.3">
      <c r="A4038" s="1"/>
      <c r="B4038" s="2"/>
      <c r="C4038" s="2"/>
    </row>
    <row r="4039" spans="1:3" x14ac:dyDescent="0.3">
      <c r="A4039" s="1"/>
      <c r="B4039" s="2"/>
      <c r="C4039" s="2"/>
    </row>
    <row r="4040" spans="1:3" x14ac:dyDescent="0.3">
      <c r="A4040" s="1"/>
      <c r="B4040" s="2"/>
      <c r="C4040" s="2"/>
    </row>
    <row r="4041" spans="1:3" x14ac:dyDescent="0.3">
      <c r="A4041" s="1"/>
      <c r="B4041" s="2"/>
      <c r="C4041" s="2"/>
    </row>
    <row r="4042" spans="1:3" x14ac:dyDescent="0.3">
      <c r="A4042" s="1"/>
      <c r="B4042" s="2"/>
      <c r="C4042" s="2"/>
    </row>
    <row r="4043" spans="1:3" x14ac:dyDescent="0.3">
      <c r="A4043" s="1"/>
      <c r="B4043" s="2"/>
      <c r="C4043" s="2"/>
    </row>
    <row r="4044" spans="1:3" x14ac:dyDescent="0.3">
      <c r="A4044" s="1"/>
      <c r="B4044" s="2"/>
      <c r="C4044" s="2"/>
    </row>
    <row r="4045" spans="1:3" x14ac:dyDescent="0.3">
      <c r="A4045" s="1"/>
      <c r="B4045" s="2"/>
      <c r="C4045" s="2"/>
    </row>
    <row r="4046" spans="1:3" x14ac:dyDescent="0.3">
      <c r="A4046" s="1"/>
      <c r="B4046" s="2"/>
      <c r="C4046" s="2"/>
    </row>
    <row r="4047" spans="1:3" x14ac:dyDescent="0.3">
      <c r="A4047" s="1"/>
      <c r="B4047" s="2"/>
      <c r="C4047" s="2"/>
    </row>
    <row r="4048" spans="1:3" x14ac:dyDescent="0.3">
      <c r="A4048" s="1"/>
      <c r="B4048" s="2"/>
      <c r="C4048" s="2"/>
    </row>
    <row r="4049" spans="1:3" x14ac:dyDescent="0.3">
      <c r="A4049" s="1"/>
      <c r="B4049" s="2"/>
      <c r="C4049" s="2"/>
    </row>
    <row r="4050" spans="1:3" x14ac:dyDescent="0.3">
      <c r="A4050" s="1"/>
      <c r="B4050" s="2"/>
      <c r="C4050" s="2"/>
    </row>
    <row r="4051" spans="1:3" x14ac:dyDescent="0.3">
      <c r="A4051" s="1"/>
      <c r="B4051" s="2"/>
      <c r="C4051" s="2"/>
    </row>
    <row r="4052" spans="1:3" x14ac:dyDescent="0.3">
      <c r="A4052" s="1"/>
      <c r="B4052" s="2"/>
      <c r="C4052" s="2"/>
    </row>
    <row r="4053" spans="1:3" x14ac:dyDescent="0.3">
      <c r="A4053" s="1"/>
      <c r="B4053" s="2"/>
      <c r="C4053" s="2"/>
    </row>
    <row r="4054" spans="1:3" x14ac:dyDescent="0.3">
      <c r="A4054" s="1"/>
      <c r="B4054" s="2"/>
      <c r="C4054" s="2"/>
    </row>
    <row r="4055" spans="1:3" x14ac:dyDescent="0.3">
      <c r="A4055" s="1"/>
      <c r="B4055" s="2"/>
      <c r="C4055" s="2"/>
    </row>
    <row r="4056" spans="1:3" x14ac:dyDescent="0.3">
      <c r="A4056" s="1"/>
      <c r="B4056" s="2"/>
      <c r="C4056" s="2"/>
    </row>
    <row r="4057" spans="1:3" x14ac:dyDescent="0.3">
      <c r="A4057" s="1"/>
      <c r="B4057" s="2"/>
      <c r="C4057" s="2"/>
    </row>
    <row r="4058" spans="1:3" x14ac:dyDescent="0.3">
      <c r="A4058" s="1"/>
      <c r="B4058" s="2"/>
      <c r="C4058" s="2"/>
    </row>
    <row r="4059" spans="1:3" x14ac:dyDescent="0.3">
      <c r="A4059" s="1"/>
      <c r="B4059" s="2"/>
      <c r="C4059" s="2"/>
    </row>
    <row r="4060" spans="1:3" x14ac:dyDescent="0.3">
      <c r="A4060" s="1"/>
      <c r="B4060" s="2"/>
      <c r="C4060" s="2"/>
    </row>
    <row r="4061" spans="1:3" x14ac:dyDescent="0.3">
      <c r="A4061" s="1"/>
      <c r="B4061" s="2"/>
      <c r="C4061" s="2"/>
    </row>
    <row r="4062" spans="1:3" x14ac:dyDescent="0.3">
      <c r="A4062" s="1"/>
      <c r="B4062" s="2"/>
      <c r="C4062" s="2"/>
    </row>
    <row r="4063" spans="1:3" x14ac:dyDescent="0.3">
      <c r="A4063" s="1"/>
      <c r="B4063" s="2"/>
      <c r="C4063" s="2"/>
    </row>
    <row r="4064" spans="1:3" x14ac:dyDescent="0.3">
      <c r="A4064" s="1"/>
      <c r="B4064" s="2"/>
      <c r="C4064" s="2"/>
    </row>
    <row r="4065" spans="1:3" x14ac:dyDescent="0.3">
      <c r="A4065" s="1"/>
      <c r="B4065" s="2"/>
      <c r="C4065" s="2"/>
    </row>
    <row r="4066" spans="1:3" x14ac:dyDescent="0.3">
      <c r="A4066" s="1"/>
      <c r="B4066" s="2"/>
      <c r="C4066" s="2"/>
    </row>
    <row r="4067" spans="1:3" x14ac:dyDescent="0.3">
      <c r="A4067" s="1"/>
      <c r="B4067" s="2"/>
      <c r="C4067" s="2"/>
    </row>
    <row r="4068" spans="1:3" x14ac:dyDescent="0.3">
      <c r="A4068" s="1"/>
      <c r="B4068" s="2"/>
      <c r="C4068" s="2"/>
    </row>
    <row r="4069" spans="1:3" x14ac:dyDescent="0.3">
      <c r="A4069" s="1"/>
      <c r="B4069" s="2"/>
      <c r="C4069" s="2"/>
    </row>
    <row r="4070" spans="1:3" x14ac:dyDescent="0.3">
      <c r="A4070" s="1"/>
      <c r="B4070" s="2"/>
      <c r="C4070" s="2"/>
    </row>
    <row r="4071" spans="1:3" x14ac:dyDescent="0.3">
      <c r="A4071" s="1"/>
      <c r="B4071" s="2"/>
      <c r="C4071" s="2"/>
    </row>
    <row r="4072" spans="1:3" x14ac:dyDescent="0.3">
      <c r="A4072" s="1"/>
      <c r="B4072" s="2"/>
      <c r="C4072" s="2"/>
    </row>
    <row r="4073" spans="1:3" x14ac:dyDescent="0.3">
      <c r="A4073" s="1"/>
      <c r="B4073" s="2"/>
      <c r="C4073" s="2"/>
    </row>
    <row r="4074" spans="1:3" x14ac:dyDescent="0.3">
      <c r="A4074" s="1"/>
      <c r="B4074" s="2"/>
      <c r="C4074" s="2"/>
    </row>
    <row r="4075" spans="1:3" x14ac:dyDescent="0.3">
      <c r="A4075" s="1"/>
      <c r="B4075" s="2"/>
      <c r="C4075" s="2"/>
    </row>
    <row r="4076" spans="1:3" x14ac:dyDescent="0.3">
      <c r="A4076" s="1"/>
      <c r="B4076" s="2"/>
      <c r="C4076" s="2"/>
    </row>
    <row r="4077" spans="1:3" x14ac:dyDescent="0.3">
      <c r="A4077" s="1"/>
      <c r="B4077" s="2"/>
      <c r="C4077" s="2"/>
    </row>
    <row r="4078" spans="1:3" x14ac:dyDescent="0.3">
      <c r="A4078" s="1"/>
      <c r="B4078" s="2"/>
      <c r="C4078" s="2"/>
    </row>
    <row r="4079" spans="1:3" x14ac:dyDescent="0.3">
      <c r="A4079" s="1"/>
      <c r="B4079" s="2"/>
      <c r="C4079" s="2"/>
    </row>
    <row r="4080" spans="1:3" x14ac:dyDescent="0.3">
      <c r="A4080" s="1"/>
      <c r="B4080" s="2"/>
      <c r="C4080" s="2"/>
    </row>
    <row r="4081" spans="1:3" x14ac:dyDescent="0.3">
      <c r="A4081" s="1"/>
      <c r="B4081" s="2"/>
      <c r="C4081" s="2"/>
    </row>
    <row r="4082" spans="1:3" x14ac:dyDescent="0.3">
      <c r="A4082" s="1"/>
      <c r="B4082" s="2"/>
      <c r="C4082" s="2"/>
    </row>
    <row r="4083" spans="1:3" x14ac:dyDescent="0.3">
      <c r="A4083" s="1"/>
      <c r="B4083" s="2"/>
      <c r="C4083" s="2"/>
    </row>
    <row r="4084" spans="1:3" x14ac:dyDescent="0.3">
      <c r="A4084" s="1"/>
      <c r="B4084" s="2"/>
      <c r="C4084" s="2"/>
    </row>
    <row r="4085" spans="1:3" x14ac:dyDescent="0.3">
      <c r="A4085" s="1"/>
      <c r="B4085" s="2"/>
      <c r="C4085" s="2"/>
    </row>
    <row r="4086" spans="1:3" x14ac:dyDescent="0.3">
      <c r="A4086" s="1"/>
      <c r="B4086" s="2"/>
      <c r="C4086" s="2"/>
    </row>
    <row r="4087" spans="1:3" x14ac:dyDescent="0.3">
      <c r="A4087" s="1"/>
      <c r="B4087" s="2"/>
      <c r="C4087" s="2"/>
    </row>
    <row r="4088" spans="1:3" x14ac:dyDescent="0.3">
      <c r="A4088" s="1"/>
      <c r="B4088" s="2"/>
      <c r="C4088" s="2"/>
    </row>
    <row r="4089" spans="1:3" x14ac:dyDescent="0.3">
      <c r="A4089" s="1"/>
      <c r="B4089" s="2"/>
      <c r="C4089" s="2"/>
    </row>
    <row r="4090" spans="1:3" x14ac:dyDescent="0.3">
      <c r="A4090" s="1"/>
      <c r="B4090" s="2"/>
      <c r="C4090" s="2"/>
    </row>
    <row r="4091" spans="1:3" x14ac:dyDescent="0.3">
      <c r="A4091" s="1"/>
      <c r="B4091" s="2"/>
      <c r="C4091" s="2"/>
    </row>
    <row r="4092" spans="1:3" x14ac:dyDescent="0.3">
      <c r="A4092" s="1"/>
      <c r="B4092" s="2"/>
      <c r="C4092" s="2"/>
    </row>
    <row r="4093" spans="1:3" x14ac:dyDescent="0.3">
      <c r="A4093" s="1"/>
      <c r="B4093" s="2"/>
      <c r="C4093" s="2"/>
    </row>
    <row r="4094" spans="1:3" x14ac:dyDescent="0.3">
      <c r="A4094" s="1"/>
      <c r="B4094" s="2"/>
      <c r="C4094" s="2"/>
    </row>
    <row r="4095" spans="1:3" x14ac:dyDescent="0.3">
      <c r="A4095" s="1"/>
      <c r="B4095" s="2"/>
      <c r="C4095" s="2"/>
    </row>
    <row r="4096" spans="1:3" x14ac:dyDescent="0.3">
      <c r="A4096" s="1"/>
      <c r="B4096" s="2"/>
      <c r="C4096" s="2"/>
    </row>
    <row r="4097" spans="1:3" x14ac:dyDescent="0.3">
      <c r="A4097" s="1"/>
      <c r="B4097" s="2"/>
      <c r="C4097" s="2"/>
    </row>
    <row r="4098" spans="1:3" x14ac:dyDescent="0.3">
      <c r="A4098" s="1"/>
      <c r="B4098" s="2"/>
      <c r="C4098" s="2"/>
    </row>
    <row r="4099" spans="1:3" x14ac:dyDescent="0.3">
      <c r="A4099" s="1"/>
      <c r="B4099" s="2"/>
      <c r="C4099" s="2"/>
    </row>
    <row r="4100" spans="1:3" x14ac:dyDescent="0.3">
      <c r="A4100" s="1"/>
      <c r="B4100" s="2"/>
      <c r="C4100" s="2"/>
    </row>
    <row r="4101" spans="1:3" x14ac:dyDescent="0.3">
      <c r="A4101" s="1"/>
      <c r="B4101" s="2"/>
      <c r="C4101" s="2"/>
    </row>
    <row r="4102" spans="1:3" x14ac:dyDescent="0.3">
      <c r="A4102" s="1"/>
      <c r="B4102" s="2"/>
      <c r="C4102" s="2"/>
    </row>
    <row r="4103" spans="1:3" x14ac:dyDescent="0.3">
      <c r="A4103" s="1"/>
      <c r="B4103" s="2"/>
      <c r="C4103" s="2"/>
    </row>
    <row r="4104" spans="1:3" x14ac:dyDescent="0.3">
      <c r="A4104" s="1"/>
      <c r="B4104" s="2"/>
      <c r="C4104" s="2"/>
    </row>
    <row r="4105" spans="1:3" x14ac:dyDescent="0.3">
      <c r="A4105" s="1"/>
      <c r="B4105" s="2"/>
      <c r="C4105" s="2"/>
    </row>
    <row r="4106" spans="1:3" x14ac:dyDescent="0.3">
      <c r="A4106" s="1"/>
      <c r="B4106" s="2"/>
      <c r="C4106" s="2"/>
    </row>
    <row r="4107" spans="1:3" x14ac:dyDescent="0.3">
      <c r="A4107" s="1"/>
      <c r="B4107" s="2"/>
      <c r="C4107" s="2"/>
    </row>
    <row r="4108" spans="1:3" x14ac:dyDescent="0.3">
      <c r="A4108" s="1"/>
      <c r="B4108" s="2"/>
      <c r="C4108" s="2"/>
    </row>
    <row r="4109" spans="1:3" x14ac:dyDescent="0.3">
      <c r="A4109" s="1"/>
      <c r="B4109" s="2"/>
      <c r="C4109" s="2"/>
    </row>
    <row r="4110" spans="1:3" x14ac:dyDescent="0.3">
      <c r="A4110" s="1"/>
      <c r="B4110" s="2"/>
      <c r="C4110" s="2"/>
    </row>
    <row r="4111" spans="1:3" x14ac:dyDescent="0.3">
      <c r="A4111" s="1"/>
      <c r="B4111" s="2"/>
      <c r="C4111" s="2"/>
    </row>
    <row r="4112" spans="1:3" x14ac:dyDescent="0.3">
      <c r="A4112" s="1"/>
      <c r="B4112" s="2"/>
      <c r="C4112" s="2"/>
    </row>
    <row r="4113" spans="1:3" x14ac:dyDescent="0.3">
      <c r="A4113" s="1"/>
      <c r="B4113" s="2"/>
      <c r="C4113" s="2"/>
    </row>
    <row r="4114" spans="1:3" x14ac:dyDescent="0.3">
      <c r="A4114" s="1"/>
      <c r="B4114" s="2"/>
      <c r="C4114" s="2"/>
    </row>
    <row r="4115" spans="1:3" x14ac:dyDescent="0.3">
      <c r="A4115" s="1"/>
      <c r="B4115" s="2"/>
      <c r="C4115" s="2"/>
    </row>
    <row r="4116" spans="1:3" x14ac:dyDescent="0.3">
      <c r="A4116" s="1"/>
      <c r="B4116" s="2"/>
      <c r="C4116" s="2"/>
    </row>
    <row r="4117" spans="1:3" x14ac:dyDescent="0.3">
      <c r="A4117" s="1"/>
      <c r="B4117" s="2"/>
      <c r="C4117" s="2"/>
    </row>
    <row r="4118" spans="1:3" x14ac:dyDescent="0.3">
      <c r="A4118" s="1"/>
      <c r="B4118" s="2"/>
      <c r="C4118" s="2"/>
    </row>
    <row r="4119" spans="1:3" x14ac:dyDescent="0.3">
      <c r="A4119" s="1"/>
      <c r="B4119" s="2"/>
      <c r="C4119" s="2"/>
    </row>
    <row r="4120" spans="1:3" x14ac:dyDescent="0.3">
      <c r="A4120" s="1"/>
      <c r="B4120" s="2"/>
      <c r="C4120" s="2"/>
    </row>
    <row r="4121" spans="1:3" x14ac:dyDescent="0.3">
      <c r="A4121" s="1"/>
      <c r="B4121" s="2"/>
      <c r="C4121" s="2"/>
    </row>
    <row r="4122" spans="1:3" x14ac:dyDescent="0.3">
      <c r="A4122" s="1"/>
      <c r="B4122" s="2"/>
      <c r="C4122" s="2"/>
    </row>
    <row r="4123" spans="1:3" x14ac:dyDescent="0.3">
      <c r="A4123" s="1"/>
      <c r="B4123" s="2"/>
      <c r="C4123" s="2"/>
    </row>
    <row r="4124" spans="1:3" x14ac:dyDescent="0.3">
      <c r="A4124" s="1"/>
      <c r="B4124" s="2"/>
      <c r="C4124" s="2"/>
    </row>
    <row r="4125" spans="1:3" x14ac:dyDescent="0.3">
      <c r="A4125" s="1"/>
      <c r="B4125" s="2"/>
      <c r="C4125" s="2"/>
    </row>
    <row r="4126" spans="1:3" x14ac:dyDescent="0.3">
      <c r="A4126" s="1"/>
      <c r="B4126" s="2"/>
      <c r="C4126" s="2"/>
    </row>
    <row r="4127" spans="1:3" x14ac:dyDescent="0.3">
      <c r="A4127" s="1"/>
      <c r="B4127" s="2"/>
      <c r="C4127" s="2"/>
    </row>
    <row r="4128" spans="1:3" x14ac:dyDescent="0.3">
      <c r="A4128" s="1"/>
      <c r="B4128" s="2"/>
      <c r="C4128" s="2"/>
    </row>
    <row r="4129" spans="1:3" x14ac:dyDescent="0.3">
      <c r="A4129" s="1"/>
      <c r="B4129" s="2"/>
      <c r="C4129" s="2"/>
    </row>
    <row r="4130" spans="1:3" x14ac:dyDescent="0.3">
      <c r="A4130" s="1"/>
      <c r="B4130" s="2"/>
      <c r="C4130" s="2"/>
    </row>
    <row r="4131" spans="1:3" x14ac:dyDescent="0.3">
      <c r="A4131" s="1"/>
      <c r="B4131" s="2"/>
      <c r="C4131" s="2"/>
    </row>
    <row r="4132" spans="1:3" x14ac:dyDescent="0.3">
      <c r="A4132" s="1"/>
      <c r="B4132" s="2"/>
      <c r="C4132" s="2"/>
    </row>
    <row r="4133" spans="1:3" x14ac:dyDescent="0.3">
      <c r="A4133" s="1"/>
      <c r="B4133" s="2"/>
      <c r="C4133" s="2"/>
    </row>
    <row r="4134" spans="1:3" x14ac:dyDescent="0.3">
      <c r="A4134" s="1"/>
      <c r="B4134" s="2"/>
      <c r="C4134" s="2"/>
    </row>
    <row r="4135" spans="1:3" x14ac:dyDescent="0.3">
      <c r="A4135" s="1"/>
      <c r="B4135" s="2"/>
      <c r="C4135" s="2"/>
    </row>
    <row r="4136" spans="1:3" x14ac:dyDescent="0.3">
      <c r="A4136" s="1"/>
      <c r="B4136" s="2"/>
      <c r="C4136" s="2"/>
    </row>
    <row r="4137" spans="1:3" x14ac:dyDescent="0.3">
      <c r="A4137" s="1"/>
      <c r="B4137" s="2"/>
      <c r="C4137" s="2"/>
    </row>
    <row r="4138" spans="1:3" x14ac:dyDescent="0.3">
      <c r="A4138" s="1"/>
      <c r="B4138" s="2"/>
      <c r="C4138" s="2"/>
    </row>
    <row r="4139" spans="1:3" x14ac:dyDescent="0.3">
      <c r="A4139" s="1"/>
      <c r="B4139" s="2"/>
      <c r="C4139" s="2"/>
    </row>
    <row r="4140" spans="1:3" x14ac:dyDescent="0.3">
      <c r="A4140" s="1"/>
      <c r="B4140" s="2"/>
      <c r="C4140" s="2"/>
    </row>
    <row r="4141" spans="1:3" x14ac:dyDescent="0.3">
      <c r="A4141" s="1"/>
      <c r="B4141" s="2"/>
      <c r="C4141" s="2"/>
    </row>
    <row r="4142" spans="1:3" x14ac:dyDescent="0.3">
      <c r="A4142" s="1"/>
      <c r="B4142" s="2"/>
      <c r="C4142" s="2"/>
    </row>
    <row r="4143" spans="1:3" x14ac:dyDescent="0.3">
      <c r="A4143" s="1"/>
      <c r="B4143" s="2"/>
      <c r="C4143" s="2"/>
    </row>
    <row r="4144" spans="1:3" x14ac:dyDescent="0.3">
      <c r="A4144" s="1"/>
      <c r="B4144" s="2"/>
      <c r="C4144" s="2"/>
    </row>
    <row r="4145" spans="1:3" x14ac:dyDescent="0.3">
      <c r="A4145" s="1"/>
      <c r="B4145" s="2"/>
      <c r="C4145" s="2"/>
    </row>
    <row r="4146" spans="1:3" x14ac:dyDescent="0.3">
      <c r="A4146" s="1"/>
      <c r="B4146" s="2"/>
      <c r="C4146" s="2"/>
    </row>
    <row r="4147" spans="1:3" x14ac:dyDescent="0.3">
      <c r="A4147" s="1"/>
      <c r="B4147" s="2"/>
      <c r="C4147" s="2"/>
    </row>
    <row r="4148" spans="1:3" x14ac:dyDescent="0.3">
      <c r="A4148" s="1"/>
      <c r="B4148" s="2"/>
      <c r="C4148" s="2"/>
    </row>
    <row r="4149" spans="1:3" x14ac:dyDescent="0.3">
      <c r="A4149" s="1"/>
      <c r="B4149" s="2"/>
      <c r="C4149" s="2"/>
    </row>
    <row r="4150" spans="1:3" x14ac:dyDescent="0.3">
      <c r="A4150" s="1"/>
      <c r="B4150" s="2"/>
      <c r="C4150" s="2"/>
    </row>
    <row r="4151" spans="1:3" x14ac:dyDescent="0.3">
      <c r="A4151" s="1"/>
      <c r="B4151" s="2"/>
      <c r="C4151" s="2"/>
    </row>
    <row r="4152" spans="1:3" x14ac:dyDescent="0.3">
      <c r="A4152" s="1"/>
      <c r="B4152" s="2"/>
      <c r="C4152" s="2"/>
    </row>
    <row r="4153" spans="1:3" x14ac:dyDescent="0.3">
      <c r="A4153" s="1"/>
      <c r="B4153" s="2"/>
      <c r="C4153" s="2"/>
    </row>
    <row r="4154" spans="1:3" x14ac:dyDescent="0.3">
      <c r="A4154" s="1"/>
      <c r="B4154" s="2"/>
      <c r="C4154" s="2"/>
    </row>
    <row r="4155" spans="1:3" x14ac:dyDescent="0.3">
      <c r="A4155" s="1"/>
      <c r="B4155" s="2"/>
      <c r="C4155" s="2"/>
    </row>
    <row r="4156" spans="1:3" x14ac:dyDescent="0.3">
      <c r="A4156" s="1"/>
      <c r="B4156" s="2"/>
      <c r="C4156" s="2"/>
    </row>
    <row r="4157" spans="1:3" x14ac:dyDescent="0.3">
      <c r="A4157" s="1"/>
      <c r="B4157" s="2"/>
      <c r="C4157" s="2"/>
    </row>
    <row r="4158" spans="1:3" x14ac:dyDescent="0.3">
      <c r="A4158" s="1"/>
      <c r="B4158" s="2"/>
      <c r="C4158" s="2"/>
    </row>
    <row r="4159" spans="1:3" x14ac:dyDescent="0.3">
      <c r="A4159" s="1"/>
      <c r="B4159" s="2"/>
      <c r="C4159" s="2"/>
    </row>
    <row r="4160" spans="1:3" x14ac:dyDescent="0.3">
      <c r="A4160" s="1"/>
      <c r="B4160" s="2"/>
      <c r="C4160" s="2"/>
    </row>
    <row r="4161" spans="1:3" x14ac:dyDescent="0.3">
      <c r="A4161" s="1"/>
      <c r="B4161" s="2"/>
      <c r="C4161" s="2"/>
    </row>
    <row r="4162" spans="1:3" x14ac:dyDescent="0.3">
      <c r="A4162" s="1"/>
      <c r="B4162" s="2"/>
      <c r="C4162" s="2"/>
    </row>
    <row r="4163" spans="1:3" x14ac:dyDescent="0.3">
      <c r="A4163" s="1"/>
      <c r="B4163" s="2"/>
      <c r="C4163" s="2"/>
    </row>
    <row r="4164" spans="1:3" x14ac:dyDescent="0.3">
      <c r="A4164" s="1"/>
      <c r="B4164" s="2"/>
      <c r="C4164" s="2"/>
    </row>
    <row r="4165" spans="1:3" x14ac:dyDescent="0.3">
      <c r="A4165" s="1"/>
      <c r="B4165" s="2"/>
      <c r="C4165" s="2"/>
    </row>
    <row r="4166" spans="1:3" x14ac:dyDescent="0.3">
      <c r="A4166" s="1"/>
      <c r="B4166" s="2"/>
      <c r="C4166" s="2"/>
    </row>
    <row r="4167" spans="1:3" x14ac:dyDescent="0.3">
      <c r="A4167" s="1"/>
      <c r="B4167" s="2"/>
      <c r="C4167" s="2"/>
    </row>
    <row r="4168" spans="1:3" x14ac:dyDescent="0.3">
      <c r="A4168" s="1"/>
      <c r="B4168" s="2"/>
      <c r="C4168" s="2"/>
    </row>
    <row r="4169" spans="1:3" x14ac:dyDescent="0.3">
      <c r="A4169" s="1"/>
      <c r="B4169" s="2"/>
      <c r="C4169" s="2"/>
    </row>
    <row r="4170" spans="1:3" x14ac:dyDescent="0.3">
      <c r="A4170" s="1"/>
      <c r="B4170" s="2"/>
      <c r="C4170" s="2"/>
    </row>
    <row r="4171" spans="1:3" x14ac:dyDescent="0.3">
      <c r="A4171" s="1"/>
      <c r="B4171" s="2"/>
      <c r="C4171" s="2"/>
    </row>
    <row r="4172" spans="1:3" x14ac:dyDescent="0.3">
      <c r="A4172" s="1"/>
      <c r="B4172" s="2"/>
      <c r="C4172" s="2"/>
    </row>
    <row r="4173" spans="1:3" x14ac:dyDescent="0.3">
      <c r="A4173" s="1"/>
      <c r="B4173" s="2"/>
      <c r="C4173" s="2"/>
    </row>
    <row r="4174" spans="1:3" x14ac:dyDescent="0.3">
      <c r="A4174" s="1"/>
      <c r="B4174" s="2"/>
      <c r="C4174" s="2"/>
    </row>
    <row r="4175" spans="1:3" x14ac:dyDescent="0.3">
      <c r="A4175" s="1"/>
      <c r="B4175" s="2"/>
      <c r="C4175" s="2"/>
    </row>
    <row r="4176" spans="1:3" x14ac:dyDescent="0.3">
      <c r="A4176" s="1"/>
      <c r="B4176" s="2"/>
      <c r="C4176" s="2"/>
    </row>
    <row r="4177" spans="1:3" x14ac:dyDescent="0.3">
      <c r="A4177" s="1"/>
      <c r="B4177" s="2"/>
      <c r="C4177" s="2"/>
    </row>
    <row r="4178" spans="1:3" x14ac:dyDescent="0.3">
      <c r="A4178" s="1"/>
      <c r="B4178" s="2"/>
      <c r="C4178" s="2"/>
    </row>
    <row r="4179" spans="1:3" x14ac:dyDescent="0.3">
      <c r="A4179" s="1"/>
      <c r="B4179" s="2"/>
      <c r="C4179" s="2"/>
    </row>
    <row r="4180" spans="1:3" x14ac:dyDescent="0.3">
      <c r="A4180" s="1"/>
      <c r="B4180" s="2"/>
      <c r="C4180" s="2"/>
    </row>
    <row r="4181" spans="1:3" x14ac:dyDescent="0.3">
      <c r="A4181" s="1"/>
      <c r="B4181" s="2"/>
      <c r="C4181" s="2"/>
    </row>
    <row r="4182" spans="1:3" x14ac:dyDescent="0.3">
      <c r="A4182" s="1"/>
      <c r="B4182" s="2"/>
      <c r="C4182" s="2"/>
    </row>
    <row r="4183" spans="1:3" x14ac:dyDescent="0.3">
      <c r="A4183" s="1"/>
      <c r="B4183" s="2"/>
      <c r="C4183" s="2"/>
    </row>
    <row r="4184" spans="1:3" x14ac:dyDescent="0.3">
      <c r="A4184" s="1"/>
      <c r="B4184" s="2"/>
      <c r="C4184" s="2"/>
    </row>
    <row r="4185" spans="1:3" x14ac:dyDescent="0.3">
      <c r="A4185" s="1"/>
      <c r="B4185" s="2"/>
      <c r="C4185" s="2"/>
    </row>
    <row r="4186" spans="1:3" x14ac:dyDescent="0.3">
      <c r="A4186" s="1"/>
      <c r="B4186" s="2"/>
      <c r="C4186" s="2"/>
    </row>
    <row r="4187" spans="1:3" x14ac:dyDescent="0.3">
      <c r="A4187" s="1"/>
      <c r="B4187" s="2"/>
      <c r="C4187" s="2"/>
    </row>
    <row r="4188" spans="1:3" x14ac:dyDescent="0.3">
      <c r="A4188" s="1"/>
      <c r="B4188" s="2"/>
      <c r="C4188" s="2"/>
    </row>
    <row r="4189" spans="1:3" x14ac:dyDescent="0.3">
      <c r="A4189" s="1"/>
      <c r="B4189" s="2"/>
      <c r="C4189" s="2"/>
    </row>
    <row r="4190" spans="1:3" x14ac:dyDescent="0.3">
      <c r="A4190" s="1"/>
      <c r="B4190" s="2"/>
      <c r="C4190" s="2"/>
    </row>
    <row r="4191" spans="1:3" x14ac:dyDescent="0.3">
      <c r="A4191" s="1"/>
      <c r="B4191" s="2"/>
      <c r="C4191" s="2"/>
    </row>
    <row r="4192" spans="1:3" x14ac:dyDescent="0.3">
      <c r="A4192" s="1"/>
      <c r="B4192" s="2"/>
      <c r="C4192" s="2"/>
    </row>
    <row r="4193" spans="1:3" x14ac:dyDescent="0.3">
      <c r="A4193" s="1"/>
      <c r="B4193" s="2"/>
      <c r="C4193" s="2"/>
    </row>
    <row r="4194" spans="1:3" x14ac:dyDescent="0.3">
      <c r="A4194" s="1"/>
      <c r="B4194" s="2"/>
      <c r="C4194" s="2"/>
    </row>
    <row r="4195" spans="1:3" x14ac:dyDescent="0.3">
      <c r="A4195" s="1"/>
      <c r="B4195" s="2"/>
      <c r="C4195" s="2"/>
    </row>
    <row r="4196" spans="1:3" x14ac:dyDescent="0.3">
      <c r="A4196" s="1"/>
      <c r="B4196" s="2"/>
      <c r="C4196" s="2"/>
    </row>
    <row r="4197" spans="1:3" x14ac:dyDescent="0.3">
      <c r="A4197" s="1"/>
      <c r="B4197" s="2"/>
      <c r="C4197" s="2"/>
    </row>
    <row r="4198" spans="1:3" x14ac:dyDescent="0.3">
      <c r="A4198" s="1"/>
      <c r="B4198" s="2"/>
      <c r="C4198" s="2"/>
    </row>
    <row r="4199" spans="1:3" x14ac:dyDescent="0.3">
      <c r="A4199" s="1"/>
      <c r="B4199" s="2"/>
      <c r="C4199" s="2"/>
    </row>
    <row r="4200" spans="1:3" x14ac:dyDescent="0.3">
      <c r="A4200" s="1"/>
      <c r="B4200" s="2"/>
      <c r="C4200" s="2"/>
    </row>
    <row r="4201" spans="1:3" x14ac:dyDescent="0.3">
      <c r="A4201" s="1"/>
      <c r="B4201" s="2"/>
      <c r="C4201" s="2"/>
    </row>
    <row r="4202" spans="1:3" x14ac:dyDescent="0.3">
      <c r="A4202" s="1"/>
      <c r="B4202" s="2"/>
      <c r="C4202" s="2"/>
    </row>
    <row r="4203" spans="1:3" x14ac:dyDescent="0.3">
      <c r="A4203" s="1"/>
      <c r="B4203" s="2"/>
      <c r="C4203" s="2"/>
    </row>
    <row r="4204" spans="1:3" x14ac:dyDescent="0.3">
      <c r="A4204" s="1"/>
      <c r="B4204" s="2"/>
      <c r="C4204" s="2"/>
    </row>
    <row r="4205" spans="1:3" x14ac:dyDescent="0.3">
      <c r="A4205" s="1"/>
      <c r="B4205" s="2"/>
      <c r="C4205" s="2"/>
    </row>
    <row r="4206" spans="1:3" x14ac:dyDescent="0.3">
      <c r="A4206" s="1"/>
      <c r="B4206" s="2"/>
      <c r="C4206" s="2"/>
    </row>
    <row r="4207" spans="1:3" x14ac:dyDescent="0.3">
      <c r="A4207" s="1"/>
      <c r="B4207" s="2"/>
      <c r="C4207" s="2"/>
    </row>
    <row r="4208" spans="1:3" x14ac:dyDescent="0.3">
      <c r="A4208" s="1"/>
      <c r="B4208" s="2"/>
      <c r="C4208" s="2"/>
    </row>
    <row r="4209" spans="1:3" x14ac:dyDescent="0.3">
      <c r="A4209" s="1"/>
      <c r="B4209" s="2"/>
      <c r="C4209" s="2"/>
    </row>
    <row r="4210" spans="1:3" x14ac:dyDescent="0.3">
      <c r="A4210" s="1"/>
      <c r="B4210" s="2"/>
      <c r="C4210" s="2"/>
    </row>
    <row r="4211" spans="1:3" x14ac:dyDescent="0.3">
      <c r="A4211" s="1"/>
      <c r="B4211" s="2"/>
      <c r="C4211" s="2"/>
    </row>
    <row r="4212" spans="1:3" x14ac:dyDescent="0.3">
      <c r="A4212" s="1"/>
      <c r="B4212" s="2"/>
      <c r="C4212" s="2"/>
    </row>
    <row r="4213" spans="1:3" x14ac:dyDescent="0.3">
      <c r="A4213" s="1"/>
      <c r="B4213" s="2"/>
      <c r="C4213" s="2"/>
    </row>
    <row r="4214" spans="1:3" x14ac:dyDescent="0.3">
      <c r="A4214" s="1"/>
      <c r="B4214" s="2"/>
      <c r="C4214" s="2"/>
    </row>
    <row r="4215" spans="1:3" x14ac:dyDescent="0.3">
      <c r="A4215" s="1"/>
      <c r="B4215" s="2"/>
      <c r="C4215" s="2"/>
    </row>
    <row r="4216" spans="1:3" x14ac:dyDescent="0.3">
      <c r="A4216" s="1"/>
      <c r="B4216" s="2"/>
      <c r="C4216" s="2"/>
    </row>
    <row r="4217" spans="1:3" x14ac:dyDescent="0.3">
      <c r="A4217" s="1"/>
      <c r="B4217" s="2"/>
      <c r="C4217" s="2"/>
    </row>
    <row r="4218" spans="1:3" x14ac:dyDescent="0.3">
      <c r="A4218" s="1"/>
      <c r="B4218" s="2"/>
      <c r="C4218" s="2"/>
    </row>
    <row r="4219" spans="1:3" x14ac:dyDescent="0.3">
      <c r="A4219" s="1"/>
      <c r="B4219" s="2"/>
      <c r="C4219" s="2"/>
    </row>
    <row r="4220" spans="1:3" x14ac:dyDescent="0.3">
      <c r="A4220" s="1"/>
      <c r="B4220" s="2"/>
      <c r="C4220" s="2"/>
    </row>
    <row r="4221" spans="1:3" x14ac:dyDescent="0.3">
      <c r="A4221" s="1"/>
      <c r="B4221" s="2"/>
      <c r="C4221" s="2"/>
    </row>
    <row r="4222" spans="1:3" x14ac:dyDescent="0.3">
      <c r="A4222" s="1"/>
      <c r="B4222" s="2"/>
      <c r="C4222" s="2"/>
    </row>
    <row r="4223" spans="1:3" x14ac:dyDescent="0.3">
      <c r="A4223" s="1"/>
      <c r="B4223" s="2"/>
      <c r="C4223" s="2"/>
    </row>
    <row r="4224" spans="1:3" x14ac:dyDescent="0.3">
      <c r="A4224" s="1"/>
      <c r="B4224" s="2"/>
      <c r="C4224" s="2"/>
    </row>
    <row r="4225" spans="1:3" x14ac:dyDescent="0.3">
      <c r="A4225" s="1"/>
      <c r="B4225" s="2"/>
      <c r="C4225" s="2"/>
    </row>
    <row r="4226" spans="1:3" x14ac:dyDescent="0.3">
      <c r="A4226" s="1"/>
      <c r="B4226" s="2"/>
      <c r="C4226" s="2"/>
    </row>
    <row r="4227" spans="1:3" x14ac:dyDescent="0.3">
      <c r="A4227" s="1"/>
      <c r="B4227" s="2"/>
      <c r="C4227" s="2"/>
    </row>
    <row r="4228" spans="1:3" x14ac:dyDescent="0.3">
      <c r="A4228" s="1"/>
      <c r="B4228" s="2"/>
      <c r="C4228" s="2"/>
    </row>
    <row r="4229" spans="1:3" x14ac:dyDescent="0.3">
      <c r="A4229" s="1"/>
      <c r="B4229" s="2"/>
      <c r="C4229" s="2"/>
    </row>
    <row r="4230" spans="1:3" x14ac:dyDescent="0.3">
      <c r="A4230" s="1"/>
      <c r="B4230" s="2"/>
      <c r="C4230" s="2"/>
    </row>
    <row r="4231" spans="1:3" x14ac:dyDescent="0.3">
      <c r="A4231" s="1"/>
      <c r="B4231" s="2"/>
      <c r="C4231" s="2"/>
    </row>
    <row r="4232" spans="1:3" x14ac:dyDescent="0.3">
      <c r="A4232" s="1"/>
      <c r="B4232" s="2"/>
      <c r="C4232" s="2"/>
    </row>
    <row r="4233" spans="1:3" x14ac:dyDescent="0.3">
      <c r="A4233" s="1"/>
      <c r="B4233" s="2"/>
      <c r="C4233" s="2"/>
    </row>
    <row r="4234" spans="1:3" x14ac:dyDescent="0.3">
      <c r="A4234" s="1"/>
      <c r="B4234" s="2"/>
      <c r="C4234" s="2"/>
    </row>
    <row r="4235" spans="1:3" x14ac:dyDescent="0.3">
      <c r="A4235" s="1"/>
      <c r="B4235" s="2"/>
      <c r="C4235" s="2"/>
    </row>
    <row r="4236" spans="1:3" x14ac:dyDescent="0.3">
      <c r="A4236" s="1"/>
      <c r="B4236" s="2"/>
      <c r="C4236" s="2"/>
    </row>
    <row r="4237" spans="1:3" x14ac:dyDescent="0.3">
      <c r="A4237" s="1"/>
      <c r="B4237" s="2"/>
      <c r="C4237" s="2"/>
    </row>
    <row r="4238" spans="1:3" x14ac:dyDescent="0.3">
      <c r="A4238" s="1"/>
      <c r="B4238" s="2"/>
      <c r="C4238" s="2"/>
    </row>
    <row r="4239" spans="1:3" x14ac:dyDescent="0.3">
      <c r="A4239" s="1"/>
      <c r="B4239" s="2"/>
      <c r="C4239" s="2"/>
    </row>
    <row r="4240" spans="1:3" x14ac:dyDescent="0.3">
      <c r="A4240" s="1"/>
      <c r="B4240" s="2"/>
      <c r="C4240" s="2"/>
    </row>
    <row r="4241" spans="1:3" x14ac:dyDescent="0.3">
      <c r="A4241" s="1"/>
      <c r="B4241" s="2"/>
      <c r="C4241" s="2"/>
    </row>
    <row r="4242" spans="1:3" x14ac:dyDescent="0.3">
      <c r="A4242" s="1"/>
      <c r="B4242" s="2"/>
      <c r="C4242" s="2"/>
    </row>
    <row r="4243" spans="1:3" x14ac:dyDescent="0.3">
      <c r="A4243" s="1"/>
      <c r="B4243" s="2"/>
      <c r="C4243" s="2"/>
    </row>
    <row r="4244" spans="1:3" x14ac:dyDescent="0.3">
      <c r="A4244" s="1"/>
      <c r="B4244" s="2"/>
      <c r="C4244" s="2"/>
    </row>
    <row r="4245" spans="1:3" x14ac:dyDescent="0.3">
      <c r="A4245" s="1"/>
      <c r="B4245" s="2"/>
      <c r="C4245" s="2"/>
    </row>
    <row r="4246" spans="1:3" x14ac:dyDescent="0.3">
      <c r="A4246" s="1"/>
      <c r="B4246" s="2"/>
      <c r="C4246" s="2"/>
    </row>
    <row r="4247" spans="1:3" x14ac:dyDescent="0.3">
      <c r="A4247" s="1"/>
      <c r="B4247" s="2"/>
      <c r="C4247" s="2"/>
    </row>
    <row r="4248" spans="1:3" x14ac:dyDescent="0.3">
      <c r="A4248" s="1"/>
      <c r="B4248" s="2"/>
      <c r="C4248" s="2"/>
    </row>
    <row r="4249" spans="1:3" x14ac:dyDescent="0.3">
      <c r="A4249" s="1"/>
      <c r="B4249" s="2"/>
      <c r="C4249" s="2"/>
    </row>
    <row r="4250" spans="1:3" x14ac:dyDescent="0.3">
      <c r="A4250" s="1"/>
      <c r="B4250" s="2"/>
      <c r="C4250" s="2"/>
    </row>
    <row r="4251" spans="1:3" x14ac:dyDescent="0.3">
      <c r="A4251" s="1"/>
      <c r="B4251" s="2"/>
      <c r="C4251" s="2"/>
    </row>
    <row r="4252" spans="1:3" x14ac:dyDescent="0.3">
      <c r="A4252" s="1"/>
      <c r="B4252" s="2"/>
      <c r="C4252" s="2"/>
    </row>
    <row r="4253" spans="1:3" x14ac:dyDescent="0.3">
      <c r="A4253" s="1"/>
      <c r="B4253" s="2"/>
      <c r="C4253" s="2"/>
    </row>
    <row r="4254" spans="1:3" x14ac:dyDescent="0.3">
      <c r="A4254" s="1"/>
      <c r="B4254" s="2"/>
      <c r="C4254" s="2"/>
    </row>
    <row r="4255" spans="1:3" x14ac:dyDescent="0.3">
      <c r="A4255" s="1"/>
      <c r="B4255" s="2"/>
      <c r="C4255" s="2"/>
    </row>
    <row r="4256" spans="1:3" x14ac:dyDescent="0.3">
      <c r="A4256" s="1"/>
      <c r="B4256" s="2"/>
      <c r="C4256" s="2"/>
    </row>
    <row r="4257" spans="1:3" x14ac:dyDescent="0.3">
      <c r="A4257" s="1"/>
      <c r="B4257" s="2"/>
      <c r="C4257" s="2"/>
    </row>
    <row r="4258" spans="1:3" x14ac:dyDescent="0.3">
      <c r="A4258" s="1"/>
      <c r="B4258" s="2"/>
      <c r="C4258" s="2"/>
    </row>
    <row r="4259" spans="1:3" x14ac:dyDescent="0.3">
      <c r="A4259" s="1"/>
      <c r="B4259" s="2"/>
      <c r="C4259" s="2"/>
    </row>
    <row r="4260" spans="1:3" x14ac:dyDescent="0.3">
      <c r="A4260" s="1"/>
      <c r="B4260" s="2"/>
      <c r="C4260" s="2"/>
    </row>
    <row r="4261" spans="1:3" x14ac:dyDescent="0.3">
      <c r="A4261" s="1"/>
      <c r="B4261" s="2"/>
      <c r="C4261" s="2"/>
    </row>
    <row r="4262" spans="1:3" x14ac:dyDescent="0.3">
      <c r="A4262" s="1"/>
      <c r="B4262" s="2"/>
      <c r="C4262" s="2"/>
    </row>
    <row r="4263" spans="1:3" x14ac:dyDescent="0.3">
      <c r="A4263" s="1"/>
      <c r="B4263" s="2"/>
      <c r="C4263" s="2"/>
    </row>
    <row r="4264" spans="1:3" x14ac:dyDescent="0.3">
      <c r="A4264" s="1"/>
      <c r="B4264" s="2"/>
      <c r="C4264" s="2"/>
    </row>
    <row r="4265" spans="1:3" x14ac:dyDescent="0.3">
      <c r="A4265" s="1"/>
      <c r="B4265" s="2"/>
      <c r="C4265" s="2"/>
    </row>
    <row r="4266" spans="1:3" x14ac:dyDescent="0.3">
      <c r="A4266" s="1"/>
      <c r="B4266" s="2"/>
      <c r="C4266" s="2"/>
    </row>
    <row r="4267" spans="1:3" x14ac:dyDescent="0.3">
      <c r="A4267" s="1"/>
      <c r="B4267" s="2"/>
      <c r="C4267" s="2"/>
    </row>
    <row r="4268" spans="1:3" x14ac:dyDescent="0.3">
      <c r="A4268" s="1"/>
      <c r="B4268" s="2"/>
      <c r="C4268" s="2"/>
    </row>
    <row r="4269" spans="1:3" x14ac:dyDescent="0.3">
      <c r="A4269" s="1"/>
      <c r="B4269" s="2"/>
      <c r="C4269" s="2"/>
    </row>
    <row r="4270" spans="1:3" x14ac:dyDescent="0.3">
      <c r="A4270" s="1"/>
      <c r="B4270" s="2"/>
      <c r="C4270" s="2"/>
    </row>
    <row r="4271" spans="1:3" x14ac:dyDescent="0.3">
      <c r="A4271" s="1"/>
      <c r="B4271" s="2"/>
      <c r="C4271" s="2"/>
    </row>
    <row r="4272" spans="1:3" x14ac:dyDescent="0.3">
      <c r="A4272" s="1"/>
      <c r="B4272" s="2"/>
      <c r="C4272" s="2"/>
    </row>
    <row r="4273" spans="1:3" x14ac:dyDescent="0.3">
      <c r="A4273" s="1"/>
      <c r="B4273" s="2"/>
      <c r="C4273" s="2"/>
    </row>
    <row r="4274" spans="1:3" x14ac:dyDescent="0.3">
      <c r="A4274" s="1"/>
      <c r="B4274" s="2"/>
      <c r="C4274" s="2"/>
    </row>
    <row r="4275" spans="1:3" x14ac:dyDescent="0.3">
      <c r="A4275" s="1"/>
      <c r="B4275" s="2"/>
      <c r="C4275" s="2"/>
    </row>
    <row r="4276" spans="1:3" x14ac:dyDescent="0.3">
      <c r="A4276" s="1"/>
      <c r="B4276" s="2"/>
      <c r="C4276" s="2"/>
    </row>
    <row r="4277" spans="1:3" x14ac:dyDescent="0.3">
      <c r="A4277" s="1"/>
      <c r="B4277" s="2"/>
      <c r="C4277" s="2"/>
    </row>
    <row r="4278" spans="1:3" x14ac:dyDescent="0.3">
      <c r="A4278" s="1"/>
      <c r="B4278" s="2"/>
      <c r="C4278" s="2"/>
    </row>
    <row r="4279" spans="1:3" x14ac:dyDescent="0.3">
      <c r="A4279" s="1"/>
      <c r="B4279" s="2"/>
      <c r="C4279" s="2"/>
    </row>
    <row r="4280" spans="1:3" x14ac:dyDescent="0.3">
      <c r="A4280" s="1"/>
      <c r="B4280" s="2"/>
      <c r="C4280" s="2"/>
    </row>
    <row r="4281" spans="1:3" x14ac:dyDescent="0.3">
      <c r="A4281" s="1"/>
      <c r="B4281" s="2"/>
      <c r="C4281" s="2"/>
    </row>
    <row r="4282" spans="1:3" x14ac:dyDescent="0.3">
      <c r="A4282" s="1"/>
      <c r="B4282" s="2"/>
      <c r="C4282" s="2"/>
    </row>
    <row r="4283" spans="1:3" x14ac:dyDescent="0.3">
      <c r="A4283" s="1"/>
      <c r="B4283" s="2"/>
      <c r="C4283" s="2"/>
    </row>
    <row r="4284" spans="1:3" x14ac:dyDescent="0.3">
      <c r="A4284" s="1"/>
      <c r="B4284" s="2"/>
      <c r="C4284" s="2"/>
    </row>
    <row r="4285" spans="1:3" x14ac:dyDescent="0.3">
      <c r="A4285" s="1"/>
      <c r="B4285" s="2"/>
      <c r="C4285" s="2"/>
    </row>
    <row r="4286" spans="1:3" x14ac:dyDescent="0.3">
      <c r="A4286" s="1"/>
      <c r="B4286" s="2"/>
      <c r="C4286" s="2"/>
    </row>
    <row r="4287" spans="1:3" x14ac:dyDescent="0.3">
      <c r="A4287" s="1"/>
      <c r="B4287" s="2"/>
      <c r="C4287" s="2"/>
    </row>
    <row r="4288" spans="1:3" x14ac:dyDescent="0.3">
      <c r="A4288" s="1"/>
      <c r="B4288" s="2"/>
      <c r="C4288" s="2"/>
    </row>
    <row r="4289" spans="1:3" x14ac:dyDescent="0.3">
      <c r="A4289" s="1"/>
      <c r="B4289" s="2"/>
      <c r="C4289" s="2"/>
    </row>
    <row r="4290" spans="1:3" x14ac:dyDescent="0.3">
      <c r="A4290" s="1"/>
      <c r="B4290" s="2"/>
      <c r="C4290" s="2"/>
    </row>
    <row r="4291" spans="1:3" x14ac:dyDescent="0.3">
      <c r="A4291" s="1"/>
      <c r="B4291" s="2"/>
      <c r="C4291" s="2"/>
    </row>
    <row r="4292" spans="1:3" x14ac:dyDescent="0.3">
      <c r="A4292" s="1"/>
      <c r="B4292" s="2"/>
      <c r="C4292" s="2"/>
    </row>
    <row r="4293" spans="1:3" x14ac:dyDescent="0.3">
      <c r="A4293" s="1"/>
      <c r="B4293" s="2"/>
      <c r="C4293" s="2"/>
    </row>
    <row r="4294" spans="1:3" x14ac:dyDescent="0.3">
      <c r="A4294" s="1"/>
      <c r="B4294" s="2"/>
      <c r="C4294" s="2"/>
    </row>
    <row r="4295" spans="1:3" x14ac:dyDescent="0.3">
      <c r="A4295" s="1"/>
      <c r="B4295" s="2"/>
      <c r="C4295" s="2"/>
    </row>
    <row r="4296" spans="1:3" x14ac:dyDescent="0.3">
      <c r="A4296" s="1"/>
      <c r="B4296" s="2"/>
      <c r="C4296" s="2"/>
    </row>
    <row r="4297" spans="1:3" x14ac:dyDescent="0.3">
      <c r="A4297" s="1"/>
      <c r="B4297" s="2"/>
      <c r="C4297" s="2"/>
    </row>
    <row r="4298" spans="1:3" x14ac:dyDescent="0.3">
      <c r="A4298" s="1"/>
      <c r="B4298" s="2"/>
      <c r="C4298" s="2"/>
    </row>
    <row r="4299" spans="1:3" x14ac:dyDescent="0.3">
      <c r="A4299" s="1"/>
      <c r="B4299" s="2"/>
      <c r="C4299" s="2"/>
    </row>
    <row r="4300" spans="1:3" x14ac:dyDescent="0.3">
      <c r="A4300" s="1"/>
      <c r="B4300" s="2"/>
      <c r="C4300" s="2"/>
    </row>
    <row r="4301" spans="1:3" x14ac:dyDescent="0.3">
      <c r="A4301" s="1"/>
      <c r="B4301" s="2"/>
      <c r="C4301" s="2"/>
    </row>
    <row r="4302" spans="1:3" x14ac:dyDescent="0.3">
      <c r="A4302" s="1"/>
      <c r="B4302" s="2"/>
      <c r="C4302" s="2"/>
    </row>
    <row r="4303" spans="1:3" x14ac:dyDescent="0.3">
      <c r="A4303" s="1"/>
      <c r="B4303" s="2"/>
      <c r="C4303" s="2"/>
    </row>
    <row r="4304" spans="1:3" x14ac:dyDescent="0.3">
      <c r="A4304" s="1"/>
      <c r="B4304" s="2"/>
      <c r="C4304" s="2"/>
    </row>
    <row r="4305" spans="1:3" x14ac:dyDescent="0.3">
      <c r="A4305" s="1"/>
      <c r="B4305" s="2"/>
      <c r="C4305" s="2"/>
    </row>
    <row r="4306" spans="1:3" x14ac:dyDescent="0.3">
      <c r="A4306" s="1"/>
      <c r="B4306" s="2"/>
      <c r="C4306" s="2"/>
    </row>
    <row r="4307" spans="1:3" x14ac:dyDescent="0.3">
      <c r="A4307" s="1"/>
      <c r="B4307" s="2"/>
      <c r="C4307" s="2"/>
    </row>
    <row r="4308" spans="1:3" x14ac:dyDescent="0.3">
      <c r="A4308" s="1"/>
      <c r="B4308" s="2"/>
      <c r="C4308" s="2"/>
    </row>
    <row r="4309" spans="1:3" x14ac:dyDescent="0.3">
      <c r="A4309" s="1"/>
      <c r="B4309" s="2"/>
      <c r="C4309" s="2"/>
    </row>
    <row r="4310" spans="1:3" x14ac:dyDescent="0.3">
      <c r="A4310" s="1"/>
      <c r="B4310" s="2"/>
      <c r="C4310" s="2"/>
    </row>
    <row r="4311" spans="1:3" x14ac:dyDescent="0.3">
      <c r="A4311" s="1"/>
      <c r="B4311" s="2"/>
      <c r="C4311" s="2"/>
    </row>
    <row r="4312" spans="1:3" x14ac:dyDescent="0.3">
      <c r="A4312" s="1"/>
      <c r="B4312" s="2"/>
      <c r="C4312" s="2"/>
    </row>
    <row r="4313" spans="1:3" x14ac:dyDescent="0.3">
      <c r="A4313" s="1"/>
      <c r="B4313" s="2"/>
      <c r="C4313" s="2"/>
    </row>
    <row r="4314" spans="1:3" x14ac:dyDescent="0.3">
      <c r="A4314" s="1"/>
      <c r="B4314" s="2"/>
      <c r="C4314" s="2"/>
    </row>
    <row r="4315" spans="1:3" x14ac:dyDescent="0.3">
      <c r="A4315" s="1"/>
      <c r="B4315" s="2"/>
      <c r="C4315" s="2"/>
    </row>
    <row r="4316" spans="1:3" x14ac:dyDescent="0.3">
      <c r="A4316" s="1"/>
      <c r="B4316" s="2"/>
      <c r="C4316" s="2"/>
    </row>
    <row r="4317" spans="1:3" x14ac:dyDescent="0.3">
      <c r="A4317" s="1"/>
      <c r="B4317" s="2"/>
      <c r="C4317" s="2"/>
    </row>
    <row r="4318" spans="1:3" x14ac:dyDescent="0.3">
      <c r="A4318" s="1"/>
      <c r="B4318" s="2"/>
      <c r="C4318" s="2"/>
    </row>
    <row r="4319" spans="1:3" x14ac:dyDescent="0.3">
      <c r="A4319" s="1"/>
      <c r="B4319" s="2"/>
      <c r="C4319" s="2"/>
    </row>
    <row r="4320" spans="1:3" x14ac:dyDescent="0.3">
      <c r="A4320" s="1"/>
      <c r="B4320" s="2"/>
      <c r="C4320" s="2"/>
    </row>
    <row r="4321" spans="1:3" x14ac:dyDescent="0.3">
      <c r="A4321" s="1"/>
      <c r="B4321" s="2"/>
      <c r="C4321" s="2"/>
    </row>
    <row r="4322" spans="1:3" x14ac:dyDescent="0.3">
      <c r="A4322" s="1"/>
      <c r="B4322" s="2"/>
      <c r="C4322" s="2"/>
    </row>
    <row r="4323" spans="1:3" x14ac:dyDescent="0.3">
      <c r="A4323" s="1"/>
      <c r="B4323" s="2"/>
      <c r="C4323" s="2"/>
    </row>
    <row r="4324" spans="1:3" x14ac:dyDescent="0.3">
      <c r="A4324" s="1"/>
      <c r="B4324" s="2"/>
      <c r="C4324" s="2"/>
    </row>
    <row r="4325" spans="1:3" x14ac:dyDescent="0.3">
      <c r="A4325" s="1"/>
      <c r="B4325" s="2"/>
      <c r="C4325" s="2"/>
    </row>
    <row r="4326" spans="1:3" x14ac:dyDescent="0.3">
      <c r="A4326" s="1"/>
      <c r="B4326" s="2"/>
      <c r="C4326" s="2"/>
    </row>
    <row r="4327" spans="1:3" x14ac:dyDescent="0.3">
      <c r="A4327" s="1"/>
      <c r="B4327" s="2"/>
      <c r="C4327" s="2"/>
    </row>
    <row r="4328" spans="1:3" x14ac:dyDescent="0.3">
      <c r="A4328" s="1"/>
      <c r="B4328" s="2"/>
      <c r="C4328" s="2"/>
    </row>
    <row r="4329" spans="1:3" x14ac:dyDescent="0.3">
      <c r="A4329" s="1"/>
      <c r="B4329" s="2"/>
      <c r="C4329" s="2"/>
    </row>
    <row r="4330" spans="1:3" x14ac:dyDescent="0.3">
      <c r="A4330" s="1"/>
      <c r="B4330" s="2"/>
      <c r="C4330" s="2"/>
    </row>
    <row r="4331" spans="1:3" x14ac:dyDescent="0.3">
      <c r="A4331" s="1"/>
      <c r="B4331" s="2"/>
      <c r="C4331" s="2"/>
    </row>
    <row r="4332" spans="1:3" x14ac:dyDescent="0.3">
      <c r="A4332" s="1"/>
      <c r="B4332" s="2"/>
      <c r="C4332" s="2"/>
    </row>
    <row r="4333" spans="1:3" x14ac:dyDescent="0.3">
      <c r="A4333" s="1"/>
      <c r="B4333" s="2"/>
      <c r="C4333" s="2"/>
    </row>
    <row r="4334" spans="1:3" x14ac:dyDescent="0.3">
      <c r="A4334" s="1"/>
      <c r="B4334" s="2"/>
      <c r="C4334" s="2"/>
    </row>
    <row r="4335" spans="1:3" x14ac:dyDescent="0.3">
      <c r="A4335" s="1"/>
      <c r="B4335" s="2"/>
      <c r="C4335" s="2"/>
    </row>
    <row r="4336" spans="1:3" x14ac:dyDescent="0.3">
      <c r="A4336" s="1"/>
      <c r="B4336" s="2"/>
      <c r="C4336" s="2"/>
    </row>
    <row r="4337" spans="1:3" x14ac:dyDescent="0.3">
      <c r="A4337" s="1"/>
      <c r="B4337" s="2"/>
      <c r="C4337" s="2"/>
    </row>
    <row r="4338" spans="1:3" x14ac:dyDescent="0.3">
      <c r="A4338" s="1"/>
      <c r="B4338" s="2"/>
      <c r="C4338" s="2"/>
    </row>
    <row r="4339" spans="1:3" x14ac:dyDescent="0.3">
      <c r="A4339" s="1"/>
      <c r="B4339" s="2"/>
      <c r="C4339" s="2"/>
    </row>
    <row r="4340" spans="1:3" x14ac:dyDescent="0.3">
      <c r="A4340" s="1"/>
      <c r="B4340" s="2"/>
      <c r="C4340" s="2"/>
    </row>
    <row r="4341" spans="1:3" x14ac:dyDescent="0.3">
      <c r="A4341" s="1"/>
      <c r="B4341" s="2"/>
      <c r="C4341" s="2"/>
    </row>
    <row r="4342" spans="1:3" x14ac:dyDescent="0.3">
      <c r="A4342" s="1"/>
      <c r="B4342" s="2"/>
      <c r="C4342" s="2"/>
    </row>
    <row r="4343" spans="1:3" x14ac:dyDescent="0.3">
      <c r="A4343" s="1"/>
      <c r="B4343" s="2"/>
      <c r="C4343" s="2"/>
    </row>
    <row r="4344" spans="1:3" x14ac:dyDescent="0.3">
      <c r="A4344" s="1"/>
      <c r="B4344" s="2"/>
      <c r="C4344" s="2"/>
    </row>
    <row r="4345" spans="1:3" x14ac:dyDescent="0.3">
      <c r="A4345" s="1"/>
      <c r="B4345" s="2"/>
      <c r="C4345" s="2"/>
    </row>
    <row r="4346" spans="1:3" x14ac:dyDescent="0.3">
      <c r="A4346" s="1"/>
      <c r="B4346" s="2"/>
      <c r="C4346" s="2"/>
    </row>
    <row r="4347" spans="1:3" x14ac:dyDescent="0.3">
      <c r="A4347" s="1"/>
      <c r="B4347" s="2"/>
      <c r="C4347" s="2"/>
    </row>
    <row r="4348" spans="1:3" x14ac:dyDescent="0.3">
      <c r="A4348" s="1"/>
      <c r="B4348" s="2"/>
      <c r="C4348" s="2"/>
    </row>
    <row r="4349" spans="1:3" x14ac:dyDescent="0.3">
      <c r="A4349" s="1"/>
      <c r="B4349" s="2"/>
      <c r="C4349" s="2"/>
    </row>
    <row r="4350" spans="1:3" x14ac:dyDescent="0.3">
      <c r="A4350" s="1"/>
      <c r="B4350" s="2"/>
      <c r="C4350" s="2"/>
    </row>
    <row r="4351" spans="1:3" x14ac:dyDescent="0.3">
      <c r="A4351" s="1"/>
      <c r="B4351" s="2"/>
      <c r="C4351" s="2"/>
    </row>
    <row r="4352" spans="1:3" x14ac:dyDescent="0.3">
      <c r="A4352" s="1"/>
      <c r="B4352" s="2"/>
      <c r="C4352" s="2"/>
    </row>
    <row r="4353" spans="1:3" x14ac:dyDescent="0.3">
      <c r="A4353" s="1"/>
      <c r="B4353" s="2"/>
      <c r="C4353" s="2"/>
    </row>
    <row r="4354" spans="1:3" x14ac:dyDescent="0.3">
      <c r="A4354" s="1"/>
      <c r="B4354" s="2"/>
      <c r="C4354" s="2"/>
    </row>
    <row r="4355" spans="1:3" x14ac:dyDescent="0.3">
      <c r="A4355" s="1"/>
      <c r="B4355" s="2"/>
      <c r="C4355" s="2"/>
    </row>
    <row r="4356" spans="1:3" x14ac:dyDescent="0.3">
      <c r="A4356" s="1"/>
      <c r="B4356" s="2"/>
      <c r="C4356" s="2"/>
    </row>
    <row r="4357" spans="1:3" x14ac:dyDescent="0.3">
      <c r="A4357" s="1"/>
      <c r="B4357" s="2"/>
      <c r="C4357" s="2"/>
    </row>
    <row r="4358" spans="1:3" x14ac:dyDescent="0.3">
      <c r="A4358" s="1"/>
      <c r="B4358" s="2"/>
      <c r="C4358" s="2"/>
    </row>
    <row r="4359" spans="1:3" x14ac:dyDescent="0.3">
      <c r="A4359" s="1"/>
      <c r="B4359" s="2"/>
      <c r="C4359" s="2"/>
    </row>
    <row r="4360" spans="1:3" x14ac:dyDescent="0.3">
      <c r="A4360" s="1"/>
      <c r="B4360" s="2"/>
      <c r="C4360" s="2"/>
    </row>
    <row r="4361" spans="1:3" x14ac:dyDescent="0.3">
      <c r="A4361" s="1"/>
      <c r="B4361" s="2"/>
      <c r="C4361" s="2"/>
    </row>
    <row r="4362" spans="1:3" x14ac:dyDescent="0.3">
      <c r="A4362" s="1"/>
      <c r="B4362" s="2"/>
      <c r="C4362" s="2"/>
    </row>
    <row r="4363" spans="1:3" x14ac:dyDescent="0.3">
      <c r="A4363" s="1"/>
      <c r="B4363" s="2"/>
      <c r="C4363" s="2"/>
    </row>
    <row r="4364" spans="1:3" x14ac:dyDescent="0.3">
      <c r="A4364" s="1"/>
      <c r="B4364" s="2"/>
      <c r="C4364" s="2"/>
    </row>
    <row r="4365" spans="1:3" x14ac:dyDescent="0.3">
      <c r="A4365" s="1"/>
      <c r="B4365" s="2"/>
      <c r="C4365" s="2"/>
    </row>
    <row r="4366" spans="1:3" x14ac:dyDescent="0.3">
      <c r="A4366" s="1"/>
      <c r="B4366" s="2"/>
      <c r="C4366" s="2"/>
    </row>
    <row r="4367" spans="1:3" x14ac:dyDescent="0.3">
      <c r="A4367" s="1"/>
      <c r="B4367" s="2"/>
      <c r="C4367" s="2"/>
    </row>
    <row r="4368" spans="1:3" x14ac:dyDescent="0.3">
      <c r="A4368" s="1"/>
      <c r="B4368" s="2"/>
      <c r="C4368" s="2"/>
    </row>
    <row r="4369" spans="1:3" x14ac:dyDescent="0.3">
      <c r="A4369" s="1"/>
      <c r="B4369" s="2"/>
      <c r="C4369" s="2"/>
    </row>
    <row r="4370" spans="1:3" x14ac:dyDescent="0.3">
      <c r="A4370" s="1"/>
      <c r="B4370" s="2"/>
      <c r="C4370" s="2"/>
    </row>
    <row r="4371" spans="1:3" x14ac:dyDescent="0.3">
      <c r="A4371" s="1"/>
      <c r="B4371" s="2"/>
      <c r="C4371" s="2"/>
    </row>
    <row r="4372" spans="1:3" x14ac:dyDescent="0.3">
      <c r="A4372" s="1"/>
      <c r="B4372" s="2"/>
      <c r="C4372" s="2"/>
    </row>
    <row r="4373" spans="1:3" x14ac:dyDescent="0.3">
      <c r="A4373" s="1"/>
      <c r="B4373" s="2"/>
      <c r="C4373" s="2"/>
    </row>
    <row r="4374" spans="1:3" x14ac:dyDescent="0.3">
      <c r="A4374" s="1"/>
      <c r="B4374" s="2"/>
      <c r="C4374" s="2"/>
    </row>
    <row r="4375" spans="1:3" x14ac:dyDescent="0.3">
      <c r="A4375" s="1"/>
      <c r="B4375" s="2"/>
      <c r="C4375" s="2"/>
    </row>
    <row r="4376" spans="1:3" x14ac:dyDescent="0.3">
      <c r="A4376" s="1"/>
      <c r="B4376" s="2"/>
      <c r="C4376" s="2"/>
    </row>
    <row r="4377" spans="1:3" x14ac:dyDescent="0.3">
      <c r="A4377" s="1"/>
      <c r="B4377" s="2"/>
      <c r="C4377" s="2"/>
    </row>
    <row r="4378" spans="1:3" x14ac:dyDescent="0.3">
      <c r="A4378" s="1"/>
      <c r="B4378" s="2"/>
      <c r="C4378" s="2"/>
    </row>
    <row r="4379" spans="1:3" x14ac:dyDescent="0.3">
      <c r="A4379" s="1"/>
      <c r="B4379" s="2"/>
      <c r="C4379" s="2"/>
    </row>
    <row r="4380" spans="1:3" x14ac:dyDescent="0.3">
      <c r="A4380" s="1"/>
      <c r="B4380" s="2"/>
      <c r="C4380" s="2"/>
    </row>
    <row r="4381" spans="1:3" x14ac:dyDescent="0.3">
      <c r="A4381" s="1"/>
      <c r="B4381" s="2"/>
      <c r="C4381" s="2"/>
    </row>
    <row r="4382" spans="1:3" x14ac:dyDescent="0.3">
      <c r="A4382" s="1"/>
      <c r="B4382" s="2"/>
      <c r="C4382" s="2"/>
    </row>
    <row r="4383" spans="1:3" x14ac:dyDescent="0.3">
      <c r="A4383" s="1"/>
      <c r="B4383" s="2"/>
      <c r="C4383" s="2"/>
    </row>
    <row r="4384" spans="1:3" x14ac:dyDescent="0.3">
      <c r="A4384" s="1"/>
      <c r="B4384" s="2"/>
      <c r="C4384" s="2"/>
    </row>
    <row r="4385" spans="1:3" x14ac:dyDescent="0.3">
      <c r="A4385" s="1"/>
      <c r="B4385" s="2"/>
      <c r="C4385" s="2"/>
    </row>
    <row r="4386" spans="1:3" x14ac:dyDescent="0.3">
      <c r="A4386" s="1"/>
      <c r="B4386" s="2"/>
      <c r="C4386" s="2"/>
    </row>
    <row r="4387" spans="1:3" x14ac:dyDescent="0.3">
      <c r="A4387" s="1"/>
      <c r="B4387" s="2"/>
      <c r="C4387" s="2"/>
    </row>
    <row r="4388" spans="1:3" x14ac:dyDescent="0.3">
      <c r="A4388" s="1"/>
      <c r="B4388" s="2"/>
      <c r="C4388" s="2"/>
    </row>
    <row r="4389" spans="1:3" x14ac:dyDescent="0.3">
      <c r="A4389" s="1"/>
      <c r="B4389" s="2"/>
      <c r="C4389" s="2"/>
    </row>
    <row r="4390" spans="1:3" x14ac:dyDescent="0.3">
      <c r="A4390" s="1"/>
      <c r="B4390" s="2"/>
      <c r="C4390" s="2"/>
    </row>
    <row r="4391" spans="1:3" x14ac:dyDescent="0.3">
      <c r="A4391" s="1"/>
      <c r="B4391" s="2"/>
      <c r="C4391" s="2"/>
    </row>
    <row r="4392" spans="1:3" x14ac:dyDescent="0.3">
      <c r="A4392" s="1"/>
      <c r="B4392" s="2"/>
      <c r="C4392" s="2"/>
    </row>
    <row r="4393" spans="1:3" x14ac:dyDescent="0.3">
      <c r="A4393" s="1"/>
      <c r="B4393" s="2"/>
      <c r="C4393" s="2"/>
    </row>
    <row r="4394" spans="1:3" x14ac:dyDescent="0.3">
      <c r="A4394" s="1"/>
      <c r="B4394" s="2"/>
      <c r="C4394" s="2"/>
    </row>
    <row r="4395" spans="1:3" x14ac:dyDescent="0.3">
      <c r="A4395" s="1"/>
      <c r="B4395" s="2"/>
      <c r="C4395" s="2"/>
    </row>
    <row r="4396" spans="1:3" x14ac:dyDescent="0.3">
      <c r="A4396" s="1"/>
      <c r="B4396" s="2"/>
      <c r="C4396" s="2"/>
    </row>
    <row r="4397" spans="1:3" x14ac:dyDescent="0.3">
      <c r="A4397" s="1"/>
      <c r="B4397" s="2"/>
      <c r="C4397" s="2"/>
    </row>
    <row r="4398" spans="1:3" x14ac:dyDescent="0.3">
      <c r="A4398" s="1"/>
      <c r="B4398" s="2"/>
      <c r="C4398" s="2"/>
    </row>
    <row r="4399" spans="1:3" x14ac:dyDescent="0.3">
      <c r="A4399" s="1"/>
      <c r="B4399" s="2"/>
      <c r="C4399" s="2"/>
    </row>
    <row r="4400" spans="1:3" x14ac:dyDescent="0.3">
      <c r="A4400" s="1"/>
      <c r="B4400" s="2"/>
      <c r="C4400" s="2"/>
    </row>
    <row r="4401" spans="1:3" x14ac:dyDescent="0.3">
      <c r="A4401" s="1"/>
      <c r="B4401" s="2"/>
      <c r="C4401" s="2"/>
    </row>
    <row r="4402" spans="1:3" x14ac:dyDescent="0.3">
      <c r="A4402" s="1"/>
      <c r="B4402" s="2"/>
      <c r="C4402" s="2"/>
    </row>
    <row r="4403" spans="1:3" x14ac:dyDescent="0.3">
      <c r="A4403" s="1"/>
      <c r="B4403" s="2"/>
      <c r="C4403" s="2"/>
    </row>
    <row r="4404" spans="1:3" x14ac:dyDescent="0.3">
      <c r="A4404" s="1"/>
      <c r="B4404" s="2"/>
      <c r="C4404" s="2"/>
    </row>
    <row r="4405" spans="1:3" x14ac:dyDescent="0.3">
      <c r="A4405" s="1"/>
      <c r="B4405" s="2"/>
      <c r="C4405" s="2"/>
    </row>
    <row r="4406" spans="1:3" x14ac:dyDescent="0.3">
      <c r="A4406" s="1"/>
      <c r="B4406" s="2"/>
      <c r="C4406" s="2"/>
    </row>
    <row r="4407" spans="1:3" x14ac:dyDescent="0.3">
      <c r="A4407" s="1"/>
      <c r="B4407" s="2"/>
      <c r="C4407" s="2"/>
    </row>
    <row r="4408" spans="1:3" x14ac:dyDescent="0.3">
      <c r="A4408" s="1"/>
      <c r="B4408" s="2"/>
      <c r="C4408" s="2"/>
    </row>
    <row r="4409" spans="1:3" x14ac:dyDescent="0.3">
      <c r="A4409" s="1"/>
      <c r="B4409" s="2"/>
      <c r="C4409" s="2"/>
    </row>
    <row r="4410" spans="1:3" x14ac:dyDescent="0.3">
      <c r="A4410" s="1"/>
      <c r="B4410" s="2"/>
      <c r="C4410" s="2"/>
    </row>
    <row r="4411" spans="1:3" x14ac:dyDescent="0.3">
      <c r="A4411" s="1"/>
      <c r="B4411" s="2"/>
      <c r="C4411" s="2"/>
    </row>
    <row r="4412" spans="1:3" x14ac:dyDescent="0.3">
      <c r="A4412" s="1"/>
      <c r="B4412" s="2"/>
      <c r="C4412" s="2"/>
    </row>
    <row r="4413" spans="1:3" x14ac:dyDescent="0.3">
      <c r="A4413" s="1"/>
      <c r="B4413" s="2"/>
      <c r="C4413" s="2"/>
    </row>
    <row r="4414" spans="1:3" x14ac:dyDescent="0.3">
      <c r="A4414" s="1"/>
      <c r="B4414" s="2"/>
      <c r="C4414" s="2"/>
    </row>
    <row r="4415" spans="1:3" x14ac:dyDescent="0.3">
      <c r="A4415" s="1"/>
      <c r="B4415" s="2"/>
      <c r="C4415" s="2"/>
    </row>
    <row r="4416" spans="1:3" x14ac:dyDescent="0.3">
      <c r="A4416" s="1"/>
      <c r="B4416" s="2"/>
      <c r="C4416" s="2"/>
    </row>
    <row r="4417" spans="1:3" x14ac:dyDescent="0.3">
      <c r="A4417" s="1"/>
      <c r="B4417" s="2"/>
      <c r="C4417" s="2"/>
    </row>
    <row r="4418" spans="1:3" x14ac:dyDescent="0.3">
      <c r="A4418" s="1"/>
      <c r="B4418" s="2"/>
      <c r="C4418" s="2"/>
    </row>
    <row r="4419" spans="1:3" x14ac:dyDescent="0.3">
      <c r="A4419" s="1"/>
      <c r="B4419" s="2"/>
      <c r="C4419" s="2"/>
    </row>
    <row r="4420" spans="1:3" x14ac:dyDescent="0.3">
      <c r="A4420" s="1"/>
      <c r="B4420" s="2"/>
      <c r="C4420" s="2"/>
    </row>
    <row r="4421" spans="1:3" x14ac:dyDescent="0.3">
      <c r="A4421" s="1"/>
      <c r="B4421" s="2"/>
      <c r="C4421" s="2"/>
    </row>
    <row r="4422" spans="1:3" x14ac:dyDescent="0.3">
      <c r="A4422" s="1"/>
      <c r="B4422" s="2"/>
      <c r="C4422" s="2"/>
    </row>
    <row r="4423" spans="1:3" x14ac:dyDescent="0.3">
      <c r="A4423" s="1"/>
      <c r="B4423" s="2"/>
      <c r="C4423" s="2"/>
    </row>
    <row r="4424" spans="1:3" x14ac:dyDescent="0.3">
      <c r="A4424" s="1"/>
      <c r="B4424" s="2"/>
      <c r="C4424" s="2"/>
    </row>
    <row r="4425" spans="1:3" x14ac:dyDescent="0.3">
      <c r="A4425" s="1"/>
      <c r="B4425" s="2"/>
      <c r="C4425" s="2"/>
    </row>
    <row r="4426" spans="1:3" x14ac:dyDescent="0.3">
      <c r="A4426" s="1"/>
      <c r="B4426" s="2"/>
      <c r="C4426" s="2"/>
    </row>
    <row r="4427" spans="1:3" x14ac:dyDescent="0.3">
      <c r="A4427" s="1"/>
      <c r="B4427" s="2"/>
      <c r="C4427" s="2"/>
    </row>
    <row r="4428" spans="1:3" x14ac:dyDescent="0.3">
      <c r="A4428" s="1"/>
      <c r="B4428" s="2"/>
      <c r="C4428" s="2"/>
    </row>
    <row r="4429" spans="1:3" x14ac:dyDescent="0.3">
      <c r="A4429" s="1"/>
      <c r="B4429" s="2"/>
      <c r="C4429" s="2"/>
    </row>
    <row r="4430" spans="1:3" x14ac:dyDescent="0.3">
      <c r="A4430" s="1"/>
      <c r="B4430" s="2"/>
      <c r="C4430" s="2"/>
    </row>
    <row r="4431" spans="1:3" x14ac:dyDescent="0.3">
      <c r="A4431" s="1"/>
      <c r="B4431" s="2"/>
      <c r="C4431" s="2"/>
    </row>
    <row r="4432" spans="1:3" x14ac:dyDescent="0.3">
      <c r="A4432" s="1"/>
      <c r="B4432" s="2"/>
      <c r="C4432" s="2"/>
    </row>
    <row r="4433" spans="1:3" x14ac:dyDescent="0.3">
      <c r="A4433" s="1"/>
      <c r="B4433" s="2"/>
      <c r="C4433" s="2"/>
    </row>
    <row r="4434" spans="1:3" x14ac:dyDescent="0.3">
      <c r="A4434" s="1"/>
      <c r="B4434" s="2"/>
      <c r="C4434" s="2"/>
    </row>
    <row r="4435" spans="1:3" x14ac:dyDescent="0.3">
      <c r="A4435" s="1"/>
      <c r="B4435" s="2"/>
      <c r="C4435" s="2"/>
    </row>
    <row r="4436" spans="1:3" x14ac:dyDescent="0.3">
      <c r="A4436" s="1"/>
      <c r="B4436" s="2"/>
      <c r="C4436" s="2"/>
    </row>
    <row r="4437" spans="1:3" x14ac:dyDescent="0.3">
      <c r="A4437" s="1"/>
      <c r="B4437" s="2"/>
      <c r="C4437" s="2"/>
    </row>
    <row r="4438" spans="1:3" x14ac:dyDescent="0.3">
      <c r="A4438" s="1"/>
      <c r="B4438" s="2"/>
      <c r="C4438" s="2"/>
    </row>
    <row r="4439" spans="1:3" x14ac:dyDescent="0.3">
      <c r="A4439" s="1"/>
      <c r="B4439" s="2"/>
      <c r="C4439" s="2"/>
    </row>
    <row r="4440" spans="1:3" x14ac:dyDescent="0.3">
      <c r="A4440" s="1"/>
      <c r="B4440" s="2"/>
      <c r="C4440" s="2"/>
    </row>
    <row r="4441" spans="1:3" x14ac:dyDescent="0.3">
      <c r="A4441" s="1"/>
      <c r="B4441" s="2"/>
      <c r="C4441" s="2"/>
    </row>
    <row r="4442" spans="1:3" x14ac:dyDescent="0.3">
      <c r="A4442" s="1"/>
      <c r="B4442" s="2"/>
      <c r="C4442" s="2"/>
    </row>
    <row r="4443" spans="1:3" x14ac:dyDescent="0.3">
      <c r="A4443" s="1"/>
      <c r="B4443" s="2"/>
      <c r="C4443" s="2"/>
    </row>
    <row r="4444" spans="1:3" x14ac:dyDescent="0.3">
      <c r="A4444" s="1"/>
      <c r="B4444" s="2"/>
      <c r="C4444" s="2"/>
    </row>
    <row r="4445" spans="1:3" x14ac:dyDescent="0.3">
      <c r="A4445" s="1"/>
      <c r="B4445" s="2"/>
      <c r="C4445" s="2"/>
    </row>
    <row r="4446" spans="1:3" x14ac:dyDescent="0.3">
      <c r="A4446" s="1"/>
      <c r="B4446" s="2"/>
      <c r="C4446" s="2"/>
    </row>
    <row r="4447" spans="1:3" x14ac:dyDescent="0.3">
      <c r="A4447" s="1"/>
      <c r="B4447" s="2"/>
      <c r="C4447" s="2"/>
    </row>
    <row r="4448" spans="1:3" x14ac:dyDescent="0.3">
      <c r="A4448" s="1"/>
      <c r="B4448" s="2"/>
      <c r="C4448" s="2"/>
    </row>
    <row r="4449" spans="1:3" x14ac:dyDescent="0.3">
      <c r="A4449" s="1"/>
      <c r="B4449" s="2"/>
      <c r="C4449" s="2"/>
    </row>
    <row r="4450" spans="1:3" x14ac:dyDescent="0.3">
      <c r="A4450" s="1"/>
      <c r="B4450" s="2"/>
      <c r="C4450" s="2"/>
    </row>
    <row r="4451" spans="1:3" x14ac:dyDescent="0.3">
      <c r="A4451" s="1"/>
      <c r="B4451" s="2"/>
      <c r="C4451" s="2"/>
    </row>
    <row r="4452" spans="1:3" x14ac:dyDescent="0.3">
      <c r="A4452" s="1"/>
      <c r="B4452" s="2"/>
      <c r="C4452" s="2"/>
    </row>
    <row r="4453" spans="1:3" x14ac:dyDescent="0.3">
      <c r="A4453" s="1"/>
      <c r="B4453" s="2"/>
      <c r="C4453" s="2"/>
    </row>
    <row r="4454" spans="1:3" x14ac:dyDescent="0.3">
      <c r="A4454" s="1"/>
      <c r="B4454" s="2"/>
      <c r="C4454" s="2"/>
    </row>
    <row r="4455" spans="1:3" x14ac:dyDescent="0.3">
      <c r="A4455" s="1"/>
      <c r="B4455" s="2"/>
      <c r="C4455" s="2"/>
    </row>
    <row r="4456" spans="1:3" x14ac:dyDescent="0.3">
      <c r="A4456" s="1"/>
      <c r="B4456" s="2"/>
      <c r="C4456" s="2"/>
    </row>
    <row r="4457" spans="1:3" x14ac:dyDescent="0.3">
      <c r="A4457" s="1"/>
      <c r="B4457" s="2"/>
      <c r="C4457" s="2"/>
    </row>
    <row r="4458" spans="1:3" x14ac:dyDescent="0.3">
      <c r="A4458" s="1"/>
      <c r="B4458" s="2"/>
      <c r="C4458" s="2"/>
    </row>
    <row r="4459" spans="1:3" x14ac:dyDescent="0.3">
      <c r="A4459" s="1"/>
      <c r="B4459" s="2"/>
      <c r="C4459" s="2"/>
    </row>
    <row r="4460" spans="1:3" x14ac:dyDescent="0.3">
      <c r="A4460" s="1"/>
      <c r="B4460" s="2"/>
      <c r="C4460" s="2"/>
    </row>
    <row r="4461" spans="1:3" x14ac:dyDescent="0.3">
      <c r="A4461" s="1"/>
      <c r="B4461" s="2"/>
      <c r="C4461" s="2"/>
    </row>
    <row r="4462" spans="1:3" x14ac:dyDescent="0.3">
      <c r="A4462" s="1"/>
      <c r="B4462" s="2"/>
      <c r="C4462" s="2"/>
    </row>
    <row r="4463" spans="1:3" x14ac:dyDescent="0.3">
      <c r="A4463" s="1"/>
      <c r="B4463" s="2"/>
      <c r="C4463" s="2"/>
    </row>
    <row r="4464" spans="1:3" x14ac:dyDescent="0.3">
      <c r="A4464" s="1"/>
      <c r="B4464" s="2"/>
      <c r="C4464" s="2"/>
    </row>
    <row r="4465" spans="1:3" x14ac:dyDescent="0.3">
      <c r="A4465" s="1"/>
      <c r="B4465" s="2"/>
      <c r="C4465" s="2"/>
    </row>
    <row r="4466" spans="1:3" x14ac:dyDescent="0.3">
      <c r="A4466" s="1"/>
      <c r="B4466" s="2"/>
      <c r="C4466" s="2"/>
    </row>
    <row r="4467" spans="1:3" x14ac:dyDescent="0.3">
      <c r="A4467" s="1"/>
      <c r="B4467" s="2"/>
      <c r="C4467" s="2"/>
    </row>
    <row r="4468" spans="1:3" x14ac:dyDescent="0.3">
      <c r="A4468" s="1"/>
      <c r="B4468" s="2"/>
      <c r="C4468" s="2"/>
    </row>
    <row r="4469" spans="1:3" x14ac:dyDescent="0.3">
      <c r="A4469" s="1"/>
      <c r="B4469" s="2"/>
      <c r="C4469" s="2"/>
    </row>
    <row r="4470" spans="1:3" x14ac:dyDescent="0.3">
      <c r="A4470" s="1"/>
      <c r="B4470" s="2"/>
      <c r="C4470" s="2"/>
    </row>
    <row r="4471" spans="1:3" x14ac:dyDescent="0.3">
      <c r="A4471" s="1"/>
      <c r="B4471" s="2"/>
      <c r="C4471" s="2"/>
    </row>
    <row r="4472" spans="1:3" x14ac:dyDescent="0.3">
      <c r="A4472" s="1"/>
      <c r="B4472" s="2"/>
      <c r="C4472" s="2"/>
    </row>
    <row r="4473" spans="1:3" x14ac:dyDescent="0.3">
      <c r="A4473" s="1"/>
      <c r="B4473" s="2"/>
      <c r="C4473" s="2"/>
    </row>
    <row r="4474" spans="1:3" x14ac:dyDescent="0.3">
      <c r="A4474" s="1"/>
      <c r="B4474" s="2"/>
      <c r="C4474" s="2"/>
    </row>
    <row r="4475" spans="1:3" x14ac:dyDescent="0.3">
      <c r="A4475" s="1"/>
      <c r="B4475" s="2"/>
      <c r="C4475" s="2"/>
    </row>
    <row r="4476" spans="1:3" x14ac:dyDescent="0.3">
      <c r="A4476" s="1"/>
      <c r="B4476" s="2"/>
      <c r="C4476" s="2"/>
    </row>
    <row r="4477" spans="1:3" x14ac:dyDescent="0.3">
      <c r="A4477" s="1"/>
      <c r="B4477" s="2"/>
      <c r="C4477" s="2"/>
    </row>
    <row r="4478" spans="1:3" x14ac:dyDescent="0.3">
      <c r="A4478" s="1"/>
      <c r="B4478" s="2"/>
      <c r="C4478" s="2"/>
    </row>
    <row r="4479" spans="1:3" x14ac:dyDescent="0.3">
      <c r="A4479" s="1"/>
      <c r="B4479" s="2"/>
      <c r="C4479" s="2"/>
    </row>
    <row r="4480" spans="1:3" x14ac:dyDescent="0.3">
      <c r="A4480" s="1"/>
      <c r="B4480" s="2"/>
      <c r="C4480" s="2"/>
    </row>
    <row r="4481" spans="1:3" x14ac:dyDescent="0.3">
      <c r="A4481" s="1"/>
      <c r="B4481" s="2"/>
      <c r="C4481" s="2"/>
    </row>
    <row r="4482" spans="1:3" x14ac:dyDescent="0.3">
      <c r="A4482" s="1"/>
      <c r="B4482" s="2"/>
      <c r="C4482" s="2"/>
    </row>
    <row r="4483" spans="1:3" x14ac:dyDescent="0.3">
      <c r="A4483" s="1"/>
      <c r="B4483" s="2"/>
      <c r="C4483" s="2"/>
    </row>
    <row r="4484" spans="1:3" x14ac:dyDescent="0.3">
      <c r="A4484" s="1"/>
      <c r="B4484" s="2"/>
      <c r="C4484" s="2"/>
    </row>
    <row r="4485" spans="1:3" x14ac:dyDescent="0.3">
      <c r="A4485" s="1"/>
      <c r="B4485" s="2"/>
      <c r="C4485" s="2"/>
    </row>
    <row r="4486" spans="1:3" x14ac:dyDescent="0.3">
      <c r="A4486" s="1"/>
      <c r="B4486" s="2"/>
      <c r="C4486" s="2"/>
    </row>
    <row r="4487" spans="1:3" x14ac:dyDescent="0.3">
      <c r="A4487" s="1"/>
      <c r="B4487" s="2"/>
      <c r="C4487" s="2"/>
    </row>
    <row r="4488" spans="1:3" x14ac:dyDescent="0.3">
      <c r="A4488" s="1"/>
      <c r="B4488" s="2"/>
      <c r="C4488" s="2"/>
    </row>
    <row r="4489" spans="1:3" x14ac:dyDescent="0.3">
      <c r="A4489" s="1"/>
      <c r="B4489" s="2"/>
      <c r="C4489" s="2"/>
    </row>
    <row r="4490" spans="1:3" x14ac:dyDescent="0.3">
      <c r="A4490" s="1"/>
      <c r="B4490" s="2"/>
      <c r="C4490" s="2"/>
    </row>
    <row r="4491" spans="1:3" x14ac:dyDescent="0.3">
      <c r="A4491" s="1"/>
      <c r="B4491" s="2"/>
      <c r="C4491" s="2"/>
    </row>
    <row r="4492" spans="1:3" x14ac:dyDescent="0.3">
      <c r="A4492" s="1"/>
      <c r="B4492" s="2"/>
      <c r="C4492" s="2"/>
    </row>
    <row r="4493" spans="1:3" x14ac:dyDescent="0.3">
      <c r="A4493" s="1"/>
      <c r="B4493" s="2"/>
      <c r="C4493" s="2"/>
    </row>
    <row r="4494" spans="1:3" x14ac:dyDescent="0.3">
      <c r="A4494" s="1"/>
      <c r="B4494" s="2"/>
      <c r="C4494" s="2"/>
    </row>
    <row r="4495" spans="1:3" x14ac:dyDescent="0.3">
      <c r="A4495" s="1"/>
      <c r="B4495" s="2"/>
      <c r="C4495" s="2"/>
    </row>
    <row r="4496" spans="1:3" x14ac:dyDescent="0.3">
      <c r="A4496" s="1"/>
      <c r="B4496" s="2"/>
      <c r="C4496" s="2"/>
    </row>
    <row r="4497" spans="1:3" x14ac:dyDescent="0.3">
      <c r="A4497" s="1"/>
      <c r="B4497" s="2"/>
      <c r="C4497" s="2"/>
    </row>
    <row r="4498" spans="1:3" x14ac:dyDescent="0.3">
      <c r="A4498" s="1"/>
      <c r="B4498" s="2"/>
      <c r="C4498" s="2"/>
    </row>
    <row r="4499" spans="1:3" x14ac:dyDescent="0.3">
      <c r="A4499" s="1"/>
      <c r="B4499" s="2"/>
      <c r="C4499" s="2"/>
    </row>
    <row r="4500" spans="1:3" x14ac:dyDescent="0.3">
      <c r="A4500" s="1"/>
      <c r="B4500" s="2"/>
      <c r="C4500" s="2"/>
    </row>
    <row r="4501" spans="1:3" x14ac:dyDescent="0.3">
      <c r="A4501" s="1"/>
      <c r="B4501" s="2"/>
      <c r="C4501" s="2"/>
    </row>
    <row r="4502" spans="1:3" x14ac:dyDescent="0.3">
      <c r="A4502" s="1"/>
      <c r="B4502" s="2"/>
      <c r="C4502" s="2"/>
    </row>
    <row r="4503" spans="1:3" x14ac:dyDescent="0.3">
      <c r="A4503" s="1"/>
      <c r="B4503" s="2"/>
      <c r="C4503" s="2"/>
    </row>
    <row r="4504" spans="1:3" x14ac:dyDescent="0.3">
      <c r="A4504" s="1"/>
      <c r="B4504" s="2"/>
      <c r="C4504" s="2"/>
    </row>
    <row r="4505" spans="1:3" x14ac:dyDescent="0.3">
      <c r="A4505" s="1"/>
      <c r="B4505" s="2"/>
      <c r="C4505" s="2"/>
    </row>
    <row r="4506" spans="1:3" x14ac:dyDescent="0.3">
      <c r="A4506" s="1"/>
      <c r="B4506" s="2"/>
      <c r="C4506" s="2"/>
    </row>
    <row r="4507" spans="1:3" x14ac:dyDescent="0.3">
      <c r="A4507" s="1"/>
      <c r="B4507" s="2"/>
      <c r="C4507" s="2"/>
    </row>
    <row r="4508" spans="1:3" x14ac:dyDescent="0.3">
      <c r="A4508" s="1"/>
      <c r="B4508" s="2"/>
      <c r="C4508" s="2"/>
    </row>
    <row r="4509" spans="1:3" x14ac:dyDescent="0.3">
      <c r="A4509" s="1"/>
      <c r="B4509" s="2"/>
      <c r="C4509" s="2"/>
    </row>
    <row r="4510" spans="1:3" x14ac:dyDescent="0.3">
      <c r="A4510" s="1"/>
      <c r="B4510" s="2"/>
      <c r="C4510" s="2"/>
    </row>
    <row r="4511" spans="1:3" x14ac:dyDescent="0.3">
      <c r="A4511" s="1"/>
      <c r="B4511" s="2"/>
      <c r="C4511" s="2"/>
    </row>
    <row r="4512" spans="1:3" x14ac:dyDescent="0.3">
      <c r="A4512" s="1"/>
      <c r="B4512" s="2"/>
      <c r="C4512" s="2"/>
    </row>
    <row r="4513" spans="1:3" x14ac:dyDescent="0.3">
      <c r="A4513" s="1"/>
      <c r="B4513" s="2"/>
      <c r="C4513" s="2"/>
    </row>
    <row r="4514" spans="1:3" x14ac:dyDescent="0.3">
      <c r="A4514" s="1"/>
      <c r="B4514" s="2"/>
      <c r="C4514" s="2"/>
    </row>
    <row r="4515" spans="1:3" x14ac:dyDescent="0.3">
      <c r="A4515" s="1"/>
      <c r="B4515" s="2"/>
      <c r="C4515" s="2"/>
    </row>
    <row r="4516" spans="1:3" x14ac:dyDescent="0.3">
      <c r="A4516" s="1"/>
      <c r="B4516" s="2"/>
      <c r="C4516" s="2"/>
    </row>
    <row r="4517" spans="1:3" x14ac:dyDescent="0.3">
      <c r="A4517" s="1"/>
      <c r="B4517" s="2"/>
      <c r="C4517" s="2"/>
    </row>
    <row r="4518" spans="1:3" x14ac:dyDescent="0.3">
      <c r="A4518" s="1"/>
      <c r="B4518" s="2"/>
      <c r="C4518" s="2"/>
    </row>
    <row r="4519" spans="1:3" x14ac:dyDescent="0.3">
      <c r="A4519" s="1"/>
      <c r="B4519" s="2"/>
      <c r="C4519" s="2"/>
    </row>
    <row r="4520" spans="1:3" x14ac:dyDescent="0.3">
      <c r="A4520" s="1"/>
      <c r="B4520" s="2"/>
      <c r="C4520" s="2"/>
    </row>
    <row r="4521" spans="1:3" x14ac:dyDescent="0.3">
      <c r="A4521" s="1"/>
      <c r="B4521" s="2"/>
      <c r="C4521" s="2"/>
    </row>
    <row r="4522" spans="1:3" x14ac:dyDescent="0.3">
      <c r="A4522" s="1"/>
      <c r="B4522" s="2"/>
      <c r="C4522" s="2"/>
    </row>
    <row r="4523" spans="1:3" x14ac:dyDescent="0.3">
      <c r="A4523" s="1"/>
      <c r="B4523" s="2"/>
      <c r="C4523" s="2"/>
    </row>
    <row r="4524" spans="1:3" x14ac:dyDescent="0.3">
      <c r="A4524" s="1"/>
      <c r="B4524" s="2"/>
      <c r="C4524" s="2"/>
    </row>
    <row r="4525" spans="1:3" x14ac:dyDescent="0.3">
      <c r="A4525" s="1"/>
      <c r="B4525" s="2"/>
      <c r="C4525" s="2"/>
    </row>
    <row r="4526" spans="1:3" x14ac:dyDescent="0.3">
      <c r="A4526" s="1"/>
      <c r="B4526" s="2"/>
      <c r="C4526" s="2"/>
    </row>
    <row r="4527" spans="1:3" x14ac:dyDescent="0.3">
      <c r="A4527" s="1"/>
      <c r="B4527" s="2"/>
      <c r="C4527" s="2"/>
    </row>
    <row r="4528" spans="1:3" x14ac:dyDescent="0.3">
      <c r="A4528" s="1"/>
      <c r="B4528" s="2"/>
      <c r="C4528" s="2"/>
    </row>
    <row r="4529" spans="1:3" x14ac:dyDescent="0.3">
      <c r="A4529" s="1"/>
      <c r="B4529" s="2"/>
      <c r="C4529" s="2"/>
    </row>
    <row r="4530" spans="1:3" x14ac:dyDescent="0.3">
      <c r="A4530" s="1"/>
      <c r="B4530" s="2"/>
      <c r="C4530" s="2"/>
    </row>
    <row r="4531" spans="1:3" x14ac:dyDescent="0.3">
      <c r="A4531" s="1"/>
      <c r="B4531" s="2"/>
      <c r="C4531" s="2"/>
    </row>
    <row r="4532" spans="1:3" x14ac:dyDescent="0.3">
      <c r="A4532" s="1"/>
      <c r="B4532" s="2"/>
      <c r="C4532" s="2"/>
    </row>
    <row r="4533" spans="1:3" x14ac:dyDescent="0.3">
      <c r="A4533" s="1"/>
      <c r="B4533" s="2"/>
      <c r="C4533" s="2"/>
    </row>
    <row r="4534" spans="1:3" x14ac:dyDescent="0.3">
      <c r="A4534" s="1"/>
      <c r="B4534" s="2"/>
      <c r="C4534" s="2"/>
    </row>
    <row r="4535" spans="1:3" x14ac:dyDescent="0.3">
      <c r="A4535" s="1"/>
      <c r="B4535" s="2"/>
      <c r="C4535" s="2"/>
    </row>
    <row r="4536" spans="1:3" x14ac:dyDescent="0.3">
      <c r="A4536" s="1"/>
      <c r="B4536" s="2"/>
      <c r="C4536" s="2"/>
    </row>
    <row r="4537" spans="1:3" x14ac:dyDescent="0.3">
      <c r="A4537" s="1"/>
      <c r="B4537" s="2"/>
      <c r="C4537" s="2"/>
    </row>
    <row r="4538" spans="1:3" x14ac:dyDescent="0.3">
      <c r="A4538" s="1"/>
      <c r="B4538" s="2"/>
      <c r="C4538" s="2"/>
    </row>
    <row r="4539" spans="1:3" x14ac:dyDescent="0.3">
      <c r="A4539" s="1"/>
      <c r="B4539" s="2"/>
      <c r="C4539" s="2"/>
    </row>
    <row r="4540" spans="1:3" x14ac:dyDescent="0.3">
      <c r="A4540" s="1"/>
      <c r="B4540" s="2"/>
      <c r="C4540" s="2"/>
    </row>
    <row r="4541" spans="1:3" x14ac:dyDescent="0.3">
      <c r="A4541" s="1"/>
      <c r="B4541" s="2"/>
      <c r="C4541" s="2"/>
    </row>
    <row r="4542" spans="1:3" x14ac:dyDescent="0.3">
      <c r="A4542" s="1"/>
      <c r="B4542" s="2"/>
      <c r="C4542" s="2"/>
    </row>
    <row r="4543" spans="1:3" x14ac:dyDescent="0.3">
      <c r="A4543" s="1"/>
      <c r="B4543" s="2"/>
      <c r="C4543" s="2"/>
    </row>
    <row r="4544" spans="1:3" x14ac:dyDescent="0.3">
      <c r="A4544" s="1"/>
      <c r="B4544" s="2"/>
      <c r="C4544" s="2"/>
    </row>
    <row r="4545" spans="1:3" x14ac:dyDescent="0.3">
      <c r="A4545" s="1"/>
      <c r="B4545" s="2"/>
      <c r="C4545" s="2"/>
    </row>
    <row r="4546" spans="1:3" x14ac:dyDescent="0.3">
      <c r="A4546" s="1"/>
      <c r="B4546" s="2"/>
      <c r="C4546" s="2"/>
    </row>
    <row r="4547" spans="1:3" x14ac:dyDescent="0.3">
      <c r="A4547" s="1"/>
      <c r="B4547" s="2"/>
      <c r="C4547" s="2"/>
    </row>
    <row r="4548" spans="1:3" x14ac:dyDescent="0.3">
      <c r="A4548" s="1"/>
      <c r="B4548" s="2"/>
      <c r="C4548" s="2"/>
    </row>
    <row r="4549" spans="1:3" x14ac:dyDescent="0.3">
      <c r="A4549" s="1"/>
      <c r="B4549" s="2"/>
      <c r="C4549" s="2"/>
    </row>
    <row r="4550" spans="1:3" x14ac:dyDescent="0.3">
      <c r="A4550" s="1"/>
      <c r="B4550" s="2"/>
      <c r="C4550" s="2"/>
    </row>
    <row r="4551" spans="1:3" x14ac:dyDescent="0.3">
      <c r="A4551" s="1"/>
      <c r="B4551" s="2"/>
      <c r="C4551" s="2"/>
    </row>
    <row r="4552" spans="1:3" x14ac:dyDescent="0.3">
      <c r="A4552" s="1"/>
      <c r="B4552" s="2"/>
      <c r="C4552" s="2"/>
    </row>
    <row r="4553" spans="1:3" x14ac:dyDescent="0.3">
      <c r="A4553" s="1"/>
      <c r="B4553" s="2"/>
      <c r="C4553" s="2"/>
    </row>
    <row r="4554" spans="1:3" x14ac:dyDescent="0.3">
      <c r="A4554" s="1"/>
      <c r="B4554" s="2"/>
      <c r="C4554" s="2"/>
    </row>
    <row r="4555" spans="1:3" x14ac:dyDescent="0.3">
      <c r="A4555" s="1"/>
      <c r="B4555" s="2"/>
      <c r="C4555" s="2"/>
    </row>
    <row r="4556" spans="1:3" x14ac:dyDescent="0.3">
      <c r="A4556" s="1"/>
      <c r="B4556" s="2"/>
      <c r="C4556" s="2"/>
    </row>
    <row r="4557" spans="1:3" x14ac:dyDescent="0.3">
      <c r="A4557" s="1"/>
      <c r="B4557" s="2"/>
      <c r="C4557" s="2"/>
    </row>
    <row r="4558" spans="1:3" x14ac:dyDescent="0.3">
      <c r="A4558" s="1"/>
      <c r="B4558" s="2"/>
      <c r="C4558" s="2"/>
    </row>
    <row r="4559" spans="1:3" x14ac:dyDescent="0.3">
      <c r="A4559" s="1"/>
      <c r="B4559" s="2"/>
      <c r="C4559" s="2"/>
    </row>
    <row r="4560" spans="1:3" x14ac:dyDescent="0.3">
      <c r="A4560" s="1"/>
      <c r="B4560" s="2"/>
      <c r="C4560" s="2"/>
    </row>
    <row r="4561" spans="1:3" x14ac:dyDescent="0.3">
      <c r="A4561" s="1"/>
      <c r="B4561" s="2"/>
      <c r="C4561" s="2"/>
    </row>
    <row r="4562" spans="1:3" x14ac:dyDescent="0.3">
      <c r="A4562" s="1"/>
      <c r="B4562" s="2"/>
      <c r="C4562" s="2"/>
    </row>
    <row r="4563" spans="1:3" x14ac:dyDescent="0.3">
      <c r="A4563" s="1"/>
      <c r="B4563" s="2"/>
      <c r="C4563" s="2"/>
    </row>
    <row r="4564" spans="1:3" x14ac:dyDescent="0.3">
      <c r="A4564" s="1"/>
      <c r="B4564" s="2"/>
      <c r="C4564" s="2"/>
    </row>
    <row r="4565" spans="1:3" x14ac:dyDescent="0.3">
      <c r="A4565" s="1"/>
      <c r="B4565" s="2"/>
      <c r="C4565" s="2"/>
    </row>
    <row r="4566" spans="1:3" x14ac:dyDescent="0.3">
      <c r="A4566" s="1"/>
      <c r="B4566" s="2"/>
      <c r="C4566" s="2"/>
    </row>
    <row r="4567" spans="1:3" x14ac:dyDescent="0.3">
      <c r="A4567" s="1"/>
      <c r="B4567" s="2"/>
      <c r="C4567" s="2"/>
    </row>
    <row r="4568" spans="1:3" x14ac:dyDescent="0.3">
      <c r="A4568" s="1"/>
      <c r="B4568" s="2"/>
      <c r="C4568" s="2"/>
    </row>
    <row r="4569" spans="1:3" x14ac:dyDescent="0.3">
      <c r="A4569" s="1"/>
      <c r="B4569" s="2"/>
      <c r="C4569" s="2"/>
    </row>
    <row r="4570" spans="1:3" x14ac:dyDescent="0.3">
      <c r="A4570" s="1"/>
      <c r="B4570" s="2"/>
      <c r="C4570" s="2"/>
    </row>
    <row r="4571" spans="1:3" x14ac:dyDescent="0.3">
      <c r="A4571" s="1"/>
      <c r="B4571" s="2"/>
      <c r="C4571" s="2"/>
    </row>
    <row r="4572" spans="1:3" x14ac:dyDescent="0.3">
      <c r="A4572" s="1"/>
      <c r="B4572" s="2"/>
      <c r="C4572" s="2"/>
    </row>
    <row r="4573" spans="1:3" x14ac:dyDescent="0.3">
      <c r="A4573" s="1"/>
      <c r="B4573" s="2"/>
      <c r="C4573" s="2"/>
    </row>
    <row r="4574" spans="1:3" x14ac:dyDescent="0.3">
      <c r="A4574" s="1"/>
      <c r="B4574" s="2"/>
      <c r="C4574" s="2"/>
    </row>
    <row r="4575" spans="1:3" x14ac:dyDescent="0.3">
      <c r="A4575" s="1"/>
      <c r="B4575" s="2"/>
      <c r="C4575" s="2"/>
    </row>
    <row r="4576" spans="1:3" x14ac:dyDescent="0.3">
      <c r="A4576" s="1"/>
      <c r="B4576" s="2"/>
      <c r="C4576" s="2"/>
    </row>
    <row r="4577" spans="1:3" x14ac:dyDescent="0.3">
      <c r="A4577" s="1"/>
      <c r="B4577" s="2"/>
      <c r="C4577" s="2"/>
    </row>
    <row r="4578" spans="1:3" x14ac:dyDescent="0.3">
      <c r="A4578" s="1"/>
      <c r="B4578" s="2"/>
      <c r="C4578" s="2"/>
    </row>
    <row r="4579" spans="1:3" x14ac:dyDescent="0.3">
      <c r="A4579" s="1"/>
      <c r="B4579" s="2"/>
      <c r="C4579" s="2"/>
    </row>
    <row r="4580" spans="1:3" x14ac:dyDescent="0.3">
      <c r="A4580" s="1"/>
      <c r="B4580" s="2"/>
      <c r="C4580" s="2"/>
    </row>
    <row r="4581" spans="1:3" x14ac:dyDescent="0.3">
      <c r="A4581" s="1"/>
      <c r="B4581" s="2"/>
      <c r="C4581" s="2"/>
    </row>
    <row r="4582" spans="1:3" x14ac:dyDescent="0.3">
      <c r="A4582" s="1"/>
      <c r="B4582" s="2"/>
      <c r="C4582" s="2"/>
    </row>
    <row r="4583" spans="1:3" x14ac:dyDescent="0.3">
      <c r="A4583" s="1"/>
      <c r="B4583" s="2"/>
      <c r="C4583" s="2"/>
    </row>
    <row r="4584" spans="1:3" x14ac:dyDescent="0.3">
      <c r="A4584" s="1"/>
      <c r="B4584" s="2"/>
      <c r="C4584" s="2"/>
    </row>
    <row r="4585" spans="1:3" x14ac:dyDescent="0.3">
      <c r="A4585" s="1"/>
      <c r="B4585" s="2"/>
      <c r="C4585" s="2"/>
    </row>
    <row r="4586" spans="1:3" x14ac:dyDescent="0.3">
      <c r="A4586" s="1"/>
      <c r="B4586" s="2"/>
      <c r="C4586" s="2"/>
    </row>
    <row r="4587" spans="1:3" x14ac:dyDescent="0.3">
      <c r="A4587" s="1"/>
      <c r="B4587" s="2"/>
      <c r="C4587" s="2"/>
    </row>
    <row r="4588" spans="1:3" x14ac:dyDescent="0.3">
      <c r="A4588" s="1"/>
      <c r="B4588" s="2"/>
      <c r="C4588" s="2"/>
    </row>
    <row r="4589" spans="1:3" x14ac:dyDescent="0.3">
      <c r="A4589" s="1"/>
      <c r="B4589" s="2"/>
      <c r="C4589" s="2"/>
    </row>
    <row r="4590" spans="1:3" x14ac:dyDescent="0.3">
      <c r="A4590" s="1"/>
      <c r="B4590" s="2"/>
      <c r="C4590" s="2"/>
    </row>
    <row r="4591" spans="1:3" x14ac:dyDescent="0.3">
      <c r="A4591" s="1"/>
      <c r="B4591" s="2"/>
      <c r="C4591" s="2"/>
    </row>
    <row r="4592" spans="1:3" x14ac:dyDescent="0.3">
      <c r="A4592" s="1"/>
      <c r="B4592" s="2"/>
      <c r="C4592" s="2"/>
    </row>
    <row r="4593" spans="1:3" x14ac:dyDescent="0.3">
      <c r="A4593" s="1"/>
      <c r="B4593" s="2"/>
      <c r="C4593" s="2"/>
    </row>
    <row r="4594" spans="1:3" x14ac:dyDescent="0.3">
      <c r="A4594" s="1"/>
      <c r="B4594" s="2"/>
      <c r="C4594" s="2"/>
    </row>
    <row r="4595" spans="1:3" x14ac:dyDescent="0.3">
      <c r="A4595" s="1"/>
      <c r="B4595" s="2"/>
      <c r="C4595" s="2"/>
    </row>
    <row r="4596" spans="1:3" x14ac:dyDescent="0.3">
      <c r="A4596" s="1"/>
      <c r="B4596" s="2"/>
      <c r="C4596" s="2"/>
    </row>
    <row r="4597" spans="1:3" x14ac:dyDescent="0.3">
      <c r="A4597" s="1"/>
      <c r="B4597" s="2"/>
      <c r="C4597" s="2"/>
    </row>
    <row r="4598" spans="1:3" x14ac:dyDescent="0.3">
      <c r="A4598" s="1"/>
      <c r="B4598" s="2"/>
      <c r="C4598" s="2"/>
    </row>
    <row r="4599" spans="1:3" x14ac:dyDescent="0.3">
      <c r="A4599" s="1"/>
      <c r="B4599" s="2"/>
      <c r="C4599" s="2"/>
    </row>
    <row r="4600" spans="1:3" x14ac:dyDescent="0.3">
      <c r="A4600" s="1"/>
      <c r="B4600" s="2"/>
      <c r="C4600" s="2"/>
    </row>
    <row r="4601" spans="1:3" x14ac:dyDescent="0.3">
      <c r="A4601" s="1"/>
      <c r="B4601" s="2"/>
      <c r="C4601" s="2"/>
    </row>
    <row r="4602" spans="1:3" x14ac:dyDescent="0.3">
      <c r="A4602" s="1"/>
      <c r="B4602" s="2"/>
      <c r="C4602" s="2"/>
    </row>
    <row r="4603" spans="1:3" x14ac:dyDescent="0.3">
      <c r="A4603" s="1"/>
      <c r="B4603" s="2"/>
      <c r="C4603" s="2"/>
    </row>
    <row r="4604" spans="1:3" x14ac:dyDescent="0.3">
      <c r="A4604" s="1"/>
      <c r="B4604" s="2"/>
      <c r="C4604" s="2"/>
    </row>
    <row r="4605" spans="1:3" x14ac:dyDescent="0.3">
      <c r="A4605" s="1"/>
      <c r="B4605" s="2"/>
      <c r="C4605" s="2"/>
    </row>
    <row r="4606" spans="1:3" x14ac:dyDescent="0.3">
      <c r="A4606" s="1"/>
      <c r="B4606" s="2"/>
      <c r="C4606" s="2"/>
    </row>
    <row r="4607" spans="1:3" x14ac:dyDescent="0.3">
      <c r="A4607" s="1"/>
      <c r="B4607" s="2"/>
      <c r="C4607" s="2"/>
    </row>
    <row r="4608" spans="1:3" x14ac:dyDescent="0.3">
      <c r="A4608" s="1"/>
      <c r="B4608" s="2"/>
      <c r="C4608" s="2"/>
    </row>
    <row r="4609" spans="1:3" x14ac:dyDescent="0.3">
      <c r="A4609" s="1"/>
      <c r="B4609" s="2"/>
      <c r="C4609" s="2"/>
    </row>
    <row r="4610" spans="1:3" x14ac:dyDescent="0.3">
      <c r="A4610" s="1"/>
      <c r="B4610" s="2"/>
      <c r="C4610" s="2"/>
    </row>
    <row r="4611" spans="1:3" x14ac:dyDescent="0.3">
      <c r="A4611" s="1"/>
      <c r="B4611" s="2"/>
      <c r="C4611" s="2"/>
    </row>
    <row r="4612" spans="1:3" x14ac:dyDescent="0.3">
      <c r="A4612" s="1"/>
      <c r="B4612" s="2"/>
      <c r="C4612" s="2"/>
    </row>
    <row r="4613" spans="1:3" x14ac:dyDescent="0.3">
      <c r="A4613" s="1"/>
      <c r="B4613" s="2"/>
      <c r="C4613" s="2"/>
    </row>
    <row r="4614" spans="1:3" x14ac:dyDescent="0.3">
      <c r="A4614" s="1"/>
      <c r="B4614" s="2"/>
      <c r="C4614" s="2"/>
    </row>
    <row r="4615" spans="1:3" x14ac:dyDescent="0.3">
      <c r="A4615" s="1"/>
      <c r="B4615" s="2"/>
      <c r="C4615" s="2"/>
    </row>
    <row r="4616" spans="1:3" x14ac:dyDescent="0.3">
      <c r="A4616" s="1"/>
      <c r="B4616" s="2"/>
      <c r="C4616" s="2"/>
    </row>
    <row r="4617" spans="1:3" x14ac:dyDescent="0.3">
      <c r="A4617" s="1"/>
      <c r="B4617" s="2"/>
      <c r="C4617" s="2"/>
    </row>
    <row r="4618" spans="1:3" x14ac:dyDescent="0.3">
      <c r="A4618" s="1"/>
      <c r="B4618" s="2"/>
      <c r="C4618" s="2"/>
    </row>
    <row r="4619" spans="1:3" x14ac:dyDescent="0.3">
      <c r="A4619" s="1"/>
      <c r="B4619" s="2"/>
      <c r="C4619" s="2"/>
    </row>
    <row r="4620" spans="1:3" x14ac:dyDescent="0.3">
      <c r="A4620" s="1"/>
      <c r="B4620" s="2"/>
      <c r="C4620" s="2"/>
    </row>
    <row r="4621" spans="1:3" x14ac:dyDescent="0.3">
      <c r="A4621" s="1"/>
      <c r="B4621" s="2"/>
      <c r="C4621" s="2"/>
    </row>
    <row r="4622" spans="1:3" x14ac:dyDescent="0.3">
      <c r="A4622" s="1"/>
      <c r="B4622" s="2"/>
      <c r="C4622" s="2"/>
    </row>
    <row r="4623" spans="1:3" x14ac:dyDescent="0.3">
      <c r="A4623" s="1"/>
      <c r="B4623" s="2"/>
      <c r="C4623" s="2"/>
    </row>
    <row r="4624" spans="1:3" x14ac:dyDescent="0.3">
      <c r="A4624" s="1"/>
      <c r="B4624" s="2"/>
      <c r="C4624" s="2"/>
    </row>
    <row r="4625" spans="1:3" x14ac:dyDescent="0.3">
      <c r="A4625" s="1"/>
      <c r="B4625" s="2"/>
      <c r="C4625" s="2"/>
    </row>
    <row r="4626" spans="1:3" x14ac:dyDescent="0.3">
      <c r="A4626" s="1"/>
      <c r="B4626" s="2"/>
      <c r="C4626" s="2"/>
    </row>
    <row r="4627" spans="1:3" x14ac:dyDescent="0.3">
      <c r="A4627" s="1"/>
      <c r="B4627" s="2"/>
      <c r="C4627" s="2"/>
    </row>
    <row r="4628" spans="1:3" x14ac:dyDescent="0.3">
      <c r="A4628" s="1"/>
      <c r="B4628" s="2"/>
      <c r="C4628" s="2"/>
    </row>
    <row r="4629" spans="1:3" x14ac:dyDescent="0.3">
      <c r="A4629" s="1"/>
      <c r="B4629" s="2"/>
      <c r="C4629" s="2"/>
    </row>
    <row r="4630" spans="1:3" x14ac:dyDescent="0.3">
      <c r="A4630" s="1"/>
      <c r="B4630" s="2"/>
      <c r="C4630" s="2"/>
    </row>
    <row r="4631" spans="1:3" x14ac:dyDescent="0.3">
      <c r="A4631" s="1"/>
      <c r="B4631" s="2"/>
      <c r="C4631" s="2"/>
    </row>
    <row r="4632" spans="1:3" x14ac:dyDescent="0.3">
      <c r="A4632" s="1"/>
      <c r="B4632" s="2"/>
      <c r="C4632" s="2"/>
    </row>
    <row r="4633" spans="1:3" x14ac:dyDescent="0.3">
      <c r="A4633" s="1"/>
      <c r="B4633" s="2"/>
      <c r="C4633" s="2"/>
    </row>
    <row r="4634" spans="1:3" x14ac:dyDescent="0.3">
      <c r="A4634" s="1"/>
      <c r="B4634" s="2"/>
      <c r="C4634" s="2"/>
    </row>
    <row r="4635" spans="1:3" x14ac:dyDescent="0.3">
      <c r="A4635" s="1"/>
      <c r="B4635" s="2"/>
      <c r="C4635" s="2"/>
    </row>
    <row r="4636" spans="1:3" x14ac:dyDescent="0.3">
      <c r="A4636" s="1"/>
      <c r="B4636" s="2"/>
      <c r="C4636" s="2"/>
    </row>
    <row r="4637" spans="1:3" x14ac:dyDescent="0.3">
      <c r="A4637" s="1"/>
      <c r="B4637" s="2"/>
      <c r="C4637" s="2"/>
    </row>
    <row r="4638" spans="1:3" x14ac:dyDescent="0.3">
      <c r="A4638" s="1"/>
      <c r="B4638" s="2"/>
      <c r="C4638" s="2"/>
    </row>
    <row r="4639" spans="1:3" x14ac:dyDescent="0.3">
      <c r="A4639" s="1"/>
      <c r="B4639" s="2"/>
      <c r="C4639" s="2"/>
    </row>
    <row r="4640" spans="1:3" x14ac:dyDescent="0.3">
      <c r="A4640" s="1"/>
      <c r="B4640" s="2"/>
      <c r="C4640" s="2"/>
    </row>
    <row r="4641" spans="1:3" x14ac:dyDescent="0.3">
      <c r="A4641" s="1"/>
      <c r="B4641" s="2"/>
      <c r="C4641" s="2"/>
    </row>
    <row r="4642" spans="1:3" x14ac:dyDescent="0.3">
      <c r="A4642" s="1"/>
      <c r="B4642" s="2"/>
      <c r="C4642" s="2"/>
    </row>
    <row r="4643" spans="1:3" x14ac:dyDescent="0.3">
      <c r="A4643" s="1"/>
      <c r="B4643" s="2"/>
      <c r="C4643" s="2"/>
    </row>
    <row r="4644" spans="1:3" x14ac:dyDescent="0.3">
      <c r="A4644" s="1"/>
      <c r="B4644" s="2"/>
      <c r="C4644" s="2"/>
    </row>
    <row r="4645" spans="1:3" x14ac:dyDescent="0.3">
      <c r="A4645" s="1"/>
      <c r="B4645" s="2"/>
      <c r="C4645" s="2"/>
    </row>
    <row r="4646" spans="1:3" x14ac:dyDescent="0.3">
      <c r="A4646" s="1"/>
      <c r="B4646" s="2"/>
      <c r="C4646" s="2"/>
    </row>
    <row r="4647" spans="1:3" x14ac:dyDescent="0.3">
      <c r="A4647" s="1"/>
      <c r="B4647" s="2"/>
      <c r="C4647" s="2"/>
    </row>
    <row r="4648" spans="1:3" x14ac:dyDescent="0.3">
      <c r="A4648" s="1"/>
      <c r="B4648" s="2"/>
      <c r="C4648" s="2"/>
    </row>
    <row r="4649" spans="1:3" x14ac:dyDescent="0.3">
      <c r="A4649" s="1"/>
      <c r="B4649" s="2"/>
      <c r="C4649" s="2"/>
    </row>
    <row r="4650" spans="1:3" x14ac:dyDescent="0.3">
      <c r="A4650" s="1"/>
      <c r="B4650" s="2"/>
      <c r="C4650" s="2"/>
    </row>
    <row r="4651" spans="1:3" x14ac:dyDescent="0.3">
      <c r="A4651" s="1"/>
      <c r="B4651" s="2"/>
      <c r="C4651" s="2"/>
    </row>
    <row r="4652" spans="1:3" x14ac:dyDescent="0.3">
      <c r="A4652" s="1"/>
      <c r="B4652" s="2"/>
      <c r="C4652" s="2"/>
    </row>
    <row r="4653" spans="1:3" x14ac:dyDescent="0.3">
      <c r="A4653" s="1"/>
      <c r="B4653" s="2"/>
      <c r="C4653" s="2"/>
    </row>
    <row r="4654" spans="1:3" x14ac:dyDescent="0.3">
      <c r="A4654" s="1"/>
      <c r="B4654" s="2"/>
      <c r="C4654" s="2"/>
    </row>
    <row r="4655" spans="1:3" x14ac:dyDescent="0.3">
      <c r="A4655" s="1"/>
      <c r="B4655" s="2"/>
      <c r="C4655" s="2"/>
    </row>
    <row r="4656" spans="1:3" x14ac:dyDescent="0.3">
      <c r="A4656" s="1"/>
      <c r="B4656" s="2"/>
      <c r="C4656" s="2"/>
    </row>
    <row r="4657" spans="1:3" x14ac:dyDescent="0.3">
      <c r="A4657" s="1"/>
      <c r="B4657" s="2"/>
      <c r="C4657" s="2"/>
    </row>
    <row r="4658" spans="1:3" x14ac:dyDescent="0.3">
      <c r="C4658" s="2"/>
    </row>
    <row r="4659" spans="1:3" x14ac:dyDescent="0.3">
      <c r="C4659" s="2"/>
    </row>
    <row r="4660" spans="1:3" x14ac:dyDescent="0.3">
      <c r="C4660" s="2"/>
    </row>
    <row r="4661" spans="1:3" x14ac:dyDescent="0.3">
      <c r="C4661" s="2"/>
    </row>
    <row r="4662" spans="1:3" x14ac:dyDescent="0.3">
      <c r="C4662" s="2"/>
    </row>
    <row r="4663" spans="1:3" x14ac:dyDescent="0.3">
      <c r="C4663" s="2"/>
    </row>
    <row r="4664" spans="1:3" x14ac:dyDescent="0.3">
      <c r="C4664" s="2"/>
    </row>
    <row r="4665" spans="1:3" x14ac:dyDescent="0.3">
      <c r="C4665" s="2"/>
    </row>
    <row r="4666" spans="1:3" x14ac:dyDescent="0.3">
      <c r="C4666" s="2"/>
    </row>
    <row r="4667" spans="1:3" x14ac:dyDescent="0.3">
      <c r="C4667" s="2"/>
    </row>
    <row r="4668" spans="1:3" x14ac:dyDescent="0.3">
      <c r="C4668" s="2"/>
    </row>
    <row r="4669" spans="1:3" x14ac:dyDescent="0.3">
      <c r="C4669" s="2"/>
    </row>
    <row r="4670" spans="1:3" x14ac:dyDescent="0.3">
      <c r="C4670" s="2"/>
    </row>
    <row r="4671" spans="1:3" x14ac:dyDescent="0.3">
      <c r="C4671" s="2"/>
    </row>
    <row r="4672" spans="1:3" x14ac:dyDescent="0.3">
      <c r="C4672" s="2"/>
    </row>
    <row r="4673" spans="3:3" x14ac:dyDescent="0.3">
      <c r="C4673" s="2"/>
    </row>
    <row r="4674" spans="3:3" x14ac:dyDescent="0.3">
      <c r="C4674" s="2"/>
    </row>
    <row r="4675" spans="3:3" x14ac:dyDescent="0.3">
      <c r="C4675" s="2"/>
    </row>
    <row r="4676" spans="3:3" x14ac:dyDescent="0.3">
      <c r="C4676" s="2"/>
    </row>
    <row r="4677" spans="3:3" x14ac:dyDescent="0.3">
      <c r="C4677" s="2"/>
    </row>
    <row r="4678" spans="3:3" x14ac:dyDescent="0.3">
      <c r="C4678" s="2"/>
    </row>
    <row r="4679" spans="3:3" x14ac:dyDescent="0.3">
      <c r="C4679" s="2"/>
    </row>
    <row r="4680" spans="3:3" x14ac:dyDescent="0.3">
      <c r="C4680" s="2"/>
    </row>
    <row r="4681" spans="3:3" x14ac:dyDescent="0.3">
      <c r="C4681" s="2"/>
    </row>
    <row r="4682" spans="3:3" x14ac:dyDescent="0.3">
      <c r="C4682" s="2"/>
    </row>
    <row r="4683" spans="3:3" x14ac:dyDescent="0.3">
      <c r="C4683" s="2"/>
    </row>
    <row r="4684" spans="3:3" x14ac:dyDescent="0.3">
      <c r="C4684" s="2"/>
    </row>
    <row r="4685" spans="3:3" x14ac:dyDescent="0.3">
      <c r="C4685" s="2"/>
    </row>
    <row r="4686" spans="3:3" x14ac:dyDescent="0.3">
      <c r="C4686" s="2"/>
    </row>
    <row r="4687" spans="3:3" x14ac:dyDescent="0.3">
      <c r="C4687" s="2"/>
    </row>
    <row r="4688" spans="3:3" x14ac:dyDescent="0.3">
      <c r="C4688" s="2"/>
    </row>
    <row r="4689" spans="3:3" x14ac:dyDescent="0.3">
      <c r="C4689" s="2"/>
    </row>
    <row r="4690" spans="3:3" x14ac:dyDescent="0.3">
      <c r="C4690" s="2"/>
    </row>
    <row r="4691" spans="3:3" x14ac:dyDescent="0.3">
      <c r="C4691" s="2"/>
    </row>
    <row r="4692" spans="3:3" x14ac:dyDescent="0.3">
      <c r="C4692" s="2"/>
    </row>
    <row r="4693" spans="3:3" x14ac:dyDescent="0.3">
      <c r="C4693" s="2"/>
    </row>
    <row r="4694" spans="3:3" x14ac:dyDescent="0.3">
      <c r="C4694" s="2"/>
    </row>
    <row r="4695" spans="3:3" x14ac:dyDescent="0.3">
      <c r="C4695" s="2"/>
    </row>
    <row r="4696" spans="3:3" x14ac:dyDescent="0.3">
      <c r="C4696" s="2"/>
    </row>
    <row r="4697" spans="3:3" x14ac:dyDescent="0.3">
      <c r="C4697" s="2"/>
    </row>
    <row r="4698" spans="3:3" x14ac:dyDescent="0.3">
      <c r="C4698" s="2"/>
    </row>
    <row r="4699" spans="3:3" x14ac:dyDescent="0.3">
      <c r="C4699" s="2"/>
    </row>
    <row r="4700" spans="3:3" x14ac:dyDescent="0.3">
      <c r="C4700" s="2"/>
    </row>
    <row r="4701" spans="3:3" x14ac:dyDescent="0.3">
      <c r="C4701" s="2"/>
    </row>
    <row r="4702" spans="3:3" x14ac:dyDescent="0.3">
      <c r="C4702" s="2"/>
    </row>
    <row r="4703" spans="3:3" x14ac:dyDescent="0.3">
      <c r="C4703" s="2"/>
    </row>
    <row r="4704" spans="3:3" x14ac:dyDescent="0.3">
      <c r="C4704" s="2"/>
    </row>
    <row r="4705" spans="3:3" x14ac:dyDescent="0.3">
      <c r="C4705" s="2"/>
    </row>
    <row r="4706" spans="3:3" x14ac:dyDescent="0.3">
      <c r="C4706" s="2"/>
    </row>
    <row r="4707" spans="3:3" x14ac:dyDescent="0.3">
      <c r="C4707" s="2"/>
    </row>
    <row r="4708" spans="3:3" x14ac:dyDescent="0.3">
      <c r="C4708" s="2"/>
    </row>
    <row r="4709" spans="3:3" x14ac:dyDescent="0.3">
      <c r="C4709" s="2"/>
    </row>
    <row r="4710" spans="3:3" x14ac:dyDescent="0.3">
      <c r="C4710" s="2"/>
    </row>
    <row r="4711" spans="3:3" x14ac:dyDescent="0.3">
      <c r="C4711" s="2"/>
    </row>
    <row r="4712" spans="3:3" x14ac:dyDescent="0.3">
      <c r="C4712" s="2"/>
    </row>
    <row r="4713" spans="3:3" x14ac:dyDescent="0.3">
      <c r="C4713" s="2"/>
    </row>
    <row r="4714" spans="3:3" x14ac:dyDescent="0.3">
      <c r="C4714" s="2"/>
    </row>
    <row r="4715" spans="3:3" x14ac:dyDescent="0.3">
      <c r="C4715" s="2"/>
    </row>
    <row r="4716" spans="3:3" x14ac:dyDescent="0.3">
      <c r="C4716" s="2"/>
    </row>
    <row r="4717" spans="3:3" x14ac:dyDescent="0.3">
      <c r="C4717" s="2"/>
    </row>
    <row r="4718" spans="3:3" x14ac:dyDescent="0.3">
      <c r="C4718" s="2"/>
    </row>
    <row r="4719" spans="3:3" x14ac:dyDescent="0.3">
      <c r="C4719" s="2"/>
    </row>
    <row r="4720" spans="3:3" x14ac:dyDescent="0.3">
      <c r="C4720" s="2"/>
    </row>
    <row r="4721" spans="3:3" x14ac:dyDescent="0.3">
      <c r="C4721" s="2"/>
    </row>
    <row r="4722" spans="3:3" x14ac:dyDescent="0.3">
      <c r="C4722" s="2"/>
    </row>
    <row r="4723" spans="3:3" x14ac:dyDescent="0.3">
      <c r="C4723" s="2"/>
    </row>
    <row r="4724" spans="3:3" x14ac:dyDescent="0.3">
      <c r="C4724" s="2"/>
    </row>
    <row r="4725" spans="3:3" x14ac:dyDescent="0.3">
      <c r="C4725" s="2"/>
    </row>
    <row r="4726" spans="3:3" x14ac:dyDescent="0.3">
      <c r="C4726" s="2"/>
    </row>
    <row r="4727" spans="3:3" x14ac:dyDescent="0.3">
      <c r="C4727" s="2"/>
    </row>
    <row r="4728" spans="3:3" x14ac:dyDescent="0.3">
      <c r="C4728" s="2"/>
    </row>
    <row r="4729" spans="3:3" x14ac:dyDescent="0.3">
      <c r="C4729" s="2"/>
    </row>
    <row r="4730" spans="3:3" x14ac:dyDescent="0.3">
      <c r="C4730" s="2"/>
    </row>
    <row r="4731" spans="3:3" x14ac:dyDescent="0.3">
      <c r="C4731" s="2"/>
    </row>
    <row r="4732" spans="3:3" x14ac:dyDescent="0.3">
      <c r="C4732" s="2"/>
    </row>
    <row r="4733" spans="3:3" x14ac:dyDescent="0.3">
      <c r="C4733" s="2"/>
    </row>
    <row r="4734" spans="3:3" x14ac:dyDescent="0.3">
      <c r="C4734" s="2"/>
    </row>
    <row r="4735" spans="3:3" x14ac:dyDescent="0.3">
      <c r="C4735" s="2"/>
    </row>
    <row r="4736" spans="3:3" x14ac:dyDescent="0.3">
      <c r="C4736" s="2"/>
    </row>
    <row r="4737" spans="3:3" x14ac:dyDescent="0.3">
      <c r="C4737" s="2"/>
    </row>
    <row r="4738" spans="3:3" x14ac:dyDescent="0.3">
      <c r="C4738" s="2"/>
    </row>
    <row r="4739" spans="3:3" x14ac:dyDescent="0.3">
      <c r="C4739" s="2"/>
    </row>
    <row r="4740" spans="3:3" x14ac:dyDescent="0.3">
      <c r="C4740" s="2"/>
    </row>
    <row r="4741" spans="3:3" x14ac:dyDescent="0.3">
      <c r="C4741" s="2"/>
    </row>
    <row r="4742" spans="3:3" x14ac:dyDescent="0.3">
      <c r="C4742" s="2"/>
    </row>
    <row r="4743" spans="3:3" x14ac:dyDescent="0.3">
      <c r="C4743" s="2"/>
    </row>
    <row r="4744" spans="3:3" x14ac:dyDescent="0.3">
      <c r="C4744" s="2"/>
    </row>
    <row r="4745" spans="3:3" x14ac:dyDescent="0.3">
      <c r="C4745" s="2"/>
    </row>
    <row r="4746" spans="3:3" x14ac:dyDescent="0.3">
      <c r="C4746" s="2"/>
    </row>
    <row r="4747" spans="3:3" x14ac:dyDescent="0.3">
      <c r="C4747" s="2"/>
    </row>
    <row r="4748" spans="3:3" x14ac:dyDescent="0.3">
      <c r="C4748" s="2"/>
    </row>
    <row r="4749" spans="3:3" x14ac:dyDescent="0.3">
      <c r="C4749" s="2"/>
    </row>
    <row r="4750" spans="3:3" x14ac:dyDescent="0.3">
      <c r="C4750" s="2"/>
    </row>
    <row r="4751" spans="3:3" x14ac:dyDescent="0.3">
      <c r="C4751" s="2"/>
    </row>
    <row r="4752" spans="3:3" x14ac:dyDescent="0.3">
      <c r="C4752" s="2"/>
    </row>
    <row r="4753" spans="3:3" x14ac:dyDescent="0.3">
      <c r="C4753" s="2"/>
    </row>
    <row r="4754" spans="3:3" x14ac:dyDescent="0.3">
      <c r="C4754" s="2"/>
    </row>
    <row r="4755" spans="3:3" x14ac:dyDescent="0.3">
      <c r="C4755" s="2"/>
    </row>
    <row r="4756" spans="3:3" x14ac:dyDescent="0.3">
      <c r="C4756" s="2"/>
    </row>
    <row r="4757" spans="3:3" x14ac:dyDescent="0.3">
      <c r="C4757" s="2"/>
    </row>
    <row r="4758" spans="3:3" x14ac:dyDescent="0.3">
      <c r="C4758" s="2"/>
    </row>
    <row r="4759" spans="3:3" x14ac:dyDescent="0.3">
      <c r="C4759" s="2"/>
    </row>
    <row r="4760" spans="3:3" x14ac:dyDescent="0.3">
      <c r="C4760" s="2"/>
    </row>
    <row r="4761" spans="3:3" x14ac:dyDescent="0.3">
      <c r="C4761" s="2"/>
    </row>
    <row r="4762" spans="3:3" x14ac:dyDescent="0.3">
      <c r="C4762" s="2"/>
    </row>
    <row r="4763" spans="3:3" x14ac:dyDescent="0.3">
      <c r="C4763" s="2"/>
    </row>
    <row r="4764" spans="3:3" x14ac:dyDescent="0.3">
      <c r="C4764" s="2"/>
    </row>
    <row r="4765" spans="3:3" x14ac:dyDescent="0.3">
      <c r="C4765" s="2"/>
    </row>
    <row r="4766" spans="3:3" x14ac:dyDescent="0.3">
      <c r="C4766" s="2"/>
    </row>
    <row r="4767" spans="3:3" x14ac:dyDescent="0.3">
      <c r="C4767" s="2"/>
    </row>
    <row r="4768" spans="3:3" x14ac:dyDescent="0.3">
      <c r="C4768" s="2"/>
    </row>
    <row r="4769" spans="3:3" x14ac:dyDescent="0.3">
      <c r="C4769" s="2"/>
    </row>
    <row r="4770" spans="3:3" x14ac:dyDescent="0.3">
      <c r="C4770" s="2"/>
    </row>
    <row r="4771" spans="3:3" x14ac:dyDescent="0.3">
      <c r="C4771" s="2"/>
    </row>
    <row r="4772" spans="3:3" x14ac:dyDescent="0.3">
      <c r="C4772" s="2"/>
    </row>
    <row r="4773" spans="3:3" x14ac:dyDescent="0.3">
      <c r="C4773" s="2"/>
    </row>
    <row r="4774" spans="3:3" x14ac:dyDescent="0.3">
      <c r="C4774" s="2"/>
    </row>
    <row r="4775" spans="3:3" x14ac:dyDescent="0.3">
      <c r="C4775" s="2"/>
    </row>
    <row r="4776" spans="3:3" x14ac:dyDescent="0.3">
      <c r="C4776" s="2"/>
    </row>
    <row r="4777" spans="3:3" x14ac:dyDescent="0.3">
      <c r="C4777" s="2"/>
    </row>
    <row r="4778" spans="3:3" x14ac:dyDescent="0.3">
      <c r="C4778" s="2"/>
    </row>
    <row r="4779" spans="3:3" x14ac:dyDescent="0.3">
      <c r="C4779" s="2"/>
    </row>
    <row r="4780" spans="3:3" x14ac:dyDescent="0.3">
      <c r="C4780" s="2"/>
    </row>
    <row r="4781" spans="3:3" x14ac:dyDescent="0.3">
      <c r="C4781" s="2"/>
    </row>
    <row r="4782" spans="3:3" x14ac:dyDescent="0.3">
      <c r="C4782" s="2"/>
    </row>
    <row r="4783" spans="3:3" x14ac:dyDescent="0.3">
      <c r="C4783" s="2"/>
    </row>
    <row r="4784" spans="3:3" x14ac:dyDescent="0.3">
      <c r="C4784" s="2"/>
    </row>
    <row r="4785" spans="3:3" x14ac:dyDescent="0.3">
      <c r="C4785" s="2"/>
    </row>
    <row r="4786" spans="3:3" x14ac:dyDescent="0.3">
      <c r="C4786" s="2"/>
    </row>
    <row r="4787" spans="3:3" x14ac:dyDescent="0.3">
      <c r="C4787" s="2"/>
    </row>
    <row r="4788" spans="3:3" x14ac:dyDescent="0.3">
      <c r="C4788" s="2"/>
    </row>
    <row r="4789" spans="3:3" x14ac:dyDescent="0.3">
      <c r="C4789" s="2"/>
    </row>
    <row r="4790" spans="3:3" x14ac:dyDescent="0.3">
      <c r="C4790" s="2"/>
    </row>
    <row r="4791" spans="3:3" x14ac:dyDescent="0.3">
      <c r="C4791" s="2"/>
    </row>
    <row r="4792" spans="3:3" x14ac:dyDescent="0.3">
      <c r="C4792" s="2"/>
    </row>
    <row r="4793" spans="3:3" x14ac:dyDescent="0.3">
      <c r="C4793" s="2"/>
    </row>
    <row r="4794" spans="3:3" x14ac:dyDescent="0.3">
      <c r="C4794" s="2"/>
    </row>
    <row r="4795" spans="3:3" x14ac:dyDescent="0.3">
      <c r="C4795" s="2"/>
    </row>
    <row r="4796" spans="3:3" x14ac:dyDescent="0.3">
      <c r="C4796" s="2"/>
    </row>
    <row r="4797" spans="3:3" x14ac:dyDescent="0.3">
      <c r="C4797" s="2"/>
    </row>
    <row r="4798" spans="3:3" x14ac:dyDescent="0.3">
      <c r="C4798" s="2"/>
    </row>
    <row r="4799" spans="3:3" x14ac:dyDescent="0.3">
      <c r="C4799" s="2"/>
    </row>
    <row r="4800" spans="3:3" x14ac:dyDescent="0.3">
      <c r="C4800" s="2"/>
    </row>
    <row r="4801" spans="3:3" x14ac:dyDescent="0.3">
      <c r="C4801" s="2"/>
    </row>
    <row r="4802" spans="3:3" x14ac:dyDescent="0.3">
      <c r="C4802" s="2"/>
    </row>
    <row r="4803" spans="3:3" x14ac:dyDescent="0.3">
      <c r="C4803" s="2"/>
    </row>
    <row r="4804" spans="3:3" x14ac:dyDescent="0.3">
      <c r="C4804" s="2"/>
    </row>
    <row r="4805" spans="3:3" x14ac:dyDescent="0.3">
      <c r="C4805" s="2"/>
    </row>
    <row r="4806" spans="3:3" x14ac:dyDescent="0.3">
      <c r="C4806" s="2"/>
    </row>
    <row r="4807" spans="3:3" x14ac:dyDescent="0.3">
      <c r="C4807" s="2"/>
    </row>
    <row r="4808" spans="3:3" x14ac:dyDescent="0.3">
      <c r="C4808" s="2"/>
    </row>
    <row r="4809" spans="3:3" x14ac:dyDescent="0.3">
      <c r="C4809" s="2"/>
    </row>
    <row r="4810" spans="3:3" x14ac:dyDescent="0.3">
      <c r="C4810" s="2"/>
    </row>
    <row r="4811" spans="3:3" x14ac:dyDescent="0.3">
      <c r="C4811" s="2"/>
    </row>
    <row r="4812" spans="3:3" x14ac:dyDescent="0.3">
      <c r="C4812" s="2"/>
    </row>
    <row r="4813" spans="3:3" x14ac:dyDescent="0.3">
      <c r="C4813" s="2"/>
    </row>
    <row r="4814" spans="3:3" x14ac:dyDescent="0.3">
      <c r="C4814" s="2"/>
    </row>
    <row r="4815" spans="3:3" x14ac:dyDescent="0.3">
      <c r="C4815" s="2"/>
    </row>
    <row r="4816" spans="3:3" x14ac:dyDescent="0.3">
      <c r="C4816" s="2"/>
    </row>
    <row r="4817" spans="3:3" x14ac:dyDescent="0.3">
      <c r="C4817" s="2"/>
    </row>
    <row r="4818" spans="3:3" x14ac:dyDescent="0.3">
      <c r="C4818" s="2"/>
    </row>
    <row r="4819" spans="3:3" x14ac:dyDescent="0.3">
      <c r="C4819" s="2"/>
    </row>
    <row r="4820" spans="3:3" x14ac:dyDescent="0.3">
      <c r="C4820" s="2"/>
    </row>
    <row r="4821" spans="3:3" x14ac:dyDescent="0.3">
      <c r="C4821" s="2"/>
    </row>
    <row r="4822" spans="3:3" x14ac:dyDescent="0.3">
      <c r="C4822" s="2"/>
    </row>
    <row r="4823" spans="3:3" x14ac:dyDescent="0.3">
      <c r="C4823" s="2"/>
    </row>
    <row r="4824" spans="3:3" x14ac:dyDescent="0.3">
      <c r="C4824" s="2"/>
    </row>
    <row r="4825" spans="3:3" x14ac:dyDescent="0.3">
      <c r="C4825" s="2"/>
    </row>
    <row r="4826" spans="3:3" x14ac:dyDescent="0.3">
      <c r="C4826" s="2"/>
    </row>
    <row r="4827" spans="3:3" x14ac:dyDescent="0.3">
      <c r="C4827" s="2"/>
    </row>
    <row r="4828" spans="3:3" x14ac:dyDescent="0.3">
      <c r="C4828" s="2"/>
    </row>
    <row r="4829" spans="3:3" x14ac:dyDescent="0.3">
      <c r="C4829" s="2"/>
    </row>
    <row r="4830" spans="3:3" x14ac:dyDescent="0.3">
      <c r="C4830" s="2"/>
    </row>
    <row r="4831" spans="3:3" x14ac:dyDescent="0.3">
      <c r="C4831" s="2"/>
    </row>
    <row r="4832" spans="3:3" x14ac:dyDescent="0.3">
      <c r="C4832" s="2"/>
    </row>
    <row r="4833" spans="3:3" x14ac:dyDescent="0.3">
      <c r="C4833" s="2"/>
    </row>
    <row r="4834" spans="3:3" x14ac:dyDescent="0.3">
      <c r="C4834" s="2"/>
    </row>
    <row r="4835" spans="3:3" x14ac:dyDescent="0.3">
      <c r="C4835" s="2"/>
    </row>
    <row r="4836" spans="3:3" x14ac:dyDescent="0.3">
      <c r="C4836" s="2"/>
    </row>
    <row r="4837" spans="3:3" x14ac:dyDescent="0.3">
      <c r="C4837" s="2"/>
    </row>
    <row r="4838" spans="3:3" x14ac:dyDescent="0.3">
      <c r="C4838" s="2"/>
    </row>
    <row r="4839" spans="3:3" x14ac:dyDescent="0.3">
      <c r="C4839" s="2"/>
    </row>
    <row r="4840" spans="3:3" x14ac:dyDescent="0.3">
      <c r="C4840" s="2"/>
    </row>
    <row r="4841" spans="3:3" x14ac:dyDescent="0.3">
      <c r="C4841" s="2"/>
    </row>
    <row r="4842" spans="3:3" x14ac:dyDescent="0.3">
      <c r="C4842" s="2"/>
    </row>
    <row r="4843" spans="3:3" x14ac:dyDescent="0.3">
      <c r="C4843" s="2"/>
    </row>
    <row r="4844" spans="3:3" x14ac:dyDescent="0.3">
      <c r="C4844" s="2"/>
    </row>
    <row r="4845" spans="3:3" x14ac:dyDescent="0.3">
      <c r="C4845" s="2"/>
    </row>
    <row r="4846" spans="3:3" x14ac:dyDescent="0.3">
      <c r="C4846" s="2"/>
    </row>
    <row r="4847" spans="3:3" x14ac:dyDescent="0.3">
      <c r="C4847" s="2"/>
    </row>
    <row r="4848" spans="3:3" x14ac:dyDescent="0.3">
      <c r="C4848" s="2"/>
    </row>
    <row r="4849" spans="3:3" x14ac:dyDescent="0.3">
      <c r="C4849" s="2"/>
    </row>
    <row r="4850" spans="3:3" x14ac:dyDescent="0.3">
      <c r="C4850" s="2"/>
    </row>
    <row r="4851" spans="3:3" x14ac:dyDescent="0.3">
      <c r="C4851" s="2"/>
    </row>
    <row r="4852" spans="3:3" x14ac:dyDescent="0.3">
      <c r="C4852" s="2"/>
    </row>
    <row r="4853" spans="3:3" x14ac:dyDescent="0.3">
      <c r="C4853" s="2"/>
    </row>
    <row r="4854" spans="3:3" x14ac:dyDescent="0.3">
      <c r="C4854" s="2"/>
    </row>
    <row r="4855" spans="3:3" x14ac:dyDescent="0.3">
      <c r="C4855" s="2"/>
    </row>
    <row r="4856" spans="3:3" x14ac:dyDescent="0.3">
      <c r="C4856" s="2"/>
    </row>
    <row r="4857" spans="3:3" x14ac:dyDescent="0.3">
      <c r="C4857" s="2"/>
    </row>
    <row r="4858" spans="3:3" x14ac:dyDescent="0.3">
      <c r="C4858" s="2"/>
    </row>
    <row r="4859" spans="3:3" x14ac:dyDescent="0.3">
      <c r="C4859" s="2"/>
    </row>
    <row r="4860" spans="3:3" x14ac:dyDescent="0.3">
      <c r="C4860" s="2"/>
    </row>
    <row r="4861" spans="3:3" x14ac:dyDescent="0.3">
      <c r="C4861" s="2"/>
    </row>
    <row r="4862" spans="3:3" x14ac:dyDescent="0.3">
      <c r="C4862" s="2"/>
    </row>
    <row r="4863" spans="3:3" x14ac:dyDescent="0.3">
      <c r="C4863" s="2"/>
    </row>
    <row r="4864" spans="3:3" x14ac:dyDescent="0.3">
      <c r="C4864" s="2"/>
    </row>
    <row r="4865" spans="3:3" x14ac:dyDescent="0.3">
      <c r="C4865" s="2"/>
    </row>
    <row r="4866" spans="3:3" x14ac:dyDescent="0.3">
      <c r="C4866" s="2"/>
    </row>
    <row r="4867" spans="3:3" x14ac:dyDescent="0.3">
      <c r="C4867" s="2"/>
    </row>
    <row r="4868" spans="3:3" x14ac:dyDescent="0.3">
      <c r="C4868" s="2"/>
    </row>
    <row r="4869" spans="3:3" x14ac:dyDescent="0.3">
      <c r="C4869" s="2"/>
    </row>
    <row r="4870" spans="3:3" x14ac:dyDescent="0.3">
      <c r="C4870" s="2"/>
    </row>
    <row r="4871" spans="3:3" x14ac:dyDescent="0.3">
      <c r="C4871" s="2"/>
    </row>
    <row r="4872" spans="3:3" x14ac:dyDescent="0.3">
      <c r="C4872" s="2"/>
    </row>
    <row r="4873" spans="3:3" x14ac:dyDescent="0.3">
      <c r="C4873" s="2"/>
    </row>
    <row r="4874" spans="3:3" x14ac:dyDescent="0.3">
      <c r="C4874" s="2"/>
    </row>
    <row r="4875" spans="3:3" x14ac:dyDescent="0.3">
      <c r="C4875" s="2"/>
    </row>
    <row r="4876" spans="3:3" x14ac:dyDescent="0.3">
      <c r="C4876" s="2"/>
    </row>
    <row r="4877" spans="3:3" x14ac:dyDescent="0.3">
      <c r="C4877" s="2"/>
    </row>
    <row r="4878" spans="3:3" x14ac:dyDescent="0.3">
      <c r="C4878" s="2"/>
    </row>
    <row r="4879" spans="3:3" x14ac:dyDescent="0.3">
      <c r="C4879" s="2"/>
    </row>
    <row r="4880" spans="3:3" x14ac:dyDescent="0.3">
      <c r="C4880" s="2"/>
    </row>
    <row r="4881" spans="3:3" x14ac:dyDescent="0.3">
      <c r="C4881" s="2"/>
    </row>
    <row r="4882" spans="3:3" x14ac:dyDescent="0.3">
      <c r="C4882" s="2"/>
    </row>
    <row r="4883" spans="3:3" x14ac:dyDescent="0.3">
      <c r="C4883" s="2"/>
    </row>
    <row r="4884" spans="3:3" x14ac:dyDescent="0.3">
      <c r="C4884" s="2"/>
    </row>
    <row r="4885" spans="3:3" x14ac:dyDescent="0.3">
      <c r="C4885" s="2"/>
    </row>
    <row r="4886" spans="3:3" x14ac:dyDescent="0.3">
      <c r="C4886" s="2"/>
    </row>
    <row r="4887" spans="3:3" x14ac:dyDescent="0.3">
      <c r="C4887" s="2"/>
    </row>
    <row r="4888" spans="3:3" x14ac:dyDescent="0.3">
      <c r="C4888" s="2"/>
    </row>
    <row r="4889" spans="3:3" x14ac:dyDescent="0.3">
      <c r="C4889" s="2"/>
    </row>
    <row r="4890" spans="3:3" x14ac:dyDescent="0.3">
      <c r="C4890" s="2"/>
    </row>
    <row r="4891" spans="3:3" x14ac:dyDescent="0.3">
      <c r="C4891" s="2"/>
    </row>
    <row r="4892" spans="3:3" x14ac:dyDescent="0.3">
      <c r="C4892" s="2"/>
    </row>
    <row r="4893" spans="3:3" x14ac:dyDescent="0.3">
      <c r="C4893" s="2"/>
    </row>
    <row r="4894" spans="3:3" x14ac:dyDescent="0.3">
      <c r="C4894" s="2"/>
    </row>
    <row r="4895" spans="3:3" x14ac:dyDescent="0.3">
      <c r="C4895" s="2"/>
    </row>
    <row r="4896" spans="3:3" x14ac:dyDescent="0.3">
      <c r="C4896" s="2"/>
    </row>
    <row r="4897" spans="3:3" x14ac:dyDescent="0.3">
      <c r="C4897" s="2"/>
    </row>
    <row r="4898" spans="3:3" x14ac:dyDescent="0.3">
      <c r="C4898" s="2"/>
    </row>
    <row r="4899" spans="3:3" x14ac:dyDescent="0.3">
      <c r="C4899" s="2"/>
    </row>
    <row r="4900" spans="3:3" x14ac:dyDescent="0.3">
      <c r="C4900" s="2"/>
    </row>
    <row r="4901" spans="3:3" x14ac:dyDescent="0.3">
      <c r="C4901" s="2"/>
    </row>
    <row r="4902" spans="3:3" x14ac:dyDescent="0.3">
      <c r="C4902" s="2"/>
    </row>
    <row r="4903" spans="3:3" x14ac:dyDescent="0.3">
      <c r="C4903" s="2"/>
    </row>
    <row r="4904" spans="3:3" x14ac:dyDescent="0.3">
      <c r="C4904" s="2"/>
    </row>
    <row r="4905" spans="3:3" x14ac:dyDescent="0.3">
      <c r="C4905" s="2"/>
    </row>
    <row r="4906" spans="3:3" x14ac:dyDescent="0.3">
      <c r="C4906" s="2"/>
    </row>
    <row r="4907" spans="3:3" x14ac:dyDescent="0.3">
      <c r="C4907" s="2"/>
    </row>
    <row r="4908" spans="3:3" x14ac:dyDescent="0.3">
      <c r="C4908" s="2"/>
    </row>
    <row r="4909" spans="3:3" x14ac:dyDescent="0.3">
      <c r="C4909" s="2"/>
    </row>
    <row r="4910" spans="3:3" x14ac:dyDescent="0.3">
      <c r="C4910" s="2"/>
    </row>
    <row r="4911" spans="3:3" x14ac:dyDescent="0.3">
      <c r="C4911" s="2"/>
    </row>
    <row r="4912" spans="3:3" x14ac:dyDescent="0.3">
      <c r="C4912" s="2"/>
    </row>
    <row r="4913" spans="3:3" x14ac:dyDescent="0.3">
      <c r="C4913" s="2"/>
    </row>
    <row r="4914" spans="3:3" x14ac:dyDescent="0.3">
      <c r="C4914" s="2"/>
    </row>
    <row r="4915" spans="3:3" x14ac:dyDescent="0.3">
      <c r="C4915" s="2"/>
    </row>
    <row r="4916" spans="3:3" x14ac:dyDescent="0.3">
      <c r="C4916" s="2"/>
    </row>
    <row r="4917" spans="3:3" x14ac:dyDescent="0.3">
      <c r="C4917" s="2"/>
    </row>
    <row r="4918" spans="3:3" x14ac:dyDescent="0.3">
      <c r="C4918" s="2"/>
    </row>
    <row r="4919" spans="3:3" x14ac:dyDescent="0.3">
      <c r="C4919" s="2"/>
    </row>
    <row r="4920" spans="3:3" x14ac:dyDescent="0.3">
      <c r="C4920" s="2"/>
    </row>
    <row r="4921" spans="3:3" x14ac:dyDescent="0.3">
      <c r="C4921" s="2"/>
    </row>
    <row r="4922" spans="3:3" x14ac:dyDescent="0.3">
      <c r="C4922" s="2"/>
    </row>
    <row r="4923" spans="3:3" x14ac:dyDescent="0.3">
      <c r="C4923" s="2"/>
    </row>
    <row r="4924" spans="3:3" x14ac:dyDescent="0.3">
      <c r="C4924" s="2"/>
    </row>
    <row r="4925" spans="3:3" x14ac:dyDescent="0.3">
      <c r="C4925" s="2"/>
    </row>
    <row r="4926" spans="3:3" x14ac:dyDescent="0.3">
      <c r="C4926" s="2"/>
    </row>
    <row r="4927" spans="3:3" x14ac:dyDescent="0.3">
      <c r="C4927" s="2"/>
    </row>
    <row r="4928" spans="3:3" x14ac:dyDescent="0.3">
      <c r="C4928" s="2"/>
    </row>
    <row r="4929" spans="3:3" x14ac:dyDescent="0.3">
      <c r="C4929" s="2"/>
    </row>
    <row r="4930" spans="3:3" x14ac:dyDescent="0.3">
      <c r="C4930" s="2"/>
    </row>
    <row r="4931" spans="3:3" x14ac:dyDescent="0.3">
      <c r="C4931" s="2"/>
    </row>
    <row r="4932" spans="3:3" x14ac:dyDescent="0.3">
      <c r="C4932" s="2"/>
    </row>
    <row r="4933" spans="3:3" x14ac:dyDescent="0.3">
      <c r="C4933" s="2"/>
    </row>
    <row r="4934" spans="3:3" x14ac:dyDescent="0.3">
      <c r="C4934" s="2"/>
    </row>
    <row r="4935" spans="3:3" x14ac:dyDescent="0.3">
      <c r="C4935" s="2"/>
    </row>
    <row r="4936" spans="3:3" x14ac:dyDescent="0.3">
      <c r="C4936" s="2"/>
    </row>
    <row r="4937" spans="3:3" x14ac:dyDescent="0.3">
      <c r="C4937" s="2"/>
    </row>
    <row r="4938" spans="3:3" x14ac:dyDescent="0.3">
      <c r="C4938" s="2"/>
    </row>
    <row r="4939" spans="3:3" x14ac:dyDescent="0.3">
      <c r="C4939" s="2"/>
    </row>
    <row r="4940" spans="3:3" x14ac:dyDescent="0.3">
      <c r="C4940" s="2"/>
    </row>
    <row r="4941" spans="3:3" x14ac:dyDescent="0.3">
      <c r="C4941" s="2"/>
    </row>
    <row r="4942" spans="3:3" x14ac:dyDescent="0.3">
      <c r="C4942" s="2"/>
    </row>
    <row r="4943" spans="3:3" x14ac:dyDescent="0.3">
      <c r="C4943" s="2"/>
    </row>
    <row r="4944" spans="3:3" x14ac:dyDescent="0.3">
      <c r="C4944" s="2"/>
    </row>
    <row r="4945" spans="3:3" x14ac:dyDescent="0.3">
      <c r="C4945" s="2"/>
    </row>
    <row r="4946" spans="3:3" x14ac:dyDescent="0.3">
      <c r="C4946" s="2"/>
    </row>
    <row r="4947" spans="3:3" x14ac:dyDescent="0.3">
      <c r="C4947" s="2"/>
    </row>
    <row r="4948" spans="3:3" x14ac:dyDescent="0.3">
      <c r="C4948" s="2"/>
    </row>
    <row r="4949" spans="3:3" x14ac:dyDescent="0.3">
      <c r="C4949" s="2"/>
    </row>
    <row r="4950" spans="3:3" x14ac:dyDescent="0.3">
      <c r="C4950" s="2"/>
    </row>
    <row r="4951" spans="3:3" x14ac:dyDescent="0.3">
      <c r="C4951" s="2"/>
    </row>
    <row r="4952" spans="3:3" x14ac:dyDescent="0.3">
      <c r="C4952" s="2"/>
    </row>
    <row r="4953" spans="3:3" x14ac:dyDescent="0.3">
      <c r="C4953" s="2"/>
    </row>
    <row r="4954" spans="3:3" x14ac:dyDescent="0.3">
      <c r="C4954" s="2"/>
    </row>
    <row r="4955" spans="3:3" x14ac:dyDescent="0.3">
      <c r="C4955" s="2"/>
    </row>
    <row r="4956" spans="3:3" x14ac:dyDescent="0.3">
      <c r="C4956" s="2"/>
    </row>
    <row r="4957" spans="3:3" x14ac:dyDescent="0.3">
      <c r="C4957" s="2"/>
    </row>
    <row r="4958" spans="3:3" x14ac:dyDescent="0.3">
      <c r="C4958" s="2"/>
    </row>
    <row r="4959" spans="3:3" x14ac:dyDescent="0.3">
      <c r="C4959" s="2"/>
    </row>
    <row r="4960" spans="3:3" x14ac:dyDescent="0.3">
      <c r="C4960" s="2"/>
    </row>
    <row r="4961" spans="3:3" x14ac:dyDescent="0.3">
      <c r="C4961" s="2"/>
    </row>
    <row r="4962" spans="3:3" x14ac:dyDescent="0.3">
      <c r="C4962" s="2"/>
    </row>
    <row r="4963" spans="3:3" x14ac:dyDescent="0.3">
      <c r="C4963" s="2"/>
    </row>
    <row r="4964" spans="3:3" x14ac:dyDescent="0.3">
      <c r="C4964" s="2"/>
    </row>
    <row r="4965" spans="3:3" x14ac:dyDescent="0.3">
      <c r="C4965" s="2"/>
    </row>
    <row r="4966" spans="3:3" x14ac:dyDescent="0.3">
      <c r="C4966" s="2"/>
    </row>
    <row r="4967" spans="3:3" x14ac:dyDescent="0.3">
      <c r="C4967" s="2"/>
    </row>
    <row r="4968" spans="3:3" x14ac:dyDescent="0.3">
      <c r="C4968" s="2"/>
    </row>
    <row r="4969" spans="3:3" x14ac:dyDescent="0.3">
      <c r="C4969" s="2"/>
    </row>
    <row r="4970" spans="3:3" x14ac:dyDescent="0.3">
      <c r="C4970" s="2"/>
    </row>
    <row r="4971" spans="3:3" x14ac:dyDescent="0.3">
      <c r="C4971" s="2"/>
    </row>
    <row r="4972" spans="3:3" x14ac:dyDescent="0.3">
      <c r="C4972" s="2"/>
    </row>
    <row r="4973" spans="3:3" x14ac:dyDescent="0.3">
      <c r="C4973" s="2"/>
    </row>
    <row r="4974" spans="3:3" x14ac:dyDescent="0.3">
      <c r="C4974" s="2"/>
    </row>
    <row r="4975" spans="3:3" x14ac:dyDescent="0.3">
      <c r="C4975" s="2"/>
    </row>
    <row r="4976" spans="3:3" x14ac:dyDescent="0.3">
      <c r="C4976" s="2"/>
    </row>
    <row r="4977" spans="3:3" x14ac:dyDescent="0.3">
      <c r="C4977" s="2"/>
    </row>
    <row r="4978" spans="3:3" x14ac:dyDescent="0.3">
      <c r="C4978" s="2"/>
    </row>
    <row r="4979" spans="3:3" x14ac:dyDescent="0.3">
      <c r="C4979" s="2"/>
    </row>
    <row r="4980" spans="3:3" x14ac:dyDescent="0.3">
      <c r="C4980" s="2"/>
    </row>
    <row r="4981" spans="3:3" x14ac:dyDescent="0.3">
      <c r="C4981" s="2"/>
    </row>
    <row r="4982" spans="3:3" x14ac:dyDescent="0.3">
      <c r="C4982" s="2"/>
    </row>
    <row r="4983" spans="3:3" x14ac:dyDescent="0.3">
      <c r="C4983" s="2"/>
    </row>
    <row r="4984" spans="3:3" x14ac:dyDescent="0.3">
      <c r="C4984" s="2"/>
    </row>
    <row r="4985" spans="3:3" x14ac:dyDescent="0.3">
      <c r="C4985" s="2"/>
    </row>
    <row r="4986" spans="3:3" x14ac:dyDescent="0.3">
      <c r="C4986" s="2"/>
    </row>
    <row r="4987" spans="3:3" x14ac:dyDescent="0.3">
      <c r="C4987" s="2"/>
    </row>
    <row r="4988" spans="3:3" x14ac:dyDescent="0.3">
      <c r="C4988" s="2"/>
    </row>
    <row r="4989" spans="3:3" x14ac:dyDescent="0.3">
      <c r="C4989" s="2"/>
    </row>
    <row r="4990" spans="3:3" x14ac:dyDescent="0.3">
      <c r="C4990" s="2"/>
    </row>
    <row r="4991" spans="3:3" x14ac:dyDescent="0.3">
      <c r="C4991" s="2"/>
    </row>
    <row r="4992" spans="3:3" x14ac:dyDescent="0.3">
      <c r="C4992" s="2"/>
    </row>
    <row r="4993" spans="3:3" x14ac:dyDescent="0.3">
      <c r="C4993" s="2"/>
    </row>
    <row r="4994" spans="3:3" x14ac:dyDescent="0.3">
      <c r="C4994" s="2"/>
    </row>
    <row r="4995" spans="3:3" x14ac:dyDescent="0.3">
      <c r="C4995" s="2"/>
    </row>
    <row r="4996" spans="3:3" x14ac:dyDescent="0.3">
      <c r="C4996" s="2"/>
    </row>
    <row r="4997" spans="3:3" x14ac:dyDescent="0.3">
      <c r="C4997" s="2"/>
    </row>
    <row r="4998" spans="3:3" x14ac:dyDescent="0.3">
      <c r="C4998" s="2"/>
    </row>
    <row r="4999" spans="3:3" x14ac:dyDescent="0.3">
      <c r="C4999" s="2"/>
    </row>
    <row r="5000" spans="3:3" x14ac:dyDescent="0.3">
      <c r="C5000" s="2"/>
    </row>
    <row r="5001" spans="3:3" x14ac:dyDescent="0.3">
      <c r="C5001" s="2"/>
    </row>
    <row r="5002" spans="3:3" x14ac:dyDescent="0.3">
      <c r="C5002" s="2"/>
    </row>
    <row r="5003" spans="3:3" x14ac:dyDescent="0.3">
      <c r="C5003" s="2"/>
    </row>
    <row r="5004" spans="3:3" x14ac:dyDescent="0.3">
      <c r="C5004" s="2"/>
    </row>
    <row r="5005" spans="3:3" x14ac:dyDescent="0.3">
      <c r="C5005" s="2"/>
    </row>
    <row r="5006" spans="3:3" x14ac:dyDescent="0.3">
      <c r="C5006" s="2"/>
    </row>
    <row r="5007" spans="3:3" x14ac:dyDescent="0.3">
      <c r="C5007" s="2"/>
    </row>
    <row r="5008" spans="3:3" x14ac:dyDescent="0.3">
      <c r="C5008" s="2"/>
    </row>
    <row r="5009" spans="3:3" x14ac:dyDescent="0.3">
      <c r="C5009" s="2"/>
    </row>
    <row r="5010" spans="3:3" x14ac:dyDescent="0.3">
      <c r="C5010" s="2"/>
    </row>
    <row r="5011" spans="3:3" x14ac:dyDescent="0.3">
      <c r="C5011" s="2"/>
    </row>
    <row r="5012" spans="3:3" x14ac:dyDescent="0.3">
      <c r="C5012" s="2"/>
    </row>
    <row r="5013" spans="3:3" x14ac:dyDescent="0.3">
      <c r="C5013" s="2"/>
    </row>
    <row r="5014" spans="3:3" x14ac:dyDescent="0.3">
      <c r="C5014" s="2"/>
    </row>
    <row r="5015" spans="3:3" x14ac:dyDescent="0.3">
      <c r="C5015" s="2"/>
    </row>
    <row r="5016" spans="3:3" x14ac:dyDescent="0.3">
      <c r="C5016" s="2"/>
    </row>
    <row r="5017" spans="3:3" x14ac:dyDescent="0.3">
      <c r="C5017" s="2"/>
    </row>
    <row r="5018" spans="3:3" x14ac:dyDescent="0.3">
      <c r="C5018" s="2"/>
    </row>
    <row r="5019" spans="3:3" x14ac:dyDescent="0.3">
      <c r="C5019" s="2"/>
    </row>
    <row r="5020" spans="3:3" x14ac:dyDescent="0.3">
      <c r="C5020" s="2"/>
    </row>
    <row r="5021" spans="3:3" x14ac:dyDescent="0.3">
      <c r="C5021" s="2"/>
    </row>
    <row r="5022" spans="3:3" x14ac:dyDescent="0.3">
      <c r="C5022" s="2"/>
    </row>
    <row r="5023" spans="3:3" x14ac:dyDescent="0.3">
      <c r="C5023" s="2"/>
    </row>
    <row r="5024" spans="3:3" x14ac:dyDescent="0.3">
      <c r="C5024" s="2"/>
    </row>
    <row r="5025" spans="3:3" x14ac:dyDescent="0.3">
      <c r="C5025" s="2"/>
    </row>
    <row r="5026" spans="3:3" x14ac:dyDescent="0.3">
      <c r="C5026" s="2"/>
    </row>
    <row r="5027" spans="3:3" x14ac:dyDescent="0.3">
      <c r="C5027" s="2"/>
    </row>
    <row r="5028" spans="3:3" x14ac:dyDescent="0.3">
      <c r="C5028" s="2"/>
    </row>
    <row r="5029" spans="3:3" x14ac:dyDescent="0.3">
      <c r="C5029" s="2"/>
    </row>
    <row r="5030" spans="3:3" x14ac:dyDescent="0.3">
      <c r="C5030" s="2"/>
    </row>
    <row r="5031" spans="3:3" x14ac:dyDescent="0.3">
      <c r="C5031" s="2"/>
    </row>
    <row r="5032" spans="3:3" x14ac:dyDescent="0.3">
      <c r="C5032" s="2"/>
    </row>
    <row r="5033" spans="3:3" x14ac:dyDescent="0.3">
      <c r="C5033" s="2"/>
    </row>
    <row r="5034" spans="3:3" x14ac:dyDescent="0.3">
      <c r="C5034" s="2"/>
    </row>
    <row r="5035" spans="3:3" x14ac:dyDescent="0.3">
      <c r="C5035" s="2"/>
    </row>
    <row r="5036" spans="3:3" x14ac:dyDescent="0.3">
      <c r="C5036" s="2"/>
    </row>
    <row r="5037" spans="3:3" x14ac:dyDescent="0.3">
      <c r="C5037" s="2"/>
    </row>
    <row r="5038" spans="3:3" x14ac:dyDescent="0.3">
      <c r="C5038" s="2"/>
    </row>
    <row r="5039" spans="3:3" x14ac:dyDescent="0.3">
      <c r="C5039" s="2"/>
    </row>
    <row r="5040" spans="3:3" x14ac:dyDescent="0.3">
      <c r="C5040" s="2"/>
    </row>
    <row r="5041" spans="3:3" x14ac:dyDescent="0.3">
      <c r="C5041" s="2"/>
    </row>
    <row r="5042" spans="3:3" x14ac:dyDescent="0.3">
      <c r="C5042" s="2"/>
    </row>
    <row r="5043" spans="3:3" x14ac:dyDescent="0.3">
      <c r="C5043" s="2"/>
    </row>
    <row r="5044" spans="3:3" x14ac:dyDescent="0.3">
      <c r="C5044" s="2"/>
    </row>
    <row r="5045" spans="3:3" x14ac:dyDescent="0.3">
      <c r="C5045" s="2"/>
    </row>
    <row r="5046" spans="3:3" x14ac:dyDescent="0.3">
      <c r="C5046" s="2"/>
    </row>
    <row r="5047" spans="3:3" x14ac:dyDescent="0.3">
      <c r="C5047" s="2"/>
    </row>
    <row r="5048" spans="3:3" x14ac:dyDescent="0.3">
      <c r="C5048" s="2"/>
    </row>
    <row r="5049" spans="3:3" x14ac:dyDescent="0.3">
      <c r="C5049" s="2"/>
    </row>
    <row r="5050" spans="3:3" x14ac:dyDescent="0.3">
      <c r="C5050" s="2"/>
    </row>
    <row r="5051" spans="3:3" x14ac:dyDescent="0.3">
      <c r="C5051" s="2"/>
    </row>
    <row r="5052" spans="3:3" x14ac:dyDescent="0.3">
      <c r="C5052" s="2"/>
    </row>
    <row r="5053" spans="3:3" x14ac:dyDescent="0.3">
      <c r="C5053" s="2"/>
    </row>
    <row r="5054" spans="3:3" x14ac:dyDescent="0.3">
      <c r="C5054" s="2"/>
    </row>
    <row r="5055" spans="3:3" x14ac:dyDescent="0.3">
      <c r="C5055" s="2"/>
    </row>
    <row r="5056" spans="3:3" x14ac:dyDescent="0.3">
      <c r="C5056" s="2"/>
    </row>
    <row r="5057" spans="3:3" x14ac:dyDescent="0.3">
      <c r="C5057" s="2"/>
    </row>
    <row r="5058" spans="3:3" x14ac:dyDescent="0.3">
      <c r="C5058" s="2"/>
    </row>
    <row r="5059" spans="3:3" x14ac:dyDescent="0.3">
      <c r="C5059" s="2"/>
    </row>
    <row r="5060" spans="3:3" x14ac:dyDescent="0.3">
      <c r="C5060" s="2"/>
    </row>
    <row r="5061" spans="3:3" x14ac:dyDescent="0.3">
      <c r="C5061" s="2"/>
    </row>
    <row r="5062" spans="3:3" x14ac:dyDescent="0.3">
      <c r="C5062" s="2"/>
    </row>
    <row r="5063" spans="3:3" x14ac:dyDescent="0.3">
      <c r="C5063" s="2"/>
    </row>
    <row r="5064" spans="3:3" x14ac:dyDescent="0.3">
      <c r="C5064" s="2"/>
    </row>
    <row r="5065" spans="3:3" x14ac:dyDescent="0.3">
      <c r="C5065" s="2"/>
    </row>
    <row r="5066" spans="3:3" x14ac:dyDescent="0.3">
      <c r="C5066" s="2"/>
    </row>
    <row r="5067" spans="3:3" x14ac:dyDescent="0.3">
      <c r="C5067" s="2"/>
    </row>
    <row r="5068" spans="3:3" x14ac:dyDescent="0.3">
      <c r="C5068" s="2"/>
    </row>
    <row r="5069" spans="3:3" x14ac:dyDescent="0.3">
      <c r="C5069" s="2"/>
    </row>
    <row r="5070" spans="3:3" x14ac:dyDescent="0.3">
      <c r="C5070" s="2"/>
    </row>
    <row r="5071" spans="3:3" x14ac:dyDescent="0.3">
      <c r="C5071" s="2"/>
    </row>
    <row r="5072" spans="3:3" x14ac:dyDescent="0.3">
      <c r="C5072" s="2"/>
    </row>
    <row r="5073" spans="3:3" x14ac:dyDescent="0.3">
      <c r="C5073" s="2"/>
    </row>
    <row r="5074" spans="3:3" x14ac:dyDescent="0.3">
      <c r="C5074" s="2"/>
    </row>
    <row r="5075" spans="3:3" x14ac:dyDescent="0.3">
      <c r="C5075" s="2"/>
    </row>
    <row r="5076" spans="3:3" x14ac:dyDescent="0.3">
      <c r="C5076" s="2"/>
    </row>
    <row r="5077" spans="3:3" x14ac:dyDescent="0.3">
      <c r="C5077" s="2"/>
    </row>
    <row r="5078" spans="3:3" x14ac:dyDescent="0.3">
      <c r="C5078" s="2"/>
    </row>
    <row r="5079" spans="3:3" x14ac:dyDescent="0.3">
      <c r="C5079" s="2"/>
    </row>
    <row r="5080" spans="3:3" x14ac:dyDescent="0.3">
      <c r="C5080" s="2"/>
    </row>
    <row r="5081" spans="3:3" x14ac:dyDescent="0.3">
      <c r="C5081" s="2"/>
    </row>
    <row r="5082" spans="3:3" x14ac:dyDescent="0.3">
      <c r="C5082" s="2"/>
    </row>
    <row r="5083" spans="3:3" x14ac:dyDescent="0.3">
      <c r="C5083" s="2"/>
    </row>
    <row r="5084" spans="3:3" x14ac:dyDescent="0.3">
      <c r="C5084" s="2"/>
    </row>
    <row r="5085" spans="3:3" x14ac:dyDescent="0.3">
      <c r="C5085" s="2"/>
    </row>
    <row r="5086" spans="3:3" x14ac:dyDescent="0.3">
      <c r="C5086" s="2"/>
    </row>
    <row r="5087" spans="3:3" x14ac:dyDescent="0.3">
      <c r="C5087" s="2"/>
    </row>
    <row r="5088" spans="3:3" x14ac:dyDescent="0.3">
      <c r="C5088" s="2"/>
    </row>
    <row r="5089" spans="3:3" x14ac:dyDescent="0.3">
      <c r="C5089" s="2"/>
    </row>
    <row r="5090" spans="3:3" x14ac:dyDescent="0.3">
      <c r="C5090" s="2"/>
    </row>
    <row r="5091" spans="3:3" x14ac:dyDescent="0.3">
      <c r="C5091" s="2"/>
    </row>
    <row r="5092" spans="3:3" x14ac:dyDescent="0.3">
      <c r="C5092" s="2"/>
    </row>
    <row r="5093" spans="3:3" x14ac:dyDescent="0.3">
      <c r="C5093" s="2"/>
    </row>
    <row r="5094" spans="3:3" x14ac:dyDescent="0.3">
      <c r="C5094" s="2"/>
    </row>
    <row r="5095" spans="3:3" x14ac:dyDescent="0.3">
      <c r="C5095" s="2"/>
    </row>
    <row r="5096" spans="3:3" x14ac:dyDescent="0.3">
      <c r="C5096" s="2"/>
    </row>
    <row r="5097" spans="3:3" x14ac:dyDescent="0.3">
      <c r="C5097" s="2"/>
    </row>
    <row r="5098" spans="3:3" x14ac:dyDescent="0.3">
      <c r="C5098" s="2"/>
    </row>
    <row r="5099" spans="3:3" x14ac:dyDescent="0.3">
      <c r="C5099" s="2"/>
    </row>
    <row r="5100" spans="3:3" x14ac:dyDescent="0.3">
      <c r="C5100" s="2"/>
    </row>
    <row r="5101" spans="3:3" x14ac:dyDescent="0.3">
      <c r="C5101" s="2"/>
    </row>
    <row r="5102" spans="3:3" x14ac:dyDescent="0.3">
      <c r="C5102" s="2"/>
    </row>
    <row r="5103" spans="3:3" x14ac:dyDescent="0.3">
      <c r="C5103" s="2"/>
    </row>
    <row r="5104" spans="3:3" x14ac:dyDescent="0.3">
      <c r="C5104" s="2"/>
    </row>
    <row r="5105" spans="3:3" x14ac:dyDescent="0.3">
      <c r="C5105" s="2"/>
    </row>
    <row r="5106" spans="3:3" x14ac:dyDescent="0.3">
      <c r="C5106" s="2"/>
    </row>
    <row r="5107" spans="3:3" x14ac:dyDescent="0.3">
      <c r="C5107" s="2"/>
    </row>
    <row r="5108" spans="3:3" x14ac:dyDescent="0.3">
      <c r="C5108" s="2"/>
    </row>
    <row r="5109" spans="3:3" x14ac:dyDescent="0.3">
      <c r="C5109" s="2"/>
    </row>
    <row r="5110" spans="3:3" x14ac:dyDescent="0.3">
      <c r="C5110" s="2"/>
    </row>
    <row r="5111" spans="3:3" x14ac:dyDescent="0.3">
      <c r="C5111" s="2"/>
    </row>
    <row r="5112" spans="3:3" x14ac:dyDescent="0.3">
      <c r="C5112" s="2"/>
    </row>
    <row r="5113" spans="3:3" x14ac:dyDescent="0.3">
      <c r="C5113" s="2"/>
    </row>
    <row r="5114" spans="3:3" x14ac:dyDescent="0.3">
      <c r="C5114" s="2"/>
    </row>
    <row r="5115" spans="3:3" x14ac:dyDescent="0.3">
      <c r="C5115" s="2"/>
    </row>
    <row r="5116" spans="3:3" x14ac:dyDescent="0.3">
      <c r="C5116" s="2"/>
    </row>
    <row r="5117" spans="3:3" x14ac:dyDescent="0.3">
      <c r="C5117" s="2"/>
    </row>
    <row r="5118" spans="3:3" x14ac:dyDescent="0.3">
      <c r="C5118" s="2"/>
    </row>
    <row r="5119" spans="3:3" x14ac:dyDescent="0.3">
      <c r="C5119" s="2"/>
    </row>
    <row r="5120" spans="3:3" x14ac:dyDescent="0.3">
      <c r="C5120" s="2"/>
    </row>
    <row r="5121" spans="3:3" x14ac:dyDescent="0.3">
      <c r="C5121" s="2"/>
    </row>
    <row r="5122" spans="3:3" x14ac:dyDescent="0.3">
      <c r="C5122" s="2"/>
    </row>
    <row r="5123" spans="3:3" x14ac:dyDescent="0.3">
      <c r="C5123" s="2"/>
    </row>
    <row r="5124" spans="3:3" x14ac:dyDescent="0.3">
      <c r="C5124" s="2"/>
    </row>
    <row r="5125" spans="3:3" x14ac:dyDescent="0.3">
      <c r="C5125" s="2"/>
    </row>
    <row r="5126" spans="3:3" x14ac:dyDescent="0.3">
      <c r="C5126" s="2"/>
    </row>
    <row r="5127" spans="3:3" x14ac:dyDescent="0.3">
      <c r="C5127" s="2"/>
    </row>
    <row r="5128" spans="3:3" x14ac:dyDescent="0.3">
      <c r="C5128" s="2"/>
    </row>
    <row r="5129" spans="3:3" x14ac:dyDescent="0.3">
      <c r="C5129" s="2"/>
    </row>
    <row r="5130" spans="3:3" x14ac:dyDescent="0.3">
      <c r="C5130" s="2"/>
    </row>
    <row r="5131" spans="3:3" x14ac:dyDescent="0.3">
      <c r="C5131" s="2"/>
    </row>
    <row r="5132" spans="3:3" x14ac:dyDescent="0.3">
      <c r="C5132" s="2"/>
    </row>
    <row r="5133" spans="3:3" x14ac:dyDescent="0.3">
      <c r="C5133" s="2"/>
    </row>
    <row r="5134" spans="3:3" x14ac:dyDescent="0.3">
      <c r="C5134" s="2"/>
    </row>
    <row r="5135" spans="3:3" x14ac:dyDescent="0.3">
      <c r="C5135" s="2"/>
    </row>
    <row r="5136" spans="3:3" x14ac:dyDescent="0.3">
      <c r="C5136" s="2"/>
    </row>
    <row r="5137" spans="3:3" x14ac:dyDescent="0.3">
      <c r="C5137" s="2"/>
    </row>
    <row r="5138" spans="3:3" x14ac:dyDescent="0.3">
      <c r="C5138" s="2"/>
    </row>
    <row r="5139" spans="3:3" x14ac:dyDescent="0.3">
      <c r="C5139" s="2"/>
    </row>
    <row r="5140" spans="3:3" x14ac:dyDescent="0.3">
      <c r="C5140" s="2"/>
    </row>
    <row r="5141" spans="3:3" x14ac:dyDescent="0.3">
      <c r="C5141" s="2"/>
    </row>
    <row r="5142" spans="3:3" x14ac:dyDescent="0.3">
      <c r="C5142" s="2"/>
    </row>
    <row r="5143" spans="3:3" x14ac:dyDescent="0.3">
      <c r="C5143" s="2"/>
    </row>
    <row r="5144" spans="3:3" x14ac:dyDescent="0.3">
      <c r="C5144" s="2"/>
    </row>
    <row r="5145" spans="3:3" x14ac:dyDescent="0.3">
      <c r="C5145" s="2"/>
    </row>
    <row r="5146" spans="3:3" x14ac:dyDescent="0.3">
      <c r="C5146" s="2"/>
    </row>
    <row r="5147" spans="3:3" x14ac:dyDescent="0.3">
      <c r="C5147" s="2"/>
    </row>
    <row r="5148" spans="3:3" x14ac:dyDescent="0.3">
      <c r="C5148" s="2"/>
    </row>
    <row r="5149" spans="3:3" x14ac:dyDescent="0.3">
      <c r="C5149" s="2"/>
    </row>
    <row r="5150" spans="3:3" x14ac:dyDescent="0.3">
      <c r="C5150" s="2"/>
    </row>
    <row r="5151" spans="3:3" x14ac:dyDescent="0.3">
      <c r="C5151" s="2"/>
    </row>
    <row r="5152" spans="3:3" x14ac:dyDescent="0.3">
      <c r="C5152" s="2"/>
    </row>
    <row r="5153" spans="3:3" x14ac:dyDescent="0.3">
      <c r="C5153" s="2"/>
    </row>
    <row r="5154" spans="3:3" x14ac:dyDescent="0.3">
      <c r="C5154" s="2"/>
    </row>
    <row r="5155" spans="3:3" x14ac:dyDescent="0.3">
      <c r="C5155" s="2"/>
    </row>
    <row r="5156" spans="3:3" x14ac:dyDescent="0.3">
      <c r="C5156" s="2"/>
    </row>
    <row r="5157" spans="3:3" x14ac:dyDescent="0.3">
      <c r="C5157" s="2"/>
    </row>
    <row r="5158" spans="3:3" x14ac:dyDescent="0.3">
      <c r="C5158" s="2"/>
    </row>
    <row r="5159" spans="3:3" x14ac:dyDescent="0.3">
      <c r="C5159" s="2"/>
    </row>
    <row r="5160" spans="3:3" x14ac:dyDescent="0.3">
      <c r="C5160" s="2"/>
    </row>
    <row r="5161" spans="3:3" x14ac:dyDescent="0.3">
      <c r="C5161" s="2"/>
    </row>
    <row r="5162" spans="3:3" x14ac:dyDescent="0.3">
      <c r="C5162" s="2"/>
    </row>
    <row r="5163" spans="3:3" x14ac:dyDescent="0.3">
      <c r="C5163" s="2"/>
    </row>
    <row r="5164" spans="3:3" x14ac:dyDescent="0.3">
      <c r="C5164" s="2"/>
    </row>
    <row r="5165" spans="3:3" x14ac:dyDescent="0.3">
      <c r="C5165" s="2"/>
    </row>
    <row r="5166" spans="3:3" x14ac:dyDescent="0.3">
      <c r="C5166" s="2"/>
    </row>
    <row r="5167" spans="3:3" x14ac:dyDescent="0.3">
      <c r="C5167" s="2"/>
    </row>
    <row r="5168" spans="3:3" x14ac:dyDescent="0.3">
      <c r="C5168" s="2"/>
    </row>
    <row r="5169" spans="3:3" x14ac:dyDescent="0.3">
      <c r="C5169" s="2"/>
    </row>
    <row r="5170" spans="3:3" x14ac:dyDescent="0.3">
      <c r="C5170" s="2"/>
    </row>
    <row r="5171" spans="3:3" x14ac:dyDescent="0.3">
      <c r="C5171" s="2"/>
    </row>
    <row r="5172" spans="3:3" x14ac:dyDescent="0.3">
      <c r="C5172" s="2"/>
    </row>
    <row r="5173" spans="3:3" x14ac:dyDescent="0.3">
      <c r="C5173" s="2"/>
    </row>
    <row r="5174" spans="3:3" x14ac:dyDescent="0.3">
      <c r="C5174" s="2"/>
    </row>
    <row r="5175" spans="3:3" x14ac:dyDescent="0.3">
      <c r="C5175" s="2"/>
    </row>
    <row r="5176" spans="3:3" x14ac:dyDescent="0.3">
      <c r="C5176" s="2"/>
    </row>
    <row r="5177" spans="3:3" x14ac:dyDescent="0.3">
      <c r="C5177" s="2"/>
    </row>
    <row r="5178" spans="3:3" x14ac:dyDescent="0.3">
      <c r="C5178" s="2"/>
    </row>
    <row r="5179" spans="3:3" x14ac:dyDescent="0.3">
      <c r="C5179" s="2"/>
    </row>
    <row r="5180" spans="3:3" x14ac:dyDescent="0.3">
      <c r="C5180" s="2"/>
    </row>
    <row r="5181" spans="3:3" x14ac:dyDescent="0.3">
      <c r="C5181" s="2"/>
    </row>
    <row r="5182" spans="3:3" x14ac:dyDescent="0.3">
      <c r="C5182" s="2"/>
    </row>
    <row r="5183" spans="3:3" x14ac:dyDescent="0.3">
      <c r="C5183" s="2"/>
    </row>
    <row r="5184" spans="3:3" x14ac:dyDescent="0.3">
      <c r="C5184" s="2"/>
    </row>
    <row r="5185" spans="3:3" x14ac:dyDescent="0.3">
      <c r="C5185" s="2"/>
    </row>
    <row r="5186" spans="3:3" x14ac:dyDescent="0.3">
      <c r="C5186" s="2"/>
    </row>
    <row r="5187" spans="3:3" x14ac:dyDescent="0.3">
      <c r="C5187" s="2"/>
    </row>
    <row r="5188" spans="3:3" x14ac:dyDescent="0.3">
      <c r="C5188" s="2"/>
    </row>
    <row r="5189" spans="3:3" x14ac:dyDescent="0.3">
      <c r="C5189" s="2"/>
    </row>
    <row r="5190" spans="3:3" x14ac:dyDescent="0.3">
      <c r="C5190" s="2"/>
    </row>
    <row r="5191" spans="3:3" x14ac:dyDescent="0.3">
      <c r="C5191" s="2"/>
    </row>
    <row r="5192" spans="3:3" x14ac:dyDescent="0.3">
      <c r="C5192" s="2"/>
    </row>
    <row r="5193" spans="3:3" x14ac:dyDescent="0.3">
      <c r="C5193" s="2"/>
    </row>
    <row r="5194" spans="3:3" x14ac:dyDescent="0.3">
      <c r="C5194" s="2"/>
    </row>
    <row r="5195" spans="3:3" x14ac:dyDescent="0.3">
      <c r="C5195" s="2"/>
    </row>
    <row r="5196" spans="3:3" x14ac:dyDescent="0.3">
      <c r="C5196" s="2"/>
    </row>
    <row r="5197" spans="3:3" x14ac:dyDescent="0.3">
      <c r="C5197" s="2"/>
    </row>
    <row r="5198" spans="3:3" x14ac:dyDescent="0.3">
      <c r="C5198" s="2"/>
    </row>
    <row r="5199" spans="3:3" x14ac:dyDescent="0.3">
      <c r="C5199" s="2"/>
    </row>
    <row r="5200" spans="3:3" x14ac:dyDescent="0.3">
      <c r="C5200" s="2"/>
    </row>
    <row r="5201" spans="3:3" x14ac:dyDescent="0.3">
      <c r="C5201" s="2"/>
    </row>
    <row r="5202" spans="3:3" x14ac:dyDescent="0.3">
      <c r="C5202" s="2"/>
    </row>
    <row r="5203" spans="3:3" x14ac:dyDescent="0.3">
      <c r="C5203" s="2"/>
    </row>
    <row r="5204" spans="3:3" x14ac:dyDescent="0.3">
      <c r="C5204" s="2"/>
    </row>
    <row r="5205" spans="3:3" x14ac:dyDescent="0.3">
      <c r="C5205" s="2"/>
    </row>
    <row r="5206" spans="3:3" x14ac:dyDescent="0.3">
      <c r="C5206" s="2"/>
    </row>
    <row r="5207" spans="3:3" x14ac:dyDescent="0.3">
      <c r="C5207" s="2"/>
    </row>
    <row r="5208" spans="3:3" x14ac:dyDescent="0.3">
      <c r="C5208" s="2"/>
    </row>
    <row r="5209" spans="3:3" x14ac:dyDescent="0.3">
      <c r="C5209" s="2"/>
    </row>
    <row r="5210" spans="3:3" x14ac:dyDescent="0.3">
      <c r="C5210" s="2"/>
    </row>
    <row r="5211" spans="3:3" x14ac:dyDescent="0.3">
      <c r="C5211" s="2"/>
    </row>
    <row r="5212" spans="3:3" x14ac:dyDescent="0.3">
      <c r="C5212" s="2"/>
    </row>
    <row r="5213" spans="3:3" x14ac:dyDescent="0.3">
      <c r="C5213" s="2"/>
    </row>
    <row r="5214" spans="3:3" x14ac:dyDescent="0.3">
      <c r="C5214" s="2"/>
    </row>
    <row r="5215" spans="3:3" x14ac:dyDescent="0.3">
      <c r="C5215" s="2"/>
    </row>
    <row r="5216" spans="3:3" x14ac:dyDescent="0.3">
      <c r="C5216" s="2"/>
    </row>
    <row r="5217" spans="3:3" x14ac:dyDescent="0.3">
      <c r="C5217" s="2"/>
    </row>
    <row r="5218" spans="3:3" x14ac:dyDescent="0.3">
      <c r="C5218" s="2"/>
    </row>
    <row r="5219" spans="3:3" x14ac:dyDescent="0.3">
      <c r="C5219" s="2"/>
    </row>
    <row r="5220" spans="3:3" x14ac:dyDescent="0.3">
      <c r="C5220" s="2"/>
    </row>
    <row r="5221" spans="3:3" x14ac:dyDescent="0.3">
      <c r="C5221" s="2"/>
    </row>
    <row r="5222" spans="3:3" x14ac:dyDescent="0.3">
      <c r="C5222" s="2"/>
    </row>
    <row r="5223" spans="3:3" x14ac:dyDescent="0.3">
      <c r="C5223" s="2"/>
    </row>
    <row r="5224" spans="3:3" x14ac:dyDescent="0.3">
      <c r="C5224" s="2"/>
    </row>
    <row r="5225" spans="3:3" x14ac:dyDescent="0.3">
      <c r="C5225" s="2"/>
    </row>
    <row r="5226" spans="3:3" x14ac:dyDescent="0.3">
      <c r="C5226" s="2"/>
    </row>
    <row r="5227" spans="3:3" x14ac:dyDescent="0.3">
      <c r="C5227" s="2"/>
    </row>
    <row r="5228" spans="3:3" x14ac:dyDescent="0.3">
      <c r="C5228" s="2"/>
    </row>
    <row r="5229" spans="3:3" x14ac:dyDescent="0.3">
      <c r="C5229" s="2"/>
    </row>
    <row r="5230" spans="3:3" x14ac:dyDescent="0.3">
      <c r="C5230" s="2"/>
    </row>
    <row r="5231" spans="3:3" x14ac:dyDescent="0.3">
      <c r="C5231" s="2"/>
    </row>
    <row r="5232" spans="3:3" x14ac:dyDescent="0.3">
      <c r="C5232" s="2"/>
    </row>
    <row r="5233" spans="3:3" x14ac:dyDescent="0.3">
      <c r="C5233" s="2"/>
    </row>
    <row r="5234" spans="3:3" x14ac:dyDescent="0.3">
      <c r="C5234" s="2"/>
    </row>
    <row r="5235" spans="3:3" x14ac:dyDescent="0.3">
      <c r="C5235" s="2"/>
    </row>
    <row r="5236" spans="3:3" x14ac:dyDescent="0.3">
      <c r="C5236" s="2"/>
    </row>
    <row r="5237" spans="3:3" x14ac:dyDescent="0.3">
      <c r="C5237" s="2"/>
    </row>
    <row r="5238" spans="3:3" x14ac:dyDescent="0.3">
      <c r="C5238" s="2"/>
    </row>
    <row r="5239" spans="3:3" x14ac:dyDescent="0.3">
      <c r="C5239" s="2"/>
    </row>
    <row r="5240" spans="3:3" x14ac:dyDescent="0.3">
      <c r="C5240" s="2"/>
    </row>
    <row r="5241" spans="3:3" x14ac:dyDescent="0.3">
      <c r="C5241" s="2"/>
    </row>
    <row r="5242" spans="3:3" x14ac:dyDescent="0.3">
      <c r="C5242" s="2"/>
    </row>
    <row r="5243" spans="3:3" x14ac:dyDescent="0.3">
      <c r="C5243" s="2"/>
    </row>
    <row r="5244" spans="3:3" x14ac:dyDescent="0.3">
      <c r="C5244" s="2"/>
    </row>
    <row r="5245" spans="3:3" x14ac:dyDescent="0.3">
      <c r="C5245" s="2"/>
    </row>
    <row r="5246" spans="3:3" x14ac:dyDescent="0.3">
      <c r="C5246" s="2"/>
    </row>
    <row r="5247" spans="3:3" x14ac:dyDescent="0.3">
      <c r="C5247" s="2"/>
    </row>
    <row r="5248" spans="3:3" x14ac:dyDescent="0.3">
      <c r="C5248" s="2"/>
    </row>
    <row r="5249" spans="3:3" x14ac:dyDescent="0.3">
      <c r="C5249" s="2"/>
    </row>
    <row r="5250" spans="3:3" x14ac:dyDescent="0.3">
      <c r="C5250" s="2"/>
    </row>
    <row r="5251" spans="3:3" x14ac:dyDescent="0.3">
      <c r="C5251" s="2"/>
    </row>
    <row r="5252" spans="3:3" x14ac:dyDescent="0.3">
      <c r="C5252" s="2"/>
    </row>
    <row r="5253" spans="3:3" x14ac:dyDescent="0.3">
      <c r="C5253" s="2"/>
    </row>
    <row r="5254" spans="3:3" x14ac:dyDescent="0.3">
      <c r="C5254" s="2"/>
    </row>
    <row r="5255" spans="3:3" x14ac:dyDescent="0.3">
      <c r="C5255" s="2"/>
    </row>
    <row r="5256" spans="3:3" x14ac:dyDescent="0.3">
      <c r="C5256" s="2"/>
    </row>
    <row r="5257" spans="3:3" x14ac:dyDescent="0.3">
      <c r="C5257" s="2"/>
    </row>
    <row r="5258" spans="3:3" x14ac:dyDescent="0.3">
      <c r="C5258" s="2"/>
    </row>
    <row r="5259" spans="3:3" x14ac:dyDescent="0.3">
      <c r="C5259" s="2"/>
    </row>
    <row r="5260" spans="3:3" x14ac:dyDescent="0.3">
      <c r="C5260" s="2"/>
    </row>
    <row r="5261" spans="3:3" x14ac:dyDescent="0.3">
      <c r="C5261" s="2"/>
    </row>
    <row r="5262" spans="3:3" x14ac:dyDescent="0.3">
      <c r="C5262" s="2"/>
    </row>
    <row r="5263" spans="3:3" x14ac:dyDescent="0.3">
      <c r="C5263" s="2"/>
    </row>
    <row r="5264" spans="3:3" x14ac:dyDescent="0.3">
      <c r="C5264" s="2"/>
    </row>
    <row r="5265" spans="3:3" x14ac:dyDescent="0.3">
      <c r="C5265" s="2"/>
    </row>
    <row r="5266" spans="3:3" x14ac:dyDescent="0.3">
      <c r="C5266" s="2"/>
    </row>
    <row r="5267" spans="3:3" x14ac:dyDescent="0.3">
      <c r="C5267" s="2"/>
    </row>
    <row r="5268" spans="3:3" x14ac:dyDescent="0.3">
      <c r="C5268" s="2"/>
    </row>
    <row r="5269" spans="3:3" x14ac:dyDescent="0.3">
      <c r="C5269" s="2"/>
    </row>
    <row r="5270" spans="3:3" x14ac:dyDescent="0.3">
      <c r="C5270" s="2"/>
    </row>
    <row r="5271" spans="3:3" x14ac:dyDescent="0.3">
      <c r="C5271" s="2"/>
    </row>
    <row r="5272" spans="3:3" x14ac:dyDescent="0.3">
      <c r="C5272" s="2"/>
    </row>
    <row r="5273" spans="3:3" x14ac:dyDescent="0.3">
      <c r="C5273" s="2"/>
    </row>
    <row r="5274" spans="3:3" x14ac:dyDescent="0.3">
      <c r="C5274" s="2"/>
    </row>
    <row r="5275" spans="3:3" x14ac:dyDescent="0.3">
      <c r="C5275" s="2"/>
    </row>
    <row r="5276" spans="3:3" x14ac:dyDescent="0.3">
      <c r="C5276" s="2"/>
    </row>
    <row r="5277" spans="3:3" x14ac:dyDescent="0.3">
      <c r="C5277" s="2"/>
    </row>
    <row r="5278" spans="3:3" x14ac:dyDescent="0.3">
      <c r="C5278" s="2"/>
    </row>
    <row r="5279" spans="3:3" x14ac:dyDescent="0.3">
      <c r="C5279" s="2"/>
    </row>
    <row r="5280" spans="3:3" x14ac:dyDescent="0.3">
      <c r="C5280" s="2"/>
    </row>
    <row r="5281" spans="3:3" x14ac:dyDescent="0.3">
      <c r="C5281" s="2"/>
    </row>
    <row r="5282" spans="3:3" x14ac:dyDescent="0.3">
      <c r="C5282" s="2"/>
    </row>
    <row r="5283" spans="3:3" x14ac:dyDescent="0.3">
      <c r="C5283" s="2"/>
    </row>
    <row r="5284" spans="3:3" x14ac:dyDescent="0.3">
      <c r="C5284" s="2"/>
    </row>
    <row r="5285" spans="3:3" x14ac:dyDescent="0.3">
      <c r="C5285" s="2"/>
    </row>
    <row r="5286" spans="3:3" x14ac:dyDescent="0.3">
      <c r="C5286" s="2"/>
    </row>
    <row r="5287" spans="3:3" x14ac:dyDescent="0.3">
      <c r="C5287" s="2"/>
    </row>
    <row r="5288" spans="3:3" x14ac:dyDescent="0.3">
      <c r="C5288" s="2"/>
    </row>
    <row r="5289" spans="3:3" x14ac:dyDescent="0.3">
      <c r="C5289" s="2"/>
    </row>
    <row r="5290" spans="3:3" x14ac:dyDescent="0.3">
      <c r="C5290" s="2"/>
    </row>
    <row r="5291" spans="3:3" x14ac:dyDescent="0.3">
      <c r="C5291" s="2"/>
    </row>
    <row r="5292" spans="3:3" x14ac:dyDescent="0.3">
      <c r="C5292" s="2"/>
    </row>
    <row r="5293" spans="3:3" x14ac:dyDescent="0.3">
      <c r="C5293" s="2"/>
    </row>
    <row r="5294" spans="3:3" x14ac:dyDescent="0.3">
      <c r="C5294" s="2"/>
    </row>
    <row r="5295" spans="3:3" x14ac:dyDescent="0.3">
      <c r="C5295" s="2"/>
    </row>
    <row r="5296" spans="3:3" x14ac:dyDescent="0.3">
      <c r="C5296" s="2"/>
    </row>
    <row r="5297" spans="3:3" x14ac:dyDescent="0.3">
      <c r="C5297" s="2"/>
    </row>
    <row r="5298" spans="3:3" x14ac:dyDescent="0.3">
      <c r="C5298" s="2"/>
    </row>
    <row r="5299" spans="3:3" x14ac:dyDescent="0.3">
      <c r="C5299" s="2"/>
    </row>
    <row r="5300" spans="3:3" x14ac:dyDescent="0.3">
      <c r="C5300" s="2"/>
    </row>
    <row r="5301" spans="3:3" x14ac:dyDescent="0.3">
      <c r="C5301" s="2"/>
    </row>
    <row r="5302" spans="3:3" x14ac:dyDescent="0.3">
      <c r="C5302" s="2"/>
    </row>
    <row r="5303" spans="3:3" x14ac:dyDescent="0.3">
      <c r="C5303" s="2"/>
    </row>
    <row r="5304" spans="3:3" x14ac:dyDescent="0.3">
      <c r="C5304" s="2"/>
    </row>
    <row r="5305" spans="3:3" x14ac:dyDescent="0.3">
      <c r="C5305" s="2"/>
    </row>
    <row r="5306" spans="3:3" x14ac:dyDescent="0.3">
      <c r="C5306" s="2"/>
    </row>
    <row r="5307" spans="3:3" x14ac:dyDescent="0.3">
      <c r="C5307" s="2"/>
    </row>
    <row r="5308" spans="3:3" x14ac:dyDescent="0.3">
      <c r="C5308" s="2"/>
    </row>
    <row r="5309" spans="3:3" x14ac:dyDescent="0.3">
      <c r="C5309" s="2"/>
    </row>
    <row r="5310" spans="3:3" x14ac:dyDescent="0.3">
      <c r="C5310" s="2"/>
    </row>
    <row r="5311" spans="3:3" x14ac:dyDescent="0.3">
      <c r="C5311" s="2"/>
    </row>
    <row r="5312" spans="3:3" x14ac:dyDescent="0.3">
      <c r="C5312" s="2"/>
    </row>
    <row r="5313" spans="3:3" x14ac:dyDescent="0.3">
      <c r="C5313" s="2"/>
    </row>
    <row r="5314" spans="3:3" x14ac:dyDescent="0.3">
      <c r="C5314" s="2"/>
    </row>
    <row r="5315" spans="3:3" x14ac:dyDescent="0.3">
      <c r="C5315" s="2"/>
    </row>
    <row r="5316" spans="3:3" x14ac:dyDescent="0.3">
      <c r="C5316" s="2"/>
    </row>
    <row r="5317" spans="3:3" x14ac:dyDescent="0.3">
      <c r="C5317" s="2"/>
    </row>
    <row r="5318" spans="3:3" x14ac:dyDescent="0.3">
      <c r="C5318" s="2"/>
    </row>
    <row r="5319" spans="3:3" x14ac:dyDescent="0.3">
      <c r="C5319" s="2"/>
    </row>
    <row r="5320" spans="3:3" x14ac:dyDescent="0.3">
      <c r="C5320" s="2"/>
    </row>
    <row r="5321" spans="3:3" x14ac:dyDescent="0.3">
      <c r="C5321" s="2"/>
    </row>
    <row r="5322" spans="3:3" x14ac:dyDescent="0.3">
      <c r="C5322" s="2"/>
    </row>
    <row r="5323" spans="3:3" x14ac:dyDescent="0.3">
      <c r="C5323" s="2"/>
    </row>
    <row r="5324" spans="3:3" x14ac:dyDescent="0.3">
      <c r="C5324" s="2"/>
    </row>
    <row r="5325" spans="3:3" x14ac:dyDescent="0.3">
      <c r="C5325" s="2"/>
    </row>
    <row r="5326" spans="3:3" x14ac:dyDescent="0.3">
      <c r="C5326" s="2"/>
    </row>
    <row r="5327" spans="3:3" x14ac:dyDescent="0.3">
      <c r="C5327" s="2"/>
    </row>
    <row r="5328" spans="3:3" x14ac:dyDescent="0.3">
      <c r="C5328" s="2"/>
    </row>
    <row r="5329" spans="3:3" x14ac:dyDescent="0.3">
      <c r="C5329" s="2"/>
    </row>
    <row r="5330" spans="3:3" x14ac:dyDescent="0.3">
      <c r="C5330" s="2"/>
    </row>
    <row r="5331" spans="3:3" x14ac:dyDescent="0.3">
      <c r="C5331" s="2"/>
    </row>
    <row r="5332" spans="3:3" x14ac:dyDescent="0.3">
      <c r="C5332" s="2"/>
    </row>
    <row r="5333" spans="3:3" x14ac:dyDescent="0.3">
      <c r="C5333" s="2"/>
    </row>
    <row r="5334" spans="3:3" x14ac:dyDescent="0.3">
      <c r="C5334" s="2"/>
    </row>
    <row r="5335" spans="3:3" x14ac:dyDescent="0.3">
      <c r="C5335" s="2"/>
    </row>
    <row r="5336" spans="3:3" x14ac:dyDescent="0.3">
      <c r="C5336" s="2"/>
    </row>
    <row r="5337" spans="3:3" x14ac:dyDescent="0.3">
      <c r="C5337" s="2"/>
    </row>
    <row r="5338" spans="3:3" x14ac:dyDescent="0.3">
      <c r="C5338" s="2"/>
    </row>
    <row r="5339" spans="3:3" x14ac:dyDescent="0.3">
      <c r="C5339" s="2"/>
    </row>
    <row r="5340" spans="3:3" x14ac:dyDescent="0.3">
      <c r="C5340" s="2"/>
    </row>
    <row r="5341" spans="3:3" x14ac:dyDescent="0.3">
      <c r="C5341" s="2"/>
    </row>
    <row r="5342" spans="3:3" x14ac:dyDescent="0.3">
      <c r="C5342" s="2"/>
    </row>
    <row r="5343" spans="3:3" x14ac:dyDescent="0.3">
      <c r="C5343" s="2"/>
    </row>
    <row r="5344" spans="3:3" x14ac:dyDescent="0.3">
      <c r="C5344" s="2"/>
    </row>
    <row r="5345" spans="3:3" x14ac:dyDescent="0.3">
      <c r="C5345" s="2"/>
    </row>
    <row r="5346" spans="3:3" x14ac:dyDescent="0.3">
      <c r="C5346" s="2"/>
    </row>
    <row r="5347" spans="3:3" x14ac:dyDescent="0.3">
      <c r="C5347" s="2"/>
    </row>
    <row r="5348" spans="3:3" x14ac:dyDescent="0.3">
      <c r="C5348" s="2"/>
    </row>
    <row r="5349" spans="3:3" x14ac:dyDescent="0.3">
      <c r="C5349" s="2"/>
    </row>
    <row r="5350" spans="3:3" x14ac:dyDescent="0.3">
      <c r="C5350" s="2"/>
    </row>
    <row r="5351" spans="3:3" x14ac:dyDescent="0.3">
      <c r="C5351" s="2"/>
    </row>
    <row r="5352" spans="3:3" x14ac:dyDescent="0.3">
      <c r="C5352" s="2"/>
    </row>
    <row r="5353" spans="3:3" x14ac:dyDescent="0.3">
      <c r="C5353" s="2"/>
    </row>
    <row r="5354" spans="3:3" x14ac:dyDescent="0.3">
      <c r="C5354" s="2"/>
    </row>
    <row r="5355" spans="3:3" x14ac:dyDescent="0.3">
      <c r="C5355" s="2"/>
    </row>
    <row r="5356" spans="3:3" x14ac:dyDescent="0.3">
      <c r="C5356" s="2"/>
    </row>
    <row r="5357" spans="3:3" x14ac:dyDescent="0.3">
      <c r="C5357" s="2"/>
    </row>
    <row r="5358" spans="3:3" x14ac:dyDescent="0.3">
      <c r="C5358" s="2"/>
    </row>
    <row r="5359" spans="3:3" x14ac:dyDescent="0.3">
      <c r="C5359" s="2"/>
    </row>
    <row r="5360" spans="3:3" x14ac:dyDescent="0.3">
      <c r="C5360" s="2"/>
    </row>
    <row r="5361" spans="3:3" x14ac:dyDescent="0.3">
      <c r="C5361" s="2"/>
    </row>
    <row r="5362" spans="3:3" x14ac:dyDescent="0.3">
      <c r="C5362" s="2"/>
    </row>
    <row r="5363" spans="3:3" x14ac:dyDescent="0.3">
      <c r="C5363" s="2"/>
    </row>
    <row r="5364" spans="3:3" x14ac:dyDescent="0.3">
      <c r="C5364" s="2"/>
    </row>
    <row r="5365" spans="3:3" x14ac:dyDescent="0.3">
      <c r="C5365" s="2"/>
    </row>
    <row r="5366" spans="3:3" x14ac:dyDescent="0.3">
      <c r="C5366" s="2"/>
    </row>
    <row r="5367" spans="3:3" x14ac:dyDescent="0.3">
      <c r="C5367" s="2"/>
    </row>
    <row r="5368" spans="3:3" x14ac:dyDescent="0.3">
      <c r="C5368" s="2"/>
    </row>
    <row r="5369" spans="3:3" x14ac:dyDescent="0.3">
      <c r="C5369" s="2"/>
    </row>
    <row r="5370" spans="3:3" x14ac:dyDescent="0.3">
      <c r="C5370" s="2"/>
    </row>
    <row r="5371" spans="3:3" x14ac:dyDescent="0.3">
      <c r="C5371" s="2"/>
    </row>
    <row r="5372" spans="3:3" x14ac:dyDescent="0.3">
      <c r="C5372" s="2"/>
    </row>
    <row r="5373" spans="3:3" x14ac:dyDescent="0.3">
      <c r="C5373" s="2"/>
    </row>
    <row r="5374" spans="3:3" x14ac:dyDescent="0.3">
      <c r="C5374" s="2"/>
    </row>
    <row r="5375" spans="3:3" x14ac:dyDescent="0.3">
      <c r="C5375" s="2"/>
    </row>
    <row r="5376" spans="3:3" x14ac:dyDescent="0.3">
      <c r="C5376" s="2"/>
    </row>
    <row r="5377" spans="3:3" x14ac:dyDescent="0.3">
      <c r="C5377" s="2"/>
    </row>
    <row r="5378" spans="3:3" x14ac:dyDescent="0.3">
      <c r="C5378" s="2"/>
    </row>
    <row r="5379" spans="3:3" x14ac:dyDescent="0.3">
      <c r="C5379" s="2"/>
    </row>
    <row r="5380" spans="3:3" x14ac:dyDescent="0.3">
      <c r="C5380" s="2"/>
    </row>
    <row r="5381" spans="3:3" x14ac:dyDescent="0.3">
      <c r="C5381" s="2"/>
    </row>
    <row r="5382" spans="3:3" x14ac:dyDescent="0.3">
      <c r="C5382" s="2"/>
    </row>
    <row r="5383" spans="3:3" x14ac:dyDescent="0.3">
      <c r="C5383" s="2"/>
    </row>
    <row r="5384" spans="3:3" x14ac:dyDescent="0.3">
      <c r="C5384" s="2"/>
    </row>
    <row r="5385" spans="3:3" x14ac:dyDescent="0.3">
      <c r="C5385" s="2"/>
    </row>
    <row r="5386" spans="3:3" x14ac:dyDescent="0.3">
      <c r="C5386" s="2"/>
    </row>
    <row r="5387" spans="3:3" x14ac:dyDescent="0.3">
      <c r="C5387" s="2"/>
    </row>
    <row r="5388" spans="3:3" x14ac:dyDescent="0.3">
      <c r="C5388" s="2"/>
    </row>
    <row r="5389" spans="3:3" x14ac:dyDescent="0.3">
      <c r="C5389" s="2"/>
    </row>
    <row r="5390" spans="3:3" x14ac:dyDescent="0.3">
      <c r="C5390" s="2"/>
    </row>
    <row r="5391" spans="3:3" x14ac:dyDescent="0.3">
      <c r="C5391" s="2"/>
    </row>
    <row r="5392" spans="3:3" x14ac:dyDescent="0.3">
      <c r="C5392" s="2"/>
    </row>
    <row r="5393" spans="3:3" x14ac:dyDescent="0.3">
      <c r="C5393" s="2"/>
    </row>
    <row r="5394" spans="3:3" x14ac:dyDescent="0.3">
      <c r="C5394" s="2"/>
    </row>
    <row r="5395" spans="3:3" x14ac:dyDescent="0.3">
      <c r="C5395" s="2"/>
    </row>
    <row r="5396" spans="3:3" x14ac:dyDescent="0.3">
      <c r="C5396" s="2"/>
    </row>
    <row r="5397" spans="3:3" x14ac:dyDescent="0.3">
      <c r="C5397" s="2"/>
    </row>
    <row r="5398" spans="3:3" x14ac:dyDescent="0.3">
      <c r="C5398" s="2"/>
    </row>
    <row r="5399" spans="3:3" x14ac:dyDescent="0.3">
      <c r="C5399" s="2"/>
    </row>
    <row r="5400" spans="3:3" x14ac:dyDescent="0.3">
      <c r="C5400" s="2"/>
    </row>
    <row r="5401" spans="3:3" x14ac:dyDescent="0.3">
      <c r="C5401" s="2"/>
    </row>
    <row r="5402" spans="3:3" x14ac:dyDescent="0.3">
      <c r="C5402" s="2"/>
    </row>
    <row r="5403" spans="3:3" x14ac:dyDescent="0.3">
      <c r="C5403" s="2"/>
    </row>
    <row r="5404" spans="3:3" x14ac:dyDescent="0.3">
      <c r="C5404" s="2"/>
    </row>
    <row r="5405" spans="3:3" x14ac:dyDescent="0.3">
      <c r="C5405" s="2"/>
    </row>
    <row r="5406" spans="3:3" x14ac:dyDescent="0.3">
      <c r="C5406" s="2"/>
    </row>
    <row r="5407" spans="3:3" x14ac:dyDescent="0.3">
      <c r="C5407" s="2"/>
    </row>
    <row r="5408" spans="3:3" x14ac:dyDescent="0.3">
      <c r="C5408" s="2"/>
    </row>
    <row r="5409" spans="3:3" x14ac:dyDescent="0.3">
      <c r="C5409" s="2"/>
    </row>
    <row r="5410" spans="3:3" x14ac:dyDescent="0.3">
      <c r="C5410" s="2"/>
    </row>
    <row r="5411" spans="3:3" x14ac:dyDescent="0.3">
      <c r="C5411" s="2"/>
    </row>
    <row r="5412" spans="3:3" x14ac:dyDescent="0.3">
      <c r="C5412" s="2"/>
    </row>
    <row r="5413" spans="3:3" x14ac:dyDescent="0.3">
      <c r="C5413" s="2"/>
    </row>
    <row r="5414" spans="3:3" x14ac:dyDescent="0.3">
      <c r="C5414" s="2"/>
    </row>
    <row r="5415" spans="3:3" x14ac:dyDescent="0.3">
      <c r="C5415" s="2"/>
    </row>
    <row r="5416" spans="3:3" x14ac:dyDescent="0.3">
      <c r="C5416" s="2"/>
    </row>
    <row r="5417" spans="3:3" x14ac:dyDescent="0.3">
      <c r="C5417" s="2"/>
    </row>
    <row r="5418" spans="3:3" x14ac:dyDescent="0.3">
      <c r="C5418" s="2"/>
    </row>
    <row r="5419" spans="3:3" x14ac:dyDescent="0.3">
      <c r="C5419" s="2"/>
    </row>
    <row r="5420" spans="3:3" x14ac:dyDescent="0.3">
      <c r="C5420" s="2"/>
    </row>
    <row r="5421" spans="3:3" x14ac:dyDescent="0.3">
      <c r="C5421" s="2"/>
    </row>
    <row r="5422" spans="3:3" x14ac:dyDescent="0.3">
      <c r="C5422" s="2"/>
    </row>
    <row r="5423" spans="3:3" x14ac:dyDescent="0.3">
      <c r="C5423" s="2"/>
    </row>
    <row r="5424" spans="3:3" x14ac:dyDescent="0.3">
      <c r="C5424" s="2"/>
    </row>
    <row r="5425" spans="3:3" x14ac:dyDescent="0.3">
      <c r="C5425" s="2"/>
    </row>
    <row r="5426" spans="3:3" x14ac:dyDescent="0.3">
      <c r="C5426" s="2"/>
    </row>
    <row r="5427" spans="3:3" x14ac:dyDescent="0.3">
      <c r="C5427" s="2"/>
    </row>
    <row r="5428" spans="3:3" x14ac:dyDescent="0.3">
      <c r="C5428" s="2"/>
    </row>
    <row r="5429" spans="3:3" x14ac:dyDescent="0.3">
      <c r="C5429" s="2"/>
    </row>
    <row r="5430" spans="3:3" x14ac:dyDescent="0.3">
      <c r="C5430" s="2"/>
    </row>
    <row r="5431" spans="3:3" x14ac:dyDescent="0.3">
      <c r="C5431" s="2"/>
    </row>
    <row r="5432" spans="3:3" x14ac:dyDescent="0.3">
      <c r="C5432" s="2"/>
    </row>
    <row r="5433" spans="3:3" x14ac:dyDescent="0.3">
      <c r="C5433" s="2"/>
    </row>
    <row r="5434" spans="3:3" x14ac:dyDescent="0.3">
      <c r="C5434" s="2"/>
    </row>
    <row r="5435" spans="3:3" x14ac:dyDescent="0.3">
      <c r="C5435" s="2"/>
    </row>
    <row r="5436" spans="3:3" x14ac:dyDescent="0.3">
      <c r="C5436" s="2"/>
    </row>
    <row r="5437" spans="3:3" x14ac:dyDescent="0.3">
      <c r="C5437" s="2"/>
    </row>
    <row r="5438" spans="3:3" x14ac:dyDescent="0.3">
      <c r="C5438" s="2"/>
    </row>
    <row r="5439" spans="3:3" x14ac:dyDescent="0.3">
      <c r="C5439" s="2"/>
    </row>
    <row r="5440" spans="3:3" x14ac:dyDescent="0.3">
      <c r="C5440" s="2"/>
    </row>
    <row r="5441" spans="3:3" x14ac:dyDescent="0.3">
      <c r="C5441" s="2"/>
    </row>
    <row r="5442" spans="3:3" x14ac:dyDescent="0.3">
      <c r="C5442" s="2"/>
    </row>
    <row r="5443" spans="3:3" x14ac:dyDescent="0.3">
      <c r="C5443" s="2"/>
    </row>
    <row r="5444" spans="3:3" x14ac:dyDescent="0.3">
      <c r="C5444" s="2"/>
    </row>
    <row r="5445" spans="3:3" x14ac:dyDescent="0.3">
      <c r="C5445" s="2"/>
    </row>
    <row r="5446" spans="3:3" x14ac:dyDescent="0.3">
      <c r="C5446" s="2"/>
    </row>
    <row r="5447" spans="3:3" x14ac:dyDescent="0.3">
      <c r="C5447" s="2"/>
    </row>
    <row r="5448" spans="3:3" x14ac:dyDescent="0.3">
      <c r="C5448" s="2"/>
    </row>
    <row r="5449" spans="3:3" x14ac:dyDescent="0.3">
      <c r="C5449" s="2"/>
    </row>
    <row r="5450" spans="3:3" x14ac:dyDescent="0.3">
      <c r="C5450" s="2"/>
    </row>
    <row r="5451" spans="3:3" x14ac:dyDescent="0.3">
      <c r="C5451" s="2"/>
    </row>
    <row r="5452" spans="3:3" x14ac:dyDescent="0.3">
      <c r="C5452" s="2"/>
    </row>
    <row r="5453" spans="3:3" x14ac:dyDescent="0.3">
      <c r="C5453" s="2"/>
    </row>
    <row r="5454" spans="3:3" x14ac:dyDescent="0.3">
      <c r="C5454" s="2"/>
    </row>
    <row r="5455" spans="3:3" x14ac:dyDescent="0.3">
      <c r="C5455" s="2"/>
    </row>
    <row r="5456" spans="3:3" x14ac:dyDescent="0.3">
      <c r="C5456" s="2"/>
    </row>
    <row r="5457" spans="3:3" x14ac:dyDescent="0.3">
      <c r="C5457" s="2"/>
    </row>
    <row r="5458" spans="3:3" x14ac:dyDescent="0.3">
      <c r="C5458" s="2"/>
    </row>
    <row r="5459" spans="3:3" x14ac:dyDescent="0.3">
      <c r="C5459" s="2"/>
    </row>
    <row r="5460" spans="3:3" x14ac:dyDescent="0.3">
      <c r="C5460" s="2"/>
    </row>
    <row r="5461" spans="3:3" x14ac:dyDescent="0.3">
      <c r="C5461" s="2"/>
    </row>
    <row r="5462" spans="3:3" x14ac:dyDescent="0.3">
      <c r="C5462" s="2"/>
    </row>
    <row r="5463" spans="3:3" x14ac:dyDescent="0.3">
      <c r="C5463" s="2"/>
    </row>
    <row r="5464" spans="3:3" x14ac:dyDescent="0.3">
      <c r="C5464" s="2"/>
    </row>
    <row r="5465" spans="3:3" x14ac:dyDescent="0.3">
      <c r="C5465" s="2"/>
    </row>
    <row r="5466" spans="3:3" x14ac:dyDescent="0.3">
      <c r="C5466" s="2"/>
    </row>
    <row r="5467" spans="3:3" x14ac:dyDescent="0.3">
      <c r="C5467" s="2"/>
    </row>
    <row r="5468" spans="3:3" x14ac:dyDescent="0.3">
      <c r="C5468" s="2"/>
    </row>
    <row r="5469" spans="3:3" x14ac:dyDescent="0.3">
      <c r="C5469" s="2"/>
    </row>
    <row r="5470" spans="3:3" x14ac:dyDescent="0.3">
      <c r="C5470" s="2"/>
    </row>
    <row r="5471" spans="3:3" x14ac:dyDescent="0.3">
      <c r="C5471" s="2"/>
    </row>
    <row r="5472" spans="3:3" x14ac:dyDescent="0.3">
      <c r="C5472" s="2"/>
    </row>
    <row r="5473" spans="3:3" x14ac:dyDescent="0.3">
      <c r="C5473" s="2"/>
    </row>
    <row r="5474" spans="3:3" x14ac:dyDescent="0.3">
      <c r="C5474" s="2"/>
    </row>
    <row r="5475" spans="3:3" x14ac:dyDescent="0.3">
      <c r="C5475" s="2"/>
    </row>
    <row r="5476" spans="3:3" x14ac:dyDescent="0.3">
      <c r="C5476" s="2"/>
    </row>
    <row r="5477" spans="3:3" x14ac:dyDescent="0.3">
      <c r="C5477" s="2"/>
    </row>
    <row r="5478" spans="3:3" x14ac:dyDescent="0.3">
      <c r="C5478" s="2"/>
    </row>
    <row r="5479" spans="3:3" x14ac:dyDescent="0.3">
      <c r="C5479" s="2"/>
    </row>
    <row r="5480" spans="3:3" x14ac:dyDescent="0.3">
      <c r="C5480" s="2"/>
    </row>
    <row r="5481" spans="3:3" x14ac:dyDescent="0.3">
      <c r="C5481" s="2"/>
    </row>
    <row r="5482" spans="3:3" x14ac:dyDescent="0.3">
      <c r="C5482" s="2"/>
    </row>
    <row r="5483" spans="3:3" x14ac:dyDescent="0.3">
      <c r="C5483" s="2"/>
    </row>
    <row r="5484" spans="3:3" x14ac:dyDescent="0.3">
      <c r="C5484" s="2"/>
    </row>
    <row r="5485" spans="3:3" x14ac:dyDescent="0.3">
      <c r="C5485" s="2"/>
    </row>
    <row r="5486" spans="3:3" x14ac:dyDescent="0.3">
      <c r="C5486" s="2"/>
    </row>
    <row r="5487" spans="3:3" x14ac:dyDescent="0.3">
      <c r="C5487" s="2"/>
    </row>
    <row r="5488" spans="3:3" x14ac:dyDescent="0.3">
      <c r="C5488" s="2"/>
    </row>
    <row r="5489" spans="3:3" x14ac:dyDescent="0.3">
      <c r="C5489" s="2"/>
    </row>
    <row r="5490" spans="3:3" x14ac:dyDescent="0.3">
      <c r="C5490" s="2"/>
    </row>
    <row r="5491" spans="3:3" x14ac:dyDescent="0.3">
      <c r="C5491" s="2"/>
    </row>
    <row r="5492" spans="3:3" x14ac:dyDescent="0.3">
      <c r="C5492" s="2"/>
    </row>
    <row r="5493" spans="3:3" x14ac:dyDescent="0.3">
      <c r="C5493" s="2"/>
    </row>
    <row r="5494" spans="3:3" x14ac:dyDescent="0.3">
      <c r="C5494" s="2"/>
    </row>
    <row r="5495" spans="3:3" x14ac:dyDescent="0.3">
      <c r="C5495" s="2"/>
    </row>
    <row r="5496" spans="3:3" x14ac:dyDescent="0.3">
      <c r="C5496" s="2"/>
    </row>
    <row r="5497" spans="3:3" x14ac:dyDescent="0.3">
      <c r="C5497" s="2"/>
    </row>
    <row r="5498" spans="3:3" x14ac:dyDescent="0.3">
      <c r="C5498" s="2"/>
    </row>
    <row r="5499" spans="3:3" x14ac:dyDescent="0.3">
      <c r="C5499" s="2"/>
    </row>
    <row r="5500" spans="3:3" x14ac:dyDescent="0.3">
      <c r="C5500" s="2"/>
    </row>
    <row r="5501" spans="3:3" x14ac:dyDescent="0.3">
      <c r="C5501" s="2"/>
    </row>
    <row r="5502" spans="3:3" x14ac:dyDescent="0.3">
      <c r="C5502" s="2"/>
    </row>
    <row r="5503" spans="3:3" x14ac:dyDescent="0.3">
      <c r="C5503" s="2"/>
    </row>
    <row r="5504" spans="3:3" x14ac:dyDescent="0.3">
      <c r="C5504" s="2"/>
    </row>
    <row r="5505" spans="3:3" x14ac:dyDescent="0.3">
      <c r="C5505" s="2"/>
    </row>
    <row r="5506" spans="3:3" x14ac:dyDescent="0.3">
      <c r="C5506" s="2"/>
    </row>
    <row r="5507" spans="3:3" x14ac:dyDescent="0.3">
      <c r="C5507" s="2"/>
    </row>
    <row r="5508" spans="3:3" x14ac:dyDescent="0.3">
      <c r="C5508" s="2"/>
    </row>
    <row r="5509" spans="3:3" x14ac:dyDescent="0.3">
      <c r="C5509" s="2"/>
    </row>
    <row r="5510" spans="3:3" x14ac:dyDescent="0.3">
      <c r="C5510" s="2"/>
    </row>
    <row r="5511" spans="3:3" x14ac:dyDescent="0.3">
      <c r="C5511" s="2"/>
    </row>
    <row r="5512" spans="3:3" x14ac:dyDescent="0.3">
      <c r="C5512" s="2"/>
    </row>
    <row r="5513" spans="3:3" x14ac:dyDescent="0.3">
      <c r="C5513" s="2"/>
    </row>
    <row r="5514" spans="3:3" x14ac:dyDescent="0.3">
      <c r="C5514" s="2"/>
    </row>
    <row r="5515" spans="3:3" x14ac:dyDescent="0.3">
      <c r="C5515" s="2"/>
    </row>
    <row r="5516" spans="3:3" x14ac:dyDescent="0.3">
      <c r="C5516" s="2"/>
    </row>
    <row r="5517" spans="3:3" x14ac:dyDescent="0.3">
      <c r="C5517" s="2"/>
    </row>
    <row r="5518" spans="3:3" x14ac:dyDescent="0.3">
      <c r="C5518" s="2"/>
    </row>
    <row r="5519" spans="3:3" x14ac:dyDescent="0.3">
      <c r="C5519" s="2"/>
    </row>
    <row r="5520" spans="3:3" x14ac:dyDescent="0.3">
      <c r="C5520" s="2"/>
    </row>
    <row r="5521" spans="3:3" x14ac:dyDescent="0.3">
      <c r="C5521" s="2"/>
    </row>
    <row r="5522" spans="3:3" x14ac:dyDescent="0.3">
      <c r="C5522" s="2"/>
    </row>
    <row r="5523" spans="3:3" x14ac:dyDescent="0.3">
      <c r="C5523" s="2"/>
    </row>
    <row r="5524" spans="3:3" x14ac:dyDescent="0.3">
      <c r="C5524" s="2"/>
    </row>
    <row r="5525" spans="3:3" x14ac:dyDescent="0.3">
      <c r="C5525" s="2"/>
    </row>
    <row r="5526" spans="3:3" x14ac:dyDescent="0.3">
      <c r="C5526" s="2"/>
    </row>
    <row r="5527" spans="3:3" x14ac:dyDescent="0.3">
      <c r="C5527" s="2"/>
    </row>
    <row r="5528" spans="3:3" x14ac:dyDescent="0.3">
      <c r="C5528" s="2"/>
    </row>
    <row r="5529" spans="3:3" x14ac:dyDescent="0.3">
      <c r="C5529" s="2"/>
    </row>
    <row r="5530" spans="3:3" x14ac:dyDescent="0.3">
      <c r="C5530" s="2"/>
    </row>
    <row r="5531" spans="3:3" x14ac:dyDescent="0.3">
      <c r="C5531" s="2"/>
    </row>
    <row r="5532" spans="3:3" x14ac:dyDescent="0.3">
      <c r="C5532" s="2"/>
    </row>
    <row r="5533" spans="3:3" x14ac:dyDescent="0.3">
      <c r="C5533" s="2"/>
    </row>
    <row r="5534" spans="3:3" x14ac:dyDescent="0.3">
      <c r="C5534" s="2"/>
    </row>
    <row r="5535" spans="3:3" x14ac:dyDescent="0.3">
      <c r="C5535" s="2"/>
    </row>
    <row r="5536" spans="3:3" x14ac:dyDescent="0.3">
      <c r="C5536" s="2"/>
    </row>
    <row r="5537" spans="3:3" x14ac:dyDescent="0.3">
      <c r="C5537" s="2"/>
    </row>
    <row r="5538" spans="3:3" x14ac:dyDescent="0.3">
      <c r="C5538" s="2"/>
    </row>
    <row r="5539" spans="3:3" x14ac:dyDescent="0.3">
      <c r="C5539" s="2"/>
    </row>
    <row r="5540" spans="3:3" x14ac:dyDescent="0.3">
      <c r="C5540" s="2"/>
    </row>
    <row r="5541" spans="3:3" x14ac:dyDescent="0.3">
      <c r="C5541" s="2"/>
    </row>
    <row r="5542" spans="3:3" x14ac:dyDescent="0.3">
      <c r="C5542" s="2"/>
    </row>
    <row r="5543" spans="3:3" x14ac:dyDescent="0.3">
      <c r="C5543" s="2"/>
    </row>
    <row r="5544" spans="3:3" x14ac:dyDescent="0.3">
      <c r="C5544" s="2"/>
    </row>
    <row r="5545" spans="3:3" x14ac:dyDescent="0.3">
      <c r="C5545" s="2"/>
    </row>
    <row r="5546" spans="3:3" x14ac:dyDescent="0.3">
      <c r="C5546" s="2"/>
    </row>
    <row r="5547" spans="3:3" x14ac:dyDescent="0.3">
      <c r="C5547" s="2"/>
    </row>
    <row r="5548" spans="3:3" x14ac:dyDescent="0.3">
      <c r="C5548" s="2"/>
    </row>
    <row r="5549" spans="3:3" x14ac:dyDescent="0.3">
      <c r="C5549" s="2"/>
    </row>
    <row r="5550" spans="3:3" x14ac:dyDescent="0.3">
      <c r="C5550" s="2"/>
    </row>
    <row r="5551" spans="3:3" x14ac:dyDescent="0.3">
      <c r="C5551" s="2"/>
    </row>
    <row r="5552" spans="3:3" x14ac:dyDescent="0.3">
      <c r="C5552" s="2"/>
    </row>
    <row r="5553" spans="3:3" x14ac:dyDescent="0.3">
      <c r="C5553" s="2"/>
    </row>
    <row r="5554" spans="3:3" x14ac:dyDescent="0.3">
      <c r="C5554" s="2"/>
    </row>
    <row r="5555" spans="3:3" x14ac:dyDescent="0.3">
      <c r="C5555" s="2"/>
    </row>
    <row r="5556" spans="3:3" x14ac:dyDescent="0.3">
      <c r="C5556" s="2"/>
    </row>
    <row r="5557" spans="3:3" x14ac:dyDescent="0.3">
      <c r="C5557" s="2"/>
    </row>
    <row r="5558" spans="3:3" x14ac:dyDescent="0.3">
      <c r="C5558" s="2"/>
    </row>
    <row r="5559" spans="3:3" x14ac:dyDescent="0.3">
      <c r="C5559" s="2"/>
    </row>
    <row r="5560" spans="3:3" x14ac:dyDescent="0.3">
      <c r="C5560" s="2"/>
    </row>
    <row r="5561" spans="3:3" x14ac:dyDescent="0.3">
      <c r="C5561" s="2"/>
    </row>
    <row r="5562" spans="3:3" x14ac:dyDescent="0.3">
      <c r="C5562" s="2"/>
    </row>
    <row r="5563" spans="3:3" x14ac:dyDescent="0.3">
      <c r="C5563" s="2"/>
    </row>
    <row r="5564" spans="3:3" x14ac:dyDescent="0.3">
      <c r="C5564" s="2"/>
    </row>
    <row r="5565" spans="3:3" x14ac:dyDescent="0.3">
      <c r="C5565" s="2"/>
    </row>
    <row r="5566" spans="3:3" x14ac:dyDescent="0.3">
      <c r="C5566" s="2"/>
    </row>
    <row r="5567" spans="3:3" x14ac:dyDescent="0.3">
      <c r="C5567" s="2"/>
    </row>
    <row r="5568" spans="3:3" x14ac:dyDescent="0.3">
      <c r="C5568" s="2"/>
    </row>
    <row r="5569" spans="3:3" x14ac:dyDescent="0.3">
      <c r="C5569" s="2"/>
    </row>
    <row r="5570" spans="3:3" x14ac:dyDescent="0.3">
      <c r="C5570" s="2"/>
    </row>
    <row r="5571" spans="3:3" x14ac:dyDescent="0.3">
      <c r="C5571" s="2"/>
    </row>
    <row r="5572" spans="3:3" x14ac:dyDescent="0.3">
      <c r="C5572" s="2"/>
    </row>
    <row r="5573" spans="3:3" x14ac:dyDescent="0.3">
      <c r="C5573" s="2"/>
    </row>
    <row r="5574" spans="3:3" x14ac:dyDescent="0.3">
      <c r="C5574" s="2"/>
    </row>
    <row r="5575" spans="3:3" x14ac:dyDescent="0.3">
      <c r="C5575" s="2"/>
    </row>
    <row r="5576" spans="3:3" x14ac:dyDescent="0.3">
      <c r="C5576" s="2"/>
    </row>
    <row r="5577" spans="3:3" x14ac:dyDescent="0.3">
      <c r="C5577" s="2"/>
    </row>
    <row r="5578" spans="3:3" x14ac:dyDescent="0.3">
      <c r="C5578" s="2"/>
    </row>
    <row r="5579" spans="3:3" x14ac:dyDescent="0.3">
      <c r="C5579" s="2"/>
    </row>
    <row r="5580" spans="3:3" x14ac:dyDescent="0.3">
      <c r="C5580" s="2"/>
    </row>
    <row r="5581" spans="3:3" x14ac:dyDescent="0.3">
      <c r="C5581" s="2"/>
    </row>
    <row r="5582" spans="3:3" x14ac:dyDescent="0.3">
      <c r="C5582" s="2"/>
    </row>
    <row r="5583" spans="3:3" x14ac:dyDescent="0.3">
      <c r="C5583" s="2"/>
    </row>
    <row r="5584" spans="3:3" x14ac:dyDescent="0.3">
      <c r="C5584" s="2"/>
    </row>
    <row r="5585" spans="3:3" x14ac:dyDescent="0.3">
      <c r="C5585" s="2"/>
    </row>
    <row r="5586" spans="3:3" x14ac:dyDescent="0.3">
      <c r="C5586" s="2"/>
    </row>
    <row r="5587" spans="3:3" x14ac:dyDescent="0.3">
      <c r="C5587" s="2"/>
    </row>
    <row r="5588" spans="3:3" x14ac:dyDescent="0.3">
      <c r="C5588" s="2"/>
    </row>
    <row r="5589" spans="3:3" x14ac:dyDescent="0.3">
      <c r="C5589" s="2"/>
    </row>
    <row r="5590" spans="3:3" x14ac:dyDescent="0.3">
      <c r="C5590" s="2"/>
    </row>
    <row r="5591" spans="3:3" x14ac:dyDescent="0.3">
      <c r="C5591" s="2"/>
    </row>
    <row r="5592" spans="3:3" x14ac:dyDescent="0.3">
      <c r="C5592" s="2"/>
    </row>
    <row r="5593" spans="3:3" x14ac:dyDescent="0.3">
      <c r="C5593" s="2"/>
    </row>
    <row r="5594" spans="3:3" x14ac:dyDescent="0.3">
      <c r="C5594" s="2"/>
    </row>
    <row r="5595" spans="3:3" x14ac:dyDescent="0.3">
      <c r="C5595" s="2"/>
    </row>
    <row r="5596" spans="3:3" x14ac:dyDescent="0.3">
      <c r="C5596" s="2"/>
    </row>
    <row r="5597" spans="3:3" x14ac:dyDescent="0.3">
      <c r="C5597" s="2"/>
    </row>
    <row r="5598" spans="3:3" x14ac:dyDescent="0.3">
      <c r="C5598" s="2"/>
    </row>
    <row r="5599" spans="3:3" x14ac:dyDescent="0.3">
      <c r="C5599" s="2"/>
    </row>
    <row r="5600" spans="3:3" x14ac:dyDescent="0.3">
      <c r="C5600" s="2"/>
    </row>
    <row r="5601" spans="3:3" x14ac:dyDescent="0.3">
      <c r="C5601" s="2"/>
    </row>
    <row r="5602" spans="3:3" x14ac:dyDescent="0.3">
      <c r="C5602" s="2"/>
    </row>
    <row r="5603" spans="3:3" x14ac:dyDescent="0.3">
      <c r="C5603" s="2"/>
    </row>
    <row r="5604" spans="3:3" x14ac:dyDescent="0.3">
      <c r="C5604" s="2"/>
    </row>
    <row r="5605" spans="3:3" x14ac:dyDescent="0.3">
      <c r="C5605" s="2"/>
    </row>
    <row r="5606" spans="3:3" x14ac:dyDescent="0.3">
      <c r="C5606" s="2"/>
    </row>
    <row r="5607" spans="3:3" x14ac:dyDescent="0.3">
      <c r="C5607" s="2"/>
    </row>
    <row r="5608" spans="3:3" x14ac:dyDescent="0.3">
      <c r="C5608" s="2"/>
    </row>
    <row r="5609" spans="3:3" x14ac:dyDescent="0.3">
      <c r="C5609" s="2"/>
    </row>
    <row r="5610" spans="3:3" x14ac:dyDescent="0.3">
      <c r="C5610" s="2"/>
    </row>
    <row r="5611" spans="3:3" x14ac:dyDescent="0.3">
      <c r="C5611" s="2"/>
    </row>
    <row r="5612" spans="3:3" x14ac:dyDescent="0.3">
      <c r="C5612" s="2"/>
    </row>
    <row r="5613" spans="3:3" x14ac:dyDescent="0.3">
      <c r="C5613" s="2"/>
    </row>
    <row r="5614" spans="3:3" x14ac:dyDescent="0.3">
      <c r="C5614" s="2"/>
    </row>
    <row r="5615" spans="3:3" x14ac:dyDescent="0.3">
      <c r="C5615" s="2"/>
    </row>
    <row r="5616" spans="3:3" x14ac:dyDescent="0.3">
      <c r="C5616" s="2"/>
    </row>
    <row r="5617" spans="3:3" x14ac:dyDescent="0.3">
      <c r="C5617" s="2"/>
    </row>
    <row r="5618" spans="3:3" x14ac:dyDescent="0.3">
      <c r="C5618" s="2"/>
    </row>
    <row r="5619" spans="3:3" x14ac:dyDescent="0.3">
      <c r="C5619" s="2"/>
    </row>
    <row r="5620" spans="3:3" x14ac:dyDescent="0.3">
      <c r="C5620" s="2"/>
    </row>
    <row r="5621" spans="3:3" x14ac:dyDescent="0.3">
      <c r="C5621" s="2"/>
    </row>
    <row r="5622" spans="3:3" x14ac:dyDescent="0.3">
      <c r="C5622" s="2"/>
    </row>
    <row r="5623" spans="3:3" x14ac:dyDescent="0.3">
      <c r="C5623" s="2"/>
    </row>
    <row r="5624" spans="3:3" x14ac:dyDescent="0.3">
      <c r="C5624" s="2"/>
    </row>
    <row r="5625" spans="3:3" x14ac:dyDescent="0.3">
      <c r="C5625" s="2"/>
    </row>
    <row r="5626" spans="3:3" x14ac:dyDescent="0.3">
      <c r="C5626" s="2"/>
    </row>
    <row r="5627" spans="3:3" x14ac:dyDescent="0.3">
      <c r="C5627" s="2"/>
    </row>
    <row r="5628" spans="3:3" x14ac:dyDescent="0.3">
      <c r="C5628" s="2"/>
    </row>
    <row r="5629" spans="3:3" x14ac:dyDescent="0.3">
      <c r="C5629" s="2"/>
    </row>
    <row r="5630" spans="3:3" x14ac:dyDescent="0.3">
      <c r="C5630" s="2"/>
    </row>
    <row r="5631" spans="3:3" x14ac:dyDescent="0.3">
      <c r="C5631" s="2"/>
    </row>
    <row r="5632" spans="3:3" x14ac:dyDescent="0.3">
      <c r="C5632" s="2"/>
    </row>
    <row r="5633" spans="3:3" x14ac:dyDescent="0.3">
      <c r="C5633" s="2"/>
    </row>
    <row r="5634" spans="3:3" x14ac:dyDescent="0.3">
      <c r="C5634" s="2"/>
    </row>
    <row r="5635" spans="3:3" x14ac:dyDescent="0.3">
      <c r="C5635" s="2"/>
    </row>
    <row r="5636" spans="3:3" x14ac:dyDescent="0.3">
      <c r="C5636" s="2"/>
    </row>
    <row r="5637" spans="3:3" x14ac:dyDescent="0.3">
      <c r="C5637" s="2"/>
    </row>
    <row r="5638" spans="3:3" x14ac:dyDescent="0.3">
      <c r="C5638" s="2"/>
    </row>
    <row r="5639" spans="3:3" x14ac:dyDescent="0.3">
      <c r="C5639" s="2"/>
    </row>
    <row r="5640" spans="3:3" x14ac:dyDescent="0.3">
      <c r="C5640" s="2"/>
    </row>
    <row r="5641" spans="3:3" x14ac:dyDescent="0.3">
      <c r="C5641" s="2"/>
    </row>
    <row r="5642" spans="3:3" x14ac:dyDescent="0.3">
      <c r="C5642" s="2"/>
    </row>
    <row r="5643" spans="3:3" x14ac:dyDescent="0.3">
      <c r="C5643" s="2"/>
    </row>
    <row r="5644" spans="3:3" x14ac:dyDescent="0.3">
      <c r="C5644" s="2"/>
    </row>
    <row r="5645" spans="3:3" x14ac:dyDescent="0.3">
      <c r="C5645" s="2"/>
    </row>
    <row r="5646" spans="3:3" x14ac:dyDescent="0.3">
      <c r="C5646" s="2"/>
    </row>
    <row r="5647" spans="3:3" x14ac:dyDescent="0.3">
      <c r="C5647" s="2"/>
    </row>
    <row r="5648" spans="3:3" x14ac:dyDescent="0.3">
      <c r="C5648" s="2"/>
    </row>
    <row r="5649" spans="3:3" x14ac:dyDescent="0.3">
      <c r="C5649" s="2"/>
    </row>
    <row r="5650" spans="3:3" x14ac:dyDescent="0.3">
      <c r="C5650" s="2"/>
    </row>
    <row r="5651" spans="3:3" x14ac:dyDescent="0.3">
      <c r="C5651" s="2"/>
    </row>
    <row r="5652" spans="3:3" x14ac:dyDescent="0.3">
      <c r="C5652" s="2"/>
    </row>
    <row r="5653" spans="3:3" x14ac:dyDescent="0.3">
      <c r="C5653" s="2"/>
    </row>
    <row r="5654" spans="3:3" x14ac:dyDescent="0.3">
      <c r="C5654" s="2"/>
    </row>
    <row r="5655" spans="3:3" x14ac:dyDescent="0.3">
      <c r="C5655" s="2"/>
    </row>
    <row r="5656" spans="3:3" x14ac:dyDescent="0.3">
      <c r="C5656" s="2"/>
    </row>
    <row r="5657" spans="3:3" x14ac:dyDescent="0.3">
      <c r="C5657" s="2"/>
    </row>
    <row r="5658" spans="3:3" x14ac:dyDescent="0.3">
      <c r="C5658" s="2"/>
    </row>
    <row r="5659" spans="3:3" x14ac:dyDescent="0.3">
      <c r="C5659" s="2"/>
    </row>
    <row r="5660" spans="3:3" x14ac:dyDescent="0.3">
      <c r="C5660" s="2"/>
    </row>
    <row r="5661" spans="3:3" x14ac:dyDescent="0.3">
      <c r="C5661" s="2"/>
    </row>
    <row r="5662" spans="3:3" x14ac:dyDescent="0.3">
      <c r="C5662" s="2"/>
    </row>
    <row r="5663" spans="3:3" x14ac:dyDescent="0.3">
      <c r="C5663" s="2"/>
    </row>
    <row r="5664" spans="3:3" x14ac:dyDescent="0.3">
      <c r="C5664" s="2"/>
    </row>
    <row r="5665" spans="3:3" x14ac:dyDescent="0.3">
      <c r="C5665" s="2"/>
    </row>
    <row r="5666" spans="3:3" x14ac:dyDescent="0.3">
      <c r="C5666" s="2"/>
    </row>
    <row r="5667" spans="3:3" x14ac:dyDescent="0.3">
      <c r="C5667" s="2"/>
    </row>
    <row r="5668" spans="3:3" x14ac:dyDescent="0.3">
      <c r="C5668" s="2"/>
    </row>
    <row r="5669" spans="3:3" x14ac:dyDescent="0.3">
      <c r="C5669" s="2"/>
    </row>
    <row r="5670" spans="3:3" x14ac:dyDescent="0.3">
      <c r="C5670" s="2"/>
    </row>
    <row r="5671" spans="3:3" x14ac:dyDescent="0.3">
      <c r="C5671" s="2"/>
    </row>
    <row r="5672" spans="3:3" x14ac:dyDescent="0.3">
      <c r="C5672" s="2"/>
    </row>
    <row r="5673" spans="3:3" x14ac:dyDescent="0.3">
      <c r="C5673" s="2"/>
    </row>
    <row r="5674" spans="3:3" x14ac:dyDescent="0.3">
      <c r="C5674" s="2"/>
    </row>
    <row r="5675" spans="3:3" x14ac:dyDescent="0.3">
      <c r="C5675" s="2"/>
    </row>
    <row r="5676" spans="3:3" x14ac:dyDescent="0.3">
      <c r="C5676" s="2"/>
    </row>
    <row r="5677" spans="3:3" x14ac:dyDescent="0.3">
      <c r="C5677" s="2"/>
    </row>
    <row r="5678" spans="3:3" x14ac:dyDescent="0.3">
      <c r="C5678" s="2"/>
    </row>
    <row r="5679" spans="3:3" x14ac:dyDescent="0.3">
      <c r="C5679" s="2"/>
    </row>
    <row r="5680" spans="3:3" x14ac:dyDescent="0.3">
      <c r="C5680" s="2"/>
    </row>
    <row r="5681" spans="3:3" x14ac:dyDescent="0.3">
      <c r="C5681" s="2"/>
    </row>
    <row r="5682" spans="3:3" x14ac:dyDescent="0.3">
      <c r="C5682" s="2"/>
    </row>
    <row r="5683" spans="3:3" x14ac:dyDescent="0.3">
      <c r="C5683" s="2"/>
    </row>
    <row r="5684" spans="3:3" x14ac:dyDescent="0.3">
      <c r="C5684" s="2"/>
    </row>
    <row r="5685" spans="3:3" x14ac:dyDescent="0.3">
      <c r="C5685" s="2"/>
    </row>
    <row r="5686" spans="3:3" x14ac:dyDescent="0.3">
      <c r="C5686" s="2"/>
    </row>
    <row r="5687" spans="3:3" x14ac:dyDescent="0.3">
      <c r="C5687" s="2"/>
    </row>
    <row r="5688" spans="3:3" x14ac:dyDescent="0.3">
      <c r="C5688" s="2"/>
    </row>
    <row r="5689" spans="3:3" x14ac:dyDescent="0.3">
      <c r="C5689" s="2"/>
    </row>
    <row r="5690" spans="3:3" x14ac:dyDescent="0.3">
      <c r="C5690" s="2"/>
    </row>
    <row r="5691" spans="3:3" x14ac:dyDescent="0.3">
      <c r="C5691" s="2"/>
    </row>
    <row r="5692" spans="3:3" x14ac:dyDescent="0.3">
      <c r="C5692" s="2"/>
    </row>
    <row r="5693" spans="3:3" x14ac:dyDescent="0.3">
      <c r="C5693" s="2"/>
    </row>
    <row r="5694" spans="3:3" x14ac:dyDescent="0.3">
      <c r="C5694" s="2"/>
    </row>
    <row r="5695" spans="3:3" x14ac:dyDescent="0.3">
      <c r="C5695" s="2"/>
    </row>
    <row r="5696" spans="3:3" x14ac:dyDescent="0.3">
      <c r="C5696" s="2"/>
    </row>
    <row r="5697" spans="3:3" x14ac:dyDescent="0.3">
      <c r="C5697" s="2"/>
    </row>
    <row r="5698" spans="3:3" x14ac:dyDescent="0.3">
      <c r="C5698" s="2"/>
    </row>
    <row r="5699" spans="3:3" x14ac:dyDescent="0.3">
      <c r="C5699" s="2"/>
    </row>
    <row r="5700" spans="3:3" x14ac:dyDescent="0.3">
      <c r="C5700" s="2"/>
    </row>
    <row r="5701" spans="3:3" x14ac:dyDescent="0.3">
      <c r="C5701" s="2"/>
    </row>
    <row r="5702" spans="3:3" x14ac:dyDescent="0.3">
      <c r="C5702" s="2"/>
    </row>
    <row r="5703" spans="3:3" x14ac:dyDescent="0.3">
      <c r="C5703" s="2"/>
    </row>
    <row r="5704" spans="3:3" x14ac:dyDescent="0.3">
      <c r="C5704" s="2"/>
    </row>
    <row r="5705" spans="3:3" x14ac:dyDescent="0.3">
      <c r="C5705" s="2"/>
    </row>
    <row r="5706" spans="3:3" x14ac:dyDescent="0.3">
      <c r="C5706" s="2"/>
    </row>
    <row r="5707" spans="3:3" x14ac:dyDescent="0.3">
      <c r="C5707" s="2"/>
    </row>
    <row r="5708" spans="3:3" x14ac:dyDescent="0.3">
      <c r="C5708" s="2"/>
    </row>
    <row r="5709" spans="3:3" x14ac:dyDescent="0.3">
      <c r="C5709" s="2"/>
    </row>
    <row r="5710" spans="3:3" x14ac:dyDescent="0.3">
      <c r="C5710" s="2"/>
    </row>
    <row r="5711" spans="3:3" x14ac:dyDescent="0.3">
      <c r="C5711" s="2"/>
    </row>
    <row r="5712" spans="3:3" x14ac:dyDescent="0.3">
      <c r="C5712" s="2"/>
    </row>
    <row r="5713" spans="3:3" x14ac:dyDescent="0.3">
      <c r="C5713" s="2"/>
    </row>
    <row r="5714" spans="3:3" x14ac:dyDescent="0.3">
      <c r="C5714" s="2"/>
    </row>
    <row r="5715" spans="3:3" x14ac:dyDescent="0.3">
      <c r="C5715" s="2"/>
    </row>
    <row r="5716" spans="3:3" x14ac:dyDescent="0.3">
      <c r="C5716" s="2"/>
    </row>
    <row r="5717" spans="3:3" x14ac:dyDescent="0.3">
      <c r="C5717" s="2"/>
    </row>
    <row r="5718" spans="3:3" x14ac:dyDescent="0.3">
      <c r="C5718" s="2"/>
    </row>
    <row r="5719" spans="3:3" x14ac:dyDescent="0.3">
      <c r="C5719" s="2"/>
    </row>
    <row r="5720" spans="3:3" x14ac:dyDescent="0.3">
      <c r="C5720" s="2"/>
    </row>
    <row r="5721" spans="3:3" x14ac:dyDescent="0.3">
      <c r="C5721" s="2"/>
    </row>
    <row r="5722" spans="3:3" x14ac:dyDescent="0.3">
      <c r="C5722" s="2"/>
    </row>
    <row r="5723" spans="3:3" x14ac:dyDescent="0.3">
      <c r="C5723" s="2"/>
    </row>
    <row r="5724" spans="3:3" x14ac:dyDescent="0.3">
      <c r="C5724" s="2"/>
    </row>
    <row r="5725" spans="3:3" x14ac:dyDescent="0.3">
      <c r="C5725" s="2"/>
    </row>
    <row r="5726" spans="3:3" x14ac:dyDescent="0.3">
      <c r="C5726" s="2"/>
    </row>
    <row r="5727" spans="3:3" x14ac:dyDescent="0.3">
      <c r="C5727" s="2"/>
    </row>
    <row r="5728" spans="3:3" x14ac:dyDescent="0.3">
      <c r="C5728" s="2"/>
    </row>
    <row r="5729" spans="3:3" x14ac:dyDescent="0.3">
      <c r="C5729" s="2"/>
    </row>
    <row r="5730" spans="3:3" x14ac:dyDescent="0.3">
      <c r="C5730" s="2"/>
    </row>
    <row r="5731" spans="3:3" x14ac:dyDescent="0.3">
      <c r="C5731" s="2"/>
    </row>
    <row r="5732" spans="3:3" x14ac:dyDescent="0.3">
      <c r="C5732" s="2"/>
    </row>
    <row r="5733" spans="3:3" x14ac:dyDescent="0.3">
      <c r="C5733" s="2"/>
    </row>
    <row r="5734" spans="3:3" x14ac:dyDescent="0.3">
      <c r="C5734" s="2"/>
    </row>
    <row r="5735" spans="3:3" x14ac:dyDescent="0.3">
      <c r="C5735" s="2"/>
    </row>
    <row r="5736" spans="3:3" x14ac:dyDescent="0.3">
      <c r="C5736" s="2"/>
    </row>
    <row r="5737" spans="3:3" x14ac:dyDescent="0.3">
      <c r="C5737" s="2"/>
    </row>
    <row r="5738" spans="3:3" x14ac:dyDescent="0.3">
      <c r="C5738" s="2"/>
    </row>
    <row r="5739" spans="3:3" x14ac:dyDescent="0.3">
      <c r="C5739" s="2"/>
    </row>
    <row r="5740" spans="3:3" x14ac:dyDescent="0.3">
      <c r="C5740" s="2"/>
    </row>
    <row r="5741" spans="3:3" x14ac:dyDescent="0.3">
      <c r="C5741" s="2"/>
    </row>
    <row r="5742" spans="3:3" x14ac:dyDescent="0.3">
      <c r="C5742" s="2"/>
    </row>
    <row r="5743" spans="3:3" x14ac:dyDescent="0.3">
      <c r="C5743" s="2"/>
    </row>
    <row r="5744" spans="3:3" x14ac:dyDescent="0.3">
      <c r="C5744" s="2"/>
    </row>
    <row r="5745" spans="3:3" x14ac:dyDescent="0.3">
      <c r="C5745" s="2"/>
    </row>
    <row r="5746" spans="3:3" x14ac:dyDescent="0.3">
      <c r="C5746" s="2"/>
    </row>
    <row r="5747" spans="3:3" x14ac:dyDescent="0.3">
      <c r="C5747" s="2"/>
    </row>
    <row r="5748" spans="3:3" x14ac:dyDescent="0.3">
      <c r="C5748" s="2"/>
    </row>
    <row r="5749" spans="3:3" x14ac:dyDescent="0.3">
      <c r="C5749" s="2"/>
    </row>
    <row r="5750" spans="3:3" x14ac:dyDescent="0.3">
      <c r="C5750" s="2"/>
    </row>
    <row r="5751" spans="3:3" x14ac:dyDescent="0.3">
      <c r="C5751" s="2"/>
    </row>
    <row r="5752" spans="3:3" x14ac:dyDescent="0.3">
      <c r="C5752" s="2"/>
    </row>
    <row r="5753" spans="3:3" x14ac:dyDescent="0.3">
      <c r="C5753" s="2"/>
    </row>
    <row r="5754" spans="3:3" x14ac:dyDescent="0.3">
      <c r="C5754" s="2"/>
    </row>
    <row r="5755" spans="3:3" x14ac:dyDescent="0.3">
      <c r="C5755" s="2"/>
    </row>
    <row r="5756" spans="3:3" x14ac:dyDescent="0.3">
      <c r="C5756" s="2"/>
    </row>
    <row r="5757" spans="3:3" x14ac:dyDescent="0.3">
      <c r="C5757" s="2"/>
    </row>
    <row r="5758" spans="3:3" x14ac:dyDescent="0.3">
      <c r="C5758" s="2"/>
    </row>
    <row r="5759" spans="3:3" x14ac:dyDescent="0.3">
      <c r="C5759" s="2"/>
    </row>
    <row r="5760" spans="3:3" x14ac:dyDescent="0.3">
      <c r="C5760" s="2"/>
    </row>
    <row r="5761" spans="3:3" x14ac:dyDescent="0.3">
      <c r="C5761" s="2"/>
    </row>
    <row r="5762" spans="3:3" x14ac:dyDescent="0.3">
      <c r="C5762" s="2"/>
    </row>
    <row r="5763" spans="3:3" x14ac:dyDescent="0.3">
      <c r="C5763" s="2"/>
    </row>
    <row r="5764" spans="3:3" x14ac:dyDescent="0.3">
      <c r="C5764" s="2"/>
    </row>
    <row r="5765" spans="3:3" x14ac:dyDescent="0.3">
      <c r="C5765" s="2"/>
    </row>
    <row r="5766" spans="3:3" x14ac:dyDescent="0.3">
      <c r="C5766" s="2"/>
    </row>
    <row r="5767" spans="3:3" x14ac:dyDescent="0.3">
      <c r="C5767" s="2"/>
    </row>
    <row r="5768" spans="3:3" x14ac:dyDescent="0.3">
      <c r="C5768" s="2"/>
    </row>
    <row r="5769" spans="3:3" x14ac:dyDescent="0.3">
      <c r="C5769" s="2"/>
    </row>
    <row r="5770" spans="3:3" x14ac:dyDescent="0.3">
      <c r="C5770" s="2"/>
    </row>
    <row r="5771" spans="3:3" x14ac:dyDescent="0.3">
      <c r="C5771" s="2"/>
    </row>
    <row r="5772" spans="3:3" x14ac:dyDescent="0.3">
      <c r="C5772" s="2"/>
    </row>
    <row r="5773" spans="3:3" x14ac:dyDescent="0.3">
      <c r="C5773" s="2"/>
    </row>
    <row r="5774" spans="3:3" x14ac:dyDescent="0.3">
      <c r="C5774" s="2"/>
    </row>
    <row r="5775" spans="3:3" x14ac:dyDescent="0.3">
      <c r="C5775" s="2"/>
    </row>
    <row r="5776" spans="3:3" x14ac:dyDescent="0.3">
      <c r="C5776" s="2"/>
    </row>
    <row r="5777" spans="3:3" x14ac:dyDescent="0.3">
      <c r="C5777" s="2"/>
    </row>
    <row r="5778" spans="3:3" x14ac:dyDescent="0.3">
      <c r="C5778" s="2"/>
    </row>
    <row r="5779" spans="3:3" x14ac:dyDescent="0.3">
      <c r="C5779" s="2"/>
    </row>
    <row r="5780" spans="3:3" x14ac:dyDescent="0.3">
      <c r="C5780" s="2"/>
    </row>
    <row r="5781" spans="3:3" x14ac:dyDescent="0.3">
      <c r="C5781" s="2"/>
    </row>
    <row r="5782" spans="3:3" x14ac:dyDescent="0.3">
      <c r="C5782" s="2"/>
    </row>
    <row r="5783" spans="3:3" x14ac:dyDescent="0.3">
      <c r="C5783" s="2"/>
    </row>
    <row r="5784" spans="3:3" x14ac:dyDescent="0.3">
      <c r="C5784" s="2"/>
    </row>
    <row r="5785" spans="3:3" x14ac:dyDescent="0.3">
      <c r="C5785" s="2"/>
    </row>
    <row r="5786" spans="3:3" x14ac:dyDescent="0.3">
      <c r="C5786" s="2"/>
    </row>
    <row r="5787" spans="3:3" x14ac:dyDescent="0.3">
      <c r="C5787" s="2"/>
    </row>
    <row r="5788" spans="3:3" x14ac:dyDescent="0.3">
      <c r="C5788" s="2"/>
    </row>
    <row r="5789" spans="3:3" x14ac:dyDescent="0.3">
      <c r="C5789" s="2"/>
    </row>
    <row r="5790" spans="3:3" x14ac:dyDescent="0.3">
      <c r="C5790" s="2"/>
    </row>
    <row r="5791" spans="3:3" x14ac:dyDescent="0.3">
      <c r="C5791" s="2"/>
    </row>
    <row r="5792" spans="3:3" x14ac:dyDescent="0.3">
      <c r="C5792" s="2"/>
    </row>
    <row r="5793" spans="3:3" x14ac:dyDescent="0.3">
      <c r="C5793" s="2"/>
    </row>
    <row r="5794" spans="3:3" x14ac:dyDescent="0.3">
      <c r="C5794" s="2"/>
    </row>
    <row r="5795" spans="3:3" x14ac:dyDescent="0.3">
      <c r="C5795" s="2"/>
    </row>
    <row r="5796" spans="3:3" x14ac:dyDescent="0.3">
      <c r="C5796" s="2"/>
    </row>
    <row r="5797" spans="3:3" x14ac:dyDescent="0.3">
      <c r="C5797" s="2"/>
    </row>
    <row r="5798" spans="3:3" x14ac:dyDescent="0.3">
      <c r="C5798" s="2"/>
    </row>
    <row r="5799" spans="3:3" x14ac:dyDescent="0.3">
      <c r="C5799" s="2"/>
    </row>
    <row r="5800" spans="3:3" x14ac:dyDescent="0.3">
      <c r="C5800" s="2"/>
    </row>
    <row r="5801" spans="3:3" x14ac:dyDescent="0.3">
      <c r="C5801" s="2"/>
    </row>
    <row r="5802" spans="3:3" x14ac:dyDescent="0.3">
      <c r="C5802" s="2"/>
    </row>
    <row r="5803" spans="3:3" x14ac:dyDescent="0.3">
      <c r="C5803" s="2"/>
    </row>
    <row r="5804" spans="3:3" x14ac:dyDescent="0.3">
      <c r="C5804" s="2"/>
    </row>
    <row r="5805" spans="3:3" x14ac:dyDescent="0.3">
      <c r="C5805" s="2"/>
    </row>
    <row r="5806" spans="3:3" x14ac:dyDescent="0.3">
      <c r="C5806" s="2"/>
    </row>
    <row r="5807" spans="3:3" x14ac:dyDescent="0.3">
      <c r="C5807" s="2"/>
    </row>
    <row r="5808" spans="3:3" x14ac:dyDescent="0.3">
      <c r="C5808" s="2"/>
    </row>
    <row r="5809" spans="3:3" x14ac:dyDescent="0.3">
      <c r="C5809" s="2"/>
    </row>
    <row r="5810" spans="3:3" x14ac:dyDescent="0.3">
      <c r="C5810" s="2"/>
    </row>
    <row r="5811" spans="3:3" x14ac:dyDescent="0.3">
      <c r="C5811" s="2"/>
    </row>
    <row r="5812" spans="3:3" x14ac:dyDescent="0.3">
      <c r="C5812" s="2"/>
    </row>
    <row r="5813" spans="3:3" x14ac:dyDescent="0.3">
      <c r="C5813" s="2"/>
    </row>
    <row r="5814" spans="3:3" x14ac:dyDescent="0.3">
      <c r="C5814" s="2"/>
    </row>
    <row r="5815" spans="3:3" x14ac:dyDescent="0.3">
      <c r="C5815" s="2"/>
    </row>
    <row r="5816" spans="3:3" x14ac:dyDescent="0.3">
      <c r="C5816" s="2"/>
    </row>
    <row r="5817" spans="3:3" x14ac:dyDescent="0.3">
      <c r="C5817" s="2"/>
    </row>
    <row r="5818" spans="3:3" x14ac:dyDescent="0.3">
      <c r="C5818" s="2"/>
    </row>
    <row r="5819" spans="3:3" x14ac:dyDescent="0.3">
      <c r="C5819" s="2"/>
    </row>
    <row r="5820" spans="3:3" x14ac:dyDescent="0.3">
      <c r="C5820" s="2"/>
    </row>
    <row r="5821" spans="3:3" x14ac:dyDescent="0.3">
      <c r="C5821" s="2"/>
    </row>
    <row r="5822" spans="3:3" x14ac:dyDescent="0.3">
      <c r="C5822" s="2"/>
    </row>
    <row r="5823" spans="3:3" x14ac:dyDescent="0.3">
      <c r="C5823" s="2"/>
    </row>
    <row r="5824" spans="3:3" x14ac:dyDescent="0.3">
      <c r="C5824" s="2"/>
    </row>
    <row r="5825" spans="3:3" x14ac:dyDescent="0.3">
      <c r="C5825" s="2"/>
    </row>
    <row r="5826" spans="3:3" x14ac:dyDescent="0.3">
      <c r="C5826" s="2"/>
    </row>
    <row r="5827" spans="3:3" x14ac:dyDescent="0.3">
      <c r="C5827" s="2"/>
    </row>
    <row r="5828" spans="3:3" x14ac:dyDescent="0.3">
      <c r="C5828" s="2"/>
    </row>
    <row r="5829" spans="3:3" x14ac:dyDescent="0.3">
      <c r="C5829" s="2"/>
    </row>
    <row r="5830" spans="3:3" x14ac:dyDescent="0.3">
      <c r="C5830" s="2"/>
    </row>
    <row r="5831" spans="3:3" x14ac:dyDescent="0.3">
      <c r="C5831" s="2"/>
    </row>
    <row r="5832" spans="3:3" x14ac:dyDescent="0.3">
      <c r="C5832" s="2"/>
    </row>
    <row r="5833" spans="3:3" x14ac:dyDescent="0.3">
      <c r="C5833" s="2"/>
    </row>
    <row r="5834" spans="3:3" x14ac:dyDescent="0.3">
      <c r="C5834" s="2"/>
    </row>
    <row r="5835" spans="3:3" x14ac:dyDescent="0.3">
      <c r="C5835" s="2"/>
    </row>
    <row r="5836" spans="3:3" x14ac:dyDescent="0.3">
      <c r="C5836" s="2"/>
    </row>
    <row r="5837" spans="3:3" x14ac:dyDescent="0.3">
      <c r="C5837" s="2"/>
    </row>
    <row r="5838" spans="3:3" x14ac:dyDescent="0.3">
      <c r="C5838" s="2"/>
    </row>
    <row r="5839" spans="3:3" x14ac:dyDescent="0.3">
      <c r="C5839" s="2"/>
    </row>
    <row r="5840" spans="3:3" x14ac:dyDescent="0.3">
      <c r="C5840" s="2"/>
    </row>
    <row r="5841" spans="3:3" x14ac:dyDescent="0.3">
      <c r="C5841" s="2"/>
    </row>
    <row r="5842" spans="3:3" x14ac:dyDescent="0.3">
      <c r="C5842" s="2"/>
    </row>
    <row r="5843" spans="3:3" x14ac:dyDescent="0.3">
      <c r="C5843" s="2"/>
    </row>
    <row r="5844" spans="3:3" x14ac:dyDescent="0.3">
      <c r="C5844" s="2"/>
    </row>
    <row r="5845" spans="3:3" x14ac:dyDescent="0.3">
      <c r="C5845" s="2"/>
    </row>
    <row r="5846" spans="3:3" x14ac:dyDescent="0.3">
      <c r="C5846" s="2"/>
    </row>
    <row r="5847" spans="3:3" x14ac:dyDescent="0.3">
      <c r="C5847" s="2"/>
    </row>
    <row r="5848" spans="3:3" x14ac:dyDescent="0.3">
      <c r="C5848" s="2"/>
    </row>
    <row r="5849" spans="3:3" x14ac:dyDescent="0.3">
      <c r="C5849" s="2"/>
    </row>
    <row r="5850" spans="3:3" x14ac:dyDescent="0.3">
      <c r="C5850" s="2"/>
    </row>
    <row r="5851" spans="3:3" x14ac:dyDescent="0.3">
      <c r="C5851" s="2"/>
    </row>
    <row r="5852" spans="3:3" x14ac:dyDescent="0.3">
      <c r="C5852" s="2"/>
    </row>
    <row r="5853" spans="3:3" x14ac:dyDescent="0.3">
      <c r="C5853" s="2"/>
    </row>
    <row r="5854" spans="3:3" x14ac:dyDescent="0.3">
      <c r="C5854" s="2"/>
    </row>
    <row r="5855" spans="3:3" x14ac:dyDescent="0.3">
      <c r="C5855" s="2"/>
    </row>
    <row r="5856" spans="3:3" x14ac:dyDescent="0.3">
      <c r="C5856" s="2"/>
    </row>
    <row r="5857" spans="3:3" x14ac:dyDescent="0.3">
      <c r="C5857" s="2"/>
    </row>
    <row r="5858" spans="3:3" x14ac:dyDescent="0.3">
      <c r="C5858" s="2"/>
    </row>
    <row r="5859" spans="3:3" x14ac:dyDescent="0.3">
      <c r="C5859" s="2"/>
    </row>
    <row r="5860" spans="3:3" x14ac:dyDescent="0.3">
      <c r="C5860" s="2"/>
    </row>
    <row r="5861" spans="3:3" x14ac:dyDescent="0.3">
      <c r="C5861" s="2"/>
    </row>
    <row r="5862" spans="3:3" x14ac:dyDescent="0.3">
      <c r="C5862" s="2"/>
    </row>
    <row r="5863" spans="3:3" x14ac:dyDescent="0.3">
      <c r="C5863" s="2"/>
    </row>
    <row r="5864" spans="3:3" x14ac:dyDescent="0.3">
      <c r="C5864" s="2"/>
    </row>
    <row r="5865" spans="3:3" x14ac:dyDescent="0.3">
      <c r="C5865" s="2"/>
    </row>
    <row r="5866" spans="3:3" x14ac:dyDescent="0.3">
      <c r="C5866" s="2"/>
    </row>
    <row r="5867" spans="3:3" x14ac:dyDescent="0.3">
      <c r="C5867" s="2"/>
    </row>
    <row r="5868" spans="3:3" x14ac:dyDescent="0.3">
      <c r="C5868" s="2"/>
    </row>
    <row r="5869" spans="3:3" x14ac:dyDescent="0.3">
      <c r="C5869" s="2"/>
    </row>
    <row r="5870" spans="3:3" x14ac:dyDescent="0.3">
      <c r="C5870" s="2"/>
    </row>
    <row r="5871" spans="3:3" x14ac:dyDescent="0.3">
      <c r="C5871" s="2"/>
    </row>
    <row r="5872" spans="3:3" x14ac:dyDescent="0.3">
      <c r="C5872" s="2"/>
    </row>
    <row r="5873" spans="3:3" x14ac:dyDescent="0.3">
      <c r="C5873" s="2"/>
    </row>
    <row r="5874" spans="3:3" x14ac:dyDescent="0.3">
      <c r="C5874" s="2"/>
    </row>
    <row r="5875" spans="3:3" x14ac:dyDescent="0.3">
      <c r="C5875" s="2"/>
    </row>
    <row r="5876" spans="3:3" x14ac:dyDescent="0.3">
      <c r="C5876" s="2"/>
    </row>
    <row r="5877" spans="3:3" x14ac:dyDescent="0.3">
      <c r="C5877" s="2"/>
    </row>
    <row r="5878" spans="3:3" x14ac:dyDescent="0.3">
      <c r="C5878" s="2"/>
    </row>
    <row r="5879" spans="3:3" x14ac:dyDescent="0.3">
      <c r="C5879" s="2"/>
    </row>
    <row r="5880" spans="3:3" x14ac:dyDescent="0.3">
      <c r="C5880" s="2"/>
    </row>
    <row r="5881" spans="3:3" x14ac:dyDescent="0.3">
      <c r="C5881" s="2"/>
    </row>
    <row r="5882" spans="3:3" x14ac:dyDescent="0.3">
      <c r="C5882" s="2"/>
    </row>
    <row r="5883" spans="3:3" x14ac:dyDescent="0.3">
      <c r="C5883" s="2"/>
    </row>
    <row r="5884" spans="3:3" x14ac:dyDescent="0.3">
      <c r="C5884" s="2"/>
    </row>
    <row r="5885" spans="3:3" x14ac:dyDescent="0.3">
      <c r="C5885" s="2"/>
    </row>
    <row r="5886" spans="3:3" x14ac:dyDescent="0.3">
      <c r="C5886" s="2"/>
    </row>
    <row r="5887" spans="3:3" x14ac:dyDescent="0.3">
      <c r="C5887" s="2"/>
    </row>
    <row r="5888" spans="3:3" x14ac:dyDescent="0.3">
      <c r="C5888" s="2"/>
    </row>
    <row r="5889" spans="3:3" x14ac:dyDescent="0.3">
      <c r="C5889" s="2"/>
    </row>
    <row r="5890" spans="3:3" x14ac:dyDescent="0.3">
      <c r="C5890" s="2"/>
    </row>
    <row r="5891" spans="3:3" x14ac:dyDescent="0.3">
      <c r="C5891" s="2"/>
    </row>
    <row r="5892" spans="3:3" x14ac:dyDescent="0.3">
      <c r="C5892" s="2"/>
    </row>
    <row r="5893" spans="3:3" x14ac:dyDescent="0.3">
      <c r="C5893" s="2"/>
    </row>
    <row r="5894" spans="3:3" x14ac:dyDescent="0.3">
      <c r="C5894" s="2"/>
    </row>
    <row r="5895" spans="3:3" x14ac:dyDescent="0.3">
      <c r="C5895" s="2"/>
    </row>
    <row r="5896" spans="3:3" x14ac:dyDescent="0.3">
      <c r="C5896" s="2"/>
    </row>
    <row r="5897" spans="3:3" x14ac:dyDescent="0.3">
      <c r="C58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Kashyap</dc:creator>
  <cp:lastModifiedBy>Abhishek Kashyap</cp:lastModifiedBy>
  <dcterms:created xsi:type="dcterms:W3CDTF">2026-09-22T09:35:31Z</dcterms:created>
  <dcterms:modified xsi:type="dcterms:W3CDTF">2026-09-22T11:56:57Z</dcterms:modified>
</cp:coreProperties>
</file>